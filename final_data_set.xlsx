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9.xml" ContentType="application/vnd.openxmlformats-officedocument.drawing+xml"/>
  <Override PartName="/xl/slicers/slicer8.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F:\internship project\project 1\Project_1\"/>
    </mc:Choice>
  </mc:AlternateContent>
  <bookViews>
    <workbookView xWindow="0" yWindow="0" windowWidth="20490" windowHeight="7650" tabRatio="821"/>
  </bookViews>
  <sheets>
    <sheet name="dataset_a" sheetId="2" r:id="rId1"/>
    <sheet name="dataset_3" sheetId="3" r:id="rId2"/>
    <sheet name="final_data_set" sheetId="4" r:id="rId3"/>
    <sheet name="PIVOT TABLE1" sheetId="19" r:id="rId4"/>
    <sheet name="pivot table 2" sheetId="9" r:id="rId5"/>
    <sheet name="PIVOT TABLE 3" sheetId="10" r:id="rId6"/>
    <sheet name="PIVOT TABLE 4" sheetId="11" r:id="rId7"/>
    <sheet name="PIVOT TABLE 5" sheetId="12" r:id="rId8"/>
    <sheet name="Pivot table 6" sheetId="18" r:id="rId9"/>
    <sheet name="PIVOTE TABLE7" sheetId="20" r:id="rId10"/>
    <sheet name="KPI" sheetId="13" r:id="rId11"/>
    <sheet name="DASHBOARD" sheetId="16" r:id="rId12"/>
  </sheets>
  <definedNames>
    <definedName name="_xlnm._FilterDatabase" localSheetId="2" hidden="1">final_data_set!$A$1:$P$1</definedName>
    <definedName name="ExternalData_1" localSheetId="1" hidden="1">dataset_3!$A$1:$M$391</definedName>
    <definedName name="ExternalData_1" localSheetId="0" hidden="1">dataset_a!$A$1:$N$611</definedName>
    <definedName name="Slicer_atemp">#N/A</definedName>
    <definedName name="Slicer_dteday">#N/A</definedName>
    <definedName name="Slicer_Holiday_workingday">#N/A</definedName>
    <definedName name="Slicer_hr">#N/A</definedName>
    <definedName name="Slicer_temp">#N/A</definedName>
    <definedName name="Slicer_weather_condition1">#N/A</definedName>
    <definedName name="Slicer_week_name1">#N/A</definedName>
    <definedName name="Slicer_weekday">#N/A</definedName>
  </definedNames>
  <calcPr calcId="162913"/>
  <pivotCaches>
    <pivotCache cacheId="1"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1001" i="4" l="1"/>
  <c r="G1001" i="4"/>
  <c r="E1001" i="4"/>
  <c r="I1000" i="4"/>
  <c r="G1000" i="4"/>
  <c r="E1000" i="4"/>
  <c r="I999" i="4"/>
  <c r="G999" i="4"/>
  <c r="E999" i="4"/>
  <c r="I998" i="4"/>
  <c r="G998" i="4"/>
  <c r="E998" i="4"/>
  <c r="I997" i="4"/>
  <c r="G997" i="4"/>
  <c r="E997" i="4"/>
  <c r="I996" i="4"/>
  <c r="G996" i="4"/>
  <c r="E996" i="4"/>
  <c r="I995" i="4"/>
  <c r="G995" i="4"/>
  <c r="E995" i="4"/>
  <c r="I994" i="4"/>
  <c r="G994" i="4"/>
  <c r="E994" i="4"/>
  <c r="I993" i="4"/>
  <c r="G993" i="4"/>
  <c r="E993" i="4"/>
  <c r="I992" i="4"/>
  <c r="G992" i="4"/>
  <c r="E992" i="4"/>
  <c r="I991" i="4"/>
  <c r="G991" i="4"/>
  <c r="E991" i="4"/>
  <c r="I990" i="4"/>
  <c r="G990" i="4"/>
  <c r="E990" i="4"/>
  <c r="I989" i="4"/>
  <c r="G989" i="4"/>
  <c r="E989" i="4"/>
  <c r="I988" i="4"/>
  <c r="G988" i="4"/>
  <c r="E988" i="4"/>
  <c r="I987" i="4"/>
  <c r="G987" i="4"/>
  <c r="E987" i="4"/>
  <c r="I986" i="4"/>
  <c r="G986" i="4"/>
  <c r="E986" i="4"/>
  <c r="I985" i="4"/>
  <c r="G985" i="4"/>
  <c r="E985" i="4"/>
  <c r="I984" i="4"/>
  <c r="G984" i="4"/>
  <c r="E984" i="4"/>
  <c r="I983" i="4"/>
  <c r="G983" i="4"/>
  <c r="E983" i="4"/>
  <c r="I982" i="4"/>
  <c r="G982" i="4"/>
  <c r="E982" i="4"/>
  <c r="I981" i="4"/>
  <c r="G981" i="4"/>
  <c r="E981" i="4"/>
  <c r="I980" i="4"/>
  <c r="G980" i="4"/>
  <c r="E980" i="4"/>
  <c r="I979" i="4"/>
  <c r="G979" i="4"/>
  <c r="E979" i="4"/>
  <c r="I978" i="4"/>
  <c r="G978" i="4"/>
  <c r="E978" i="4"/>
  <c r="I977" i="4"/>
  <c r="G977" i="4"/>
  <c r="E977" i="4"/>
  <c r="I976" i="4"/>
  <c r="G976" i="4"/>
  <c r="E976" i="4"/>
  <c r="I975" i="4"/>
  <c r="G975" i="4"/>
  <c r="E975" i="4"/>
  <c r="I974" i="4"/>
  <c r="G974" i="4"/>
  <c r="E974" i="4"/>
  <c r="I973" i="4"/>
  <c r="G973" i="4"/>
  <c r="E973" i="4"/>
  <c r="I972" i="4"/>
  <c r="G972" i="4"/>
  <c r="E972" i="4"/>
  <c r="I971" i="4"/>
  <c r="G971" i="4"/>
  <c r="E971" i="4"/>
  <c r="I970" i="4"/>
  <c r="G970" i="4"/>
  <c r="E970" i="4"/>
  <c r="I969" i="4"/>
  <c r="G969" i="4"/>
  <c r="E969" i="4"/>
  <c r="I968" i="4"/>
  <c r="G968" i="4"/>
  <c r="E968" i="4"/>
  <c r="I967" i="4"/>
  <c r="G967" i="4"/>
  <c r="E967" i="4"/>
  <c r="I966" i="4"/>
  <c r="G966" i="4"/>
  <c r="E966" i="4"/>
  <c r="I965" i="4"/>
  <c r="G965" i="4"/>
  <c r="E965" i="4"/>
  <c r="I964" i="4"/>
  <c r="G964" i="4"/>
  <c r="E964" i="4"/>
  <c r="I963" i="4"/>
  <c r="G963" i="4"/>
  <c r="E963" i="4"/>
  <c r="I962" i="4"/>
  <c r="G962" i="4"/>
  <c r="E962" i="4"/>
  <c r="I961" i="4"/>
  <c r="G961" i="4"/>
  <c r="E961" i="4"/>
  <c r="I960" i="4"/>
  <c r="G960" i="4"/>
  <c r="E960" i="4"/>
  <c r="I959" i="4"/>
  <c r="G959" i="4"/>
  <c r="E959" i="4"/>
  <c r="I958" i="4"/>
  <c r="G958" i="4"/>
  <c r="E958" i="4"/>
  <c r="I957" i="4"/>
  <c r="G957" i="4"/>
  <c r="E957" i="4"/>
  <c r="I956" i="4"/>
  <c r="G956" i="4"/>
  <c r="E956" i="4"/>
  <c r="I955" i="4"/>
  <c r="G955" i="4"/>
  <c r="E955" i="4"/>
  <c r="I954" i="4"/>
  <c r="G954" i="4"/>
  <c r="E954" i="4"/>
  <c r="I953" i="4"/>
  <c r="G953" i="4"/>
  <c r="E953" i="4"/>
  <c r="I952" i="4"/>
  <c r="G952" i="4"/>
  <c r="E952" i="4"/>
  <c r="I951" i="4"/>
  <c r="G951" i="4"/>
  <c r="E951" i="4"/>
  <c r="I950" i="4"/>
  <c r="G950" i="4"/>
  <c r="E950" i="4"/>
  <c r="I949" i="4"/>
  <c r="G949" i="4"/>
  <c r="E949" i="4"/>
  <c r="I948" i="4"/>
  <c r="G948" i="4"/>
  <c r="E948" i="4"/>
  <c r="I947" i="4"/>
  <c r="G947" i="4"/>
  <c r="E947" i="4"/>
  <c r="I946" i="4"/>
  <c r="G946" i="4"/>
  <c r="E946" i="4"/>
  <c r="I945" i="4"/>
  <c r="G945" i="4"/>
  <c r="E945" i="4"/>
  <c r="I944" i="4"/>
  <c r="G944" i="4"/>
  <c r="E944" i="4"/>
  <c r="I943" i="4"/>
  <c r="G943" i="4"/>
  <c r="E943" i="4"/>
  <c r="I942" i="4"/>
  <c r="G942" i="4"/>
  <c r="E942" i="4"/>
  <c r="I941" i="4"/>
  <c r="G941" i="4"/>
  <c r="E941" i="4"/>
  <c r="I940" i="4"/>
  <c r="G940" i="4"/>
  <c r="E940" i="4"/>
  <c r="I939" i="4"/>
  <c r="G939" i="4"/>
  <c r="E939" i="4"/>
  <c r="I938" i="4"/>
  <c r="G938" i="4"/>
  <c r="E938" i="4"/>
  <c r="I937" i="4"/>
  <c r="G937" i="4"/>
  <c r="E937" i="4"/>
  <c r="I936" i="4"/>
  <c r="G936" i="4"/>
  <c r="E936" i="4"/>
  <c r="I935" i="4"/>
  <c r="G935" i="4"/>
  <c r="E935" i="4"/>
  <c r="I934" i="4"/>
  <c r="G934" i="4"/>
  <c r="E934" i="4"/>
  <c r="I933" i="4"/>
  <c r="G933" i="4"/>
  <c r="E933" i="4"/>
  <c r="I932" i="4"/>
  <c r="G932" i="4"/>
  <c r="E932" i="4"/>
  <c r="I931" i="4"/>
  <c r="G931" i="4"/>
  <c r="E931" i="4"/>
  <c r="I930" i="4"/>
  <c r="G930" i="4"/>
  <c r="E930" i="4"/>
  <c r="I929" i="4"/>
  <c r="G929" i="4"/>
  <c r="E929" i="4"/>
  <c r="I928" i="4"/>
  <c r="G928" i="4"/>
  <c r="E928" i="4"/>
  <c r="I927" i="4"/>
  <c r="G927" i="4"/>
  <c r="E927" i="4"/>
  <c r="I926" i="4"/>
  <c r="G926" i="4"/>
  <c r="E926" i="4"/>
  <c r="I925" i="4"/>
  <c r="G925" i="4"/>
  <c r="E925" i="4"/>
  <c r="I924" i="4"/>
  <c r="G924" i="4"/>
  <c r="E924" i="4"/>
  <c r="I923" i="4"/>
  <c r="G923" i="4"/>
  <c r="E923" i="4"/>
  <c r="I922" i="4"/>
  <c r="G922" i="4"/>
  <c r="E922" i="4"/>
  <c r="I921" i="4"/>
  <c r="G921" i="4"/>
  <c r="E921" i="4"/>
  <c r="I920" i="4"/>
  <c r="G920" i="4"/>
  <c r="E920" i="4"/>
  <c r="I919" i="4"/>
  <c r="G919" i="4"/>
  <c r="E919" i="4"/>
  <c r="I918" i="4"/>
  <c r="G918" i="4"/>
  <c r="E918" i="4"/>
  <c r="I917" i="4"/>
  <c r="G917" i="4"/>
  <c r="E917" i="4"/>
  <c r="I916" i="4"/>
  <c r="G916" i="4"/>
  <c r="E916" i="4"/>
  <c r="I915" i="4"/>
  <c r="G915" i="4"/>
  <c r="E915" i="4"/>
  <c r="I914" i="4"/>
  <c r="G914" i="4"/>
  <c r="E914" i="4"/>
  <c r="I913" i="4"/>
  <c r="G913" i="4"/>
  <c r="E913" i="4"/>
  <c r="I912" i="4"/>
  <c r="G912" i="4"/>
  <c r="E912" i="4"/>
  <c r="I911" i="4"/>
  <c r="G911" i="4"/>
  <c r="E911" i="4"/>
  <c r="I910" i="4"/>
  <c r="G910" i="4"/>
  <c r="E910" i="4"/>
  <c r="I909" i="4"/>
  <c r="G909" i="4"/>
  <c r="E909" i="4"/>
  <c r="I908" i="4"/>
  <c r="G908" i="4"/>
  <c r="E908" i="4"/>
  <c r="I907" i="4"/>
  <c r="G907" i="4"/>
  <c r="E907" i="4"/>
  <c r="I906" i="4"/>
  <c r="G906" i="4"/>
  <c r="E906" i="4"/>
  <c r="I905" i="4"/>
  <c r="G905" i="4"/>
  <c r="E905" i="4"/>
  <c r="I904" i="4"/>
  <c r="G904" i="4"/>
  <c r="E904" i="4"/>
  <c r="I903" i="4"/>
  <c r="G903" i="4"/>
  <c r="E903" i="4"/>
  <c r="I902" i="4"/>
  <c r="G902" i="4"/>
  <c r="E902" i="4"/>
  <c r="I901" i="4"/>
  <c r="G901" i="4"/>
  <c r="E901" i="4"/>
  <c r="I900" i="4"/>
  <c r="G900" i="4"/>
  <c r="E900" i="4"/>
  <c r="I899" i="4"/>
  <c r="G899" i="4"/>
  <c r="E899" i="4"/>
  <c r="I898" i="4"/>
  <c r="G898" i="4"/>
  <c r="E898" i="4"/>
  <c r="I897" i="4"/>
  <c r="G897" i="4"/>
  <c r="E897" i="4"/>
  <c r="I896" i="4"/>
  <c r="G896" i="4"/>
  <c r="E896" i="4"/>
  <c r="I895" i="4"/>
  <c r="G895" i="4"/>
  <c r="E895" i="4"/>
  <c r="I894" i="4"/>
  <c r="G894" i="4"/>
  <c r="E894" i="4"/>
  <c r="I893" i="4"/>
  <c r="G893" i="4"/>
  <c r="E893" i="4"/>
  <c r="I892" i="4"/>
  <c r="G892" i="4"/>
  <c r="E892" i="4"/>
  <c r="I891" i="4"/>
  <c r="G891" i="4"/>
  <c r="E891" i="4"/>
  <c r="I890" i="4"/>
  <c r="G890" i="4"/>
  <c r="E890" i="4"/>
  <c r="I889" i="4"/>
  <c r="G889" i="4"/>
  <c r="E889" i="4"/>
  <c r="I888" i="4"/>
  <c r="G888" i="4"/>
  <c r="E888" i="4"/>
  <c r="I887" i="4"/>
  <c r="G887" i="4"/>
  <c r="E887" i="4"/>
  <c r="I886" i="4"/>
  <c r="G886" i="4"/>
  <c r="E886" i="4"/>
  <c r="I885" i="4"/>
  <c r="G885" i="4"/>
  <c r="E885" i="4"/>
  <c r="I884" i="4"/>
  <c r="G884" i="4"/>
  <c r="E884" i="4"/>
  <c r="I883" i="4"/>
  <c r="G883" i="4"/>
  <c r="E883" i="4"/>
  <c r="I882" i="4"/>
  <c r="G882" i="4"/>
  <c r="E882" i="4"/>
  <c r="I881" i="4"/>
  <c r="G881" i="4"/>
  <c r="E881" i="4"/>
  <c r="I880" i="4"/>
  <c r="G880" i="4"/>
  <c r="E880" i="4"/>
  <c r="I879" i="4"/>
  <c r="G879" i="4"/>
  <c r="E879" i="4"/>
  <c r="I878" i="4"/>
  <c r="G878" i="4"/>
  <c r="E878" i="4"/>
  <c r="I877" i="4"/>
  <c r="G877" i="4"/>
  <c r="E877" i="4"/>
  <c r="I876" i="4"/>
  <c r="G876" i="4"/>
  <c r="E876" i="4"/>
  <c r="I875" i="4"/>
  <c r="G875" i="4"/>
  <c r="E875" i="4"/>
  <c r="I874" i="4"/>
  <c r="G874" i="4"/>
  <c r="E874" i="4"/>
  <c r="I873" i="4"/>
  <c r="G873" i="4"/>
  <c r="E873" i="4"/>
  <c r="I872" i="4"/>
  <c r="G872" i="4"/>
  <c r="E872" i="4"/>
  <c r="I871" i="4"/>
  <c r="G871" i="4"/>
  <c r="E871" i="4"/>
  <c r="I870" i="4"/>
  <c r="G870" i="4"/>
  <c r="E870" i="4"/>
  <c r="I869" i="4"/>
  <c r="G869" i="4"/>
  <c r="E869" i="4"/>
  <c r="I868" i="4"/>
  <c r="G868" i="4"/>
  <c r="E868" i="4"/>
  <c r="I867" i="4"/>
  <c r="G867" i="4"/>
  <c r="E867" i="4"/>
  <c r="I866" i="4"/>
  <c r="G866" i="4"/>
  <c r="E866" i="4"/>
  <c r="I865" i="4"/>
  <c r="G865" i="4"/>
  <c r="E865" i="4"/>
  <c r="I864" i="4"/>
  <c r="G864" i="4"/>
  <c r="E864" i="4"/>
  <c r="I863" i="4"/>
  <c r="G863" i="4"/>
  <c r="E863" i="4"/>
  <c r="I862" i="4"/>
  <c r="G862" i="4"/>
  <c r="E862" i="4"/>
  <c r="I861" i="4"/>
  <c r="G861" i="4"/>
  <c r="E861" i="4"/>
  <c r="I860" i="4"/>
  <c r="G860" i="4"/>
  <c r="E860" i="4"/>
  <c r="I859" i="4"/>
  <c r="G859" i="4"/>
  <c r="E859" i="4"/>
  <c r="I858" i="4"/>
  <c r="G858" i="4"/>
  <c r="E858" i="4"/>
  <c r="I857" i="4"/>
  <c r="G857" i="4"/>
  <c r="E857" i="4"/>
  <c r="I856" i="4"/>
  <c r="G856" i="4"/>
  <c r="E856" i="4"/>
  <c r="I855" i="4"/>
  <c r="G855" i="4"/>
  <c r="E855" i="4"/>
  <c r="I854" i="4"/>
  <c r="G854" i="4"/>
  <c r="E854" i="4"/>
  <c r="I853" i="4"/>
  <c r="G853" i="4"/>
  <c r="E853" i="4"/>
  <c r="I852" i="4"/>
  <c r="G852" i="4"/>
  <c r="E852" i="4"/>
  <c r="I851" i="4"/>
  <c r="G851" i="4"/>
  <c r="E851" i="4"/>
  <c r="I850" i="4"/>
  <c r="G850" i="4"/>
  <c r="E850" i="4"/>
  <c r="I849" i="4"/>
  <c r="G849" i="4"/>
  <c r="E849" i="4"/>
  <c r="I848" i="4"/>
  <c r="G848" i="4"/>
  <c r="E848" i="4"/>
  <c r="I847" i="4"/>
  <c r="G847" i="4"/>
  <c r="E847" i="4"/>
  <c r="I846" i="4"/>
  <c r="G846" i="4"/>
  <c r="E846" i="4"/>
  <c r="I845" i="4"/>
  <c r="G845" i="4"/>
  <c r="E845" i="4"/>
  <c r="I844" i="4"/>
  <c r="G844" i="4"/>
  <c r="E844" i="4"/>
  <c r="I843" i="4"/>
  <c r="G843" i="4"/>
  <c r="E843" i="4"/>
  <c r="I842" i="4"/>
  <c r="G842" i="4"/>
  <c r="E842" i="4"/>
  <c r="I841" i="4"/>
  <c r="G841" i="4"/>
  <c r="E841" i="4"/>
  <c r="I840" i="4"/>
  <c r="G840" i="4"/>
  <c r="E840" i="4"/>
  <c r="I839" i="4"/>
  <c r="G839" i="4"/>
  <c r="E839" i="4"/>
  <c r="I838" i="4"/>
  <c r="G838" i="4"/>
  <c r="E838" i="4"/>
  <c r="I837" i="4"/>
  <c r="G837" i="4"/>
  <c r="E837" i="4"/>
  <c r="I836" i="4"/>
  <c r="G836" i="4"/>
  <c r="E836" i="4"/>
  <c r="I835" i="4"/>
  <c r="G835" i="4"/>
  <c r="E835" i="4"/>
  <c r="I834" i="4"/>
  <c r="G834" i="4"/>
  <c r="E834" i="4"/>
  <c r="I833" i="4"/>
  <c r="G833" i="4"/>
  <c r="E833" i="4"/>
  <c r="I832" i="4"/>
  <c r="G832" i="4"/>
  <c r="E832" i="4"/>
  <c r="I831" i="4"/>
  <c r="G831" i="4"/>
  <c r="E831" i="4"/>
  <c r="I830" i="4"/>
  <c r="G830" i="4"/>
  <c r="E830" i="4"/>
  <c r="I829" i="4"/>
  <c r="G829" i="4"/>
  <c r="E829" i="4"/>
  <c r="I828" i="4"/>
  <c r="G828" i="4"/>
  <c r="E828" i="4"/>
  <c r="I827" i="4"/>
  <c r="G827" i="4"/>
  <c r="E827" i="4"/>
  <c r="I826" i="4"/>
  <c r="G826" i="4"/>
  <c r="E826" i="4"/>
  <c r="I825" i="4"/>
  <c r="G825" i="4"/>
  <c r="E825" i="4"/>
  <c r="I824" i="4"/>
  <c r="G824" i="4"/>
  <c r="E824" i="4"/>
  <c r="I823" i="4"/>
  <c r="G823" i="4"/>
  <c r="E823" i="4"/>
  <c r="I822" i="4"/>
  <c r="G822" i="4"/>
  <c r="E822" i="4"/>
  <c r="I821" i="4"/>
  <c r="G821" i="4"/>
  <c r="E821" i="4"/>
  <c r="I820" i="4"/>
  <c r="G820" i="4"/>
  <c r="E820" i="4"/>
  <c r="I819" i="4"/>
  <c r="G819" i="4"/>
  <c r="E819" i="4"/>
  <c r="I818" i="4"/>
  <c r="G818" i="4"/>
  <c r="E818" i="4"/>
  <c r="I817" i="4"/>
  <c r="G817" i="4"/>
  <c r="E817" i="4"/>
  <c r="I816" i="4"/>
  <c r="G816" i="4"/>
  <c r="E816" i="4"/>
  <c r="I815" i="4"/>
  <c r="G815" i="4"/>
  <c r="E815" i="4"/>
  <c r="I814" i="4"/>
  <c r="G814" i="4"/>
  <c r="E814" i="4"/>
  <c r="I813" i="4"/>
  <c r="G813" i="4"/>
  <c r="E813" i="4"/>
  <c r="I812" i="4"/>
  <c r="G812" i="4"/>
  <c r="E812" i="4"/>
  <c r="I811" i="4"/>
  <c r="G811" i="4"/>
  <c r="E811" i="4"/>
  <c r="I810" i="4"/>
  <c r="G810" i="4"/>
  <c r="E810" i="4"/>
  <c r="I809" i="4"/>
  <c r="G809" i="4"/>
  <c r="E809" i="4"/>
  <c r="I808" i="4"/>
  <c r="G808" i="4"/>
  <c r="E808" i="4"/>
  <c r="I807" i="4"/>
  <c r="G807" i="4"/>
  <c r="E807" i="4"/>
  <c r="I806" i="4"/>
  <c r="G806" i="4"/>
  <c r="E806" i="4"/>
  <c r="I805" i="4"/>
  <c r="G805" i="4"/>
  <c r="E805" i="4"/>
  <c r="I804" i="4"/>
  <c r="G804" i="4"/>
  <c r="E804" i="4"/>
  <c r="I803" i="4"/>
  <c r="G803" i="4"/>
  <c r="E803" i="4"/>
  <c r="I802" i="4"/>
  <c r="G802" i="4"/>
  <c r="E802" i="4"/>
  <c r="I801" i="4"/>
  <c r="G801" i="4"/>
  <c r="E801" i="4"/>
  <c r="I800" i="4"/>
  <c r="G800" i="4"/>
  <c r="E800" i="4"/>
  <c r="I799" i="4"/>
  <c r="G799" i="4"/>
  <c r="E799" i="4"/>
  <c r="I798" i="4"/>
  <c r="G798" i="4"/>
  <c r="E798" i="4"/>
  <c r="I797" i="4"/>
  <c r="G797" i="4"/>
  <c r="E797" i="4"/>
  <c r="I796" i="4"/>
  <c r="G796" i="4"/>
  <c r="E796" i="4"/>
  <c r="I795" i="4"/>
  <c r="G795" i="4"/>
  <c r="E795" i="4"/>
  <c r="I794" i="4"/>
  <c r="G794" i="4"/>
  <c r="E794" i="4"/>
  <c r="I793" i="4"/>
  <c r="G793" i="4"/>
  <c r="E793" i="4"/>
  <c r="I792" i="4"/>
  <c r="G792" i="4"/>
  <c r="E792" i="4"/>
  <c r="I791" i="4"/>
  <c r="G791" i="4"/>
  <c r="E791" i="4"/>
  <c r="I790" i="4"/>
  <c r="G790" i="4"/>
  <c r="E790" i="4"/>
  <c r="I789" i="4"/>
  <c r="G789" i="4"/>
  <c r="E789" i="4"/>
  <c r="I788" i="4"/>
  <c r="G788" i="4"/>
  <c r="E788" i="4"/>
  <c r="I787" i="4"/>
  <c r="G787" i="4"/>
  <c r="E787" i="4"/>
  <c r="I786" i="4"/>
  <c r="G786" i="4"/>
  <c r="E786" i="4"/>
  <c r="I785" i="4"/>
  <c r="G785" i="4"/>
  <c r="E785" i="4"/>
  <c r="I784" i="4"/>
  <c r="G784" i="4"/>
  <c r="E784" i="4"/>
  <c r="I783" i="4"/>
  <c r="G783" i="4"/>
  <c r="E783" i="4"/>
  <c r="I782" i="4"/>
  <c r="G782" i="4"/>
  <c r="E782" i="4"/>
  <c r="I781" i="4"/>
  <c r="G781" i="4"/>
  <c r="E781" i="4"/>
  <c r="I780" i="4"/>
  <c r="G780" i="4"/>
  <c r="E780" i="4"/>
  <c r="I779" i="4"/>
  <c r="G779" i="4"/>
  <c r="E779" i="4"/>
  <c r="I778" i="4"/>
  <c r="G778" i="4"/>
  <c r="E778" i="4"/>
  <c r="I777" i="4"/>
  <c r="G777" i="4"/>
  <c r="E777" i="4"/>
  <c r="I776" i="4"/>
  <c r="G776" i="4"/>
  <c r="E776" i="4"/>
  <c r="I775" i="4"/>
  <c r="G775" i="4"/>
  <c r="E775" i="4"/>
  <c r="I774" i="4"/>
  <c r="G774" i="4"/>
  <c r="E774" i="4"/>
  <c r="I773" i="4"/>
  <c r="G773" i="4"/>
  <c r="E773" i="4"/>
  <c r="I772" i="4"/>
  <c r="G772" i="4"/>
  <c r="E772" i="4"/>
  <c r="I771" i="4"/>
  <c r="G771" i="4"/>
  <c r="E771" i="4"/>
  <c r="I770" i="4"/>
  <c r="G770" i="4"/>
  <c r="E770" i="4"/>
  <c r="I769" i="4"/>
  <c r="G769" i="4"/>
  <c r="E769" i="4"/>
  <c r="I768" i="4"/>
  <c r="G768" i="4"/>
  <c r="E768" i="4"/>
  <c r="I767" i="4"/>
  <c r="G767" i="4"/>
  <c r="E767" i="4"/>
  <c r="I766" i="4"/>
  <c r="G766" i="4"/>
  <c r="E766" i="4"/>
  <c r="I765" i="4"/>
  <c r="G765" i="4"/>
  <c r="E765" i="4"/>
  <c r="I764" i="4"/>
  <c r="G764" i="4"/>
  <c r="E764" i="4"/>
  <c r="I763" i="4"/>
  <c r="G763" i="4"/>
  <c r="E763" i="4"/>
  <c r="I762" i="4"/>
  <c r="G762" i="4"/>
  <c r="E762" i="4"/>
  <c r="I761" i="4"/>
  <c r="G761" i="4"/>
  <c r="E761" i="4"/>
  <c r="I760" i="4"/>
  <c r="G760" i="4"/>
  <c r="E760" i="4"/>
  <c r="I759" i="4"/>
  <c r="G759" i="4"/>
  <c r="E759" i="4"/>
  <c r="I758" i="4"/>
  <c r="G758" i="4"/>
  <c r="E758" i="4"/>
  <c r="I757" i="4"/>
  <c r="G757" i="4"/>
  <c r="E757" i="4"/>
  <c r="I756" i="4"/>
  <c r="G756" i="4"/>
  <c r="E756" i="4"/>
  <c r="I755" i="4"/>
  <c r="G755" i="4"/>
  <c r="E755" i="4"/>
  <c r="I754" i="4"/>
  <c r="G754" i="4"/>
  <c r="E754" i="4"/>
  <c r="I753" i="4"/>
  <c r="G753" i="4"/>
  <c r="E753" i="4"/>
  <c r="I752" i="4"/>
  <c r="G752" i="4"/>
  <c r="E752" i="4"/>
  <c r="I751" i="4"/>
  <c r="G751" i="4"/>
  <c r="E751" i="4"/>
  <c r="I750" i="4"/>
  <c r="G750" i="4"/>
  <c r="E750" i="4"/>
  <c r="I749" i="4"/>
  <c r="G749" i="4"/>
  <c r="E749" i="4"/>
  <c r="I748" i="4"/>
  <c r="G748" i="4"/>
  <c r="E748" i="4"/>
  <c r="I747" i="4"/>
  <c r="G747" i="4"/>
  <c r="E747" i="4"/>
  <c r="I746" i="4"/>
  <c r="G746" i="4"/>
  <c r="E746" i="4"/>
  <c r="I745" i="4"/>
  <c r="G745" i="4"/>
  <c r="E745" i="4"/>
  <c r="I744" i="4"/>
  <c r="G744" i="4"/>
  <c r="E744" i="4"/>
  <c r="I743" i="4"/>
  <c r="G743" i="4"/>
  <c r="E743" i="4"/>
  <c r="I742" i="4"/>
  <c r="G742" i="4"/>
  <c r="E742" i="4"/>
  <c r="I741" i="4"/>
  <c r="G741" i="4"/>
  <c r="E741" i="4"/>
  <c r="I740" i="4"/>
  <c r="G740" i="4"/>
  <c r="E740" i="4"/>
  <c r="I739" i="4"/>
  <c r="G739" i="4"/>
  <c r="E739" i="4"/>
  <c r="I738" i="4"/>
  <c r="G738" i="4"/>
  <c r="E738" i="4"/>
  <c r="I737" i="4"/>
  <c r="G737" i="4"/>
  <c r="E737" i="4"/>
  <c r="I736" i="4"/>
  <c r="G736" i="4"/>
  <c r="E736" i="4"/>
  <c r="I735" i="4"/>
  <c r="G735" i="4"/>
  <c r="E735" i="4"/>
  <c r="I734" i="4"/>
  <c r="G734" i="4"/>
  <c r="E734" i="4"/>
  <c r="I733" i="4"/>
  <c r="G733" i="4"/>
  <c r="E733" i="4"/>
  <c r="I732" i="4"/>
  <c r="G732" i="4"/>
  <c r="E732" i="4"/>
  <c r="I731" i="4"/>
  <c r="G731" i="4"/>
  <c r="E731" i="4"/>
  <c r="I730" i="4"/>
  <c r="G730" i="4"/>
  <c r="E730" i="4"/>
  <c r="I729" i="4"/>
  <c r="G729" i="4"/>
  <c r="E729" i="4"/>
  <c r="I728" i="4"/>
  <c r="G728" i="4"/>
  <c r="E728" i="4"/>
  <c r="I727" i="4"/>
  <c r="G727" i="4"/>
  <c r="E727" i="4"/>
  <c r="I726" i="4"/>
  <c r="G726" i="4"/>
  <c r="E726" i="4"/>
  <c r="I725" i="4"/>
  <c r="G725" i="4"/>
  <c r="E725" i="4"/>
  <c r="I724" i="4"/>
  <c r="G724" i="4"/>
  <c r="E724" i="4"/>
  <c r="I723" i="4"/>
  <c r="G723" i="4"/>
  <c r="E723" i="4"/>
  <c r="I722" i="4"/>
  <c r="G722" i="4"/>
  <c r="E722" i="4"/>
  <c r="I721" i="4"/>
  <c r="G721" i="4"/>
  <c r="E721" i="4"/>
  <c r="I720" i="4"/>
  <c r="G720" i="4"/>
  <c r="E720" i="4"/>
  <c r="I719" i="4"/>
  <c r="G719" i="4"/>
  <c r="E719" i="4"/>
  <c r="I718" i="4"/>
  <c r="G718" i="4"/>
  <c r="E718" i="4"/>
  <c r="I717" i="4"/>
  <c r="G717" i="4"/>
  <c r="E717" i="4"/>
  <c r="I716" i="4"/>
  <c r="G716" i="4"/>
  <c r="E716" i="4"/>
  <c r="I715" i="4"/>
  <c r="G715" i="4"/>
  <c r="E715" i="4"/>
  <c r="I714" i="4"/>
  <c r="G714" i="4"/>
  <c r="E714" i="4"/>
  <c r="I713" i="4"/>
  <c r="G713" i="4"/>
  <c r="E713" i="4"/>
  <c r="I712" i="4"/>
  <c r="G712" i="4"/>
  <c r="E712" i="4"/>
  <c r="I711" i="4"/>
  <c r="G711" i="4"/>
  <c r="E711" i="4"/>
  <c r="I710" i="4"/>
  <c r="G710" i="4"/>
  <c r="E710" i="4"/>
  <c r="I709" i="4"/>
  <c r="G709" i="4"/>
  <c r="E709" i="4"/>
  <c r="I708" i="4"/>
  <c r="G708" i="4"/>
  <c r="E708" i="4"/>
  <c r="I707" i="4"/>
  <c r="G707" i="4"/>
  <c r="E707" i="4"/>
  <c r="I706" i="4"/>
  <c r="G706" i="4"/>
  <c r="E706" i="4"/>
  <c r="I705" i="4"/>
  <c r="G705" i="4"/>
  <c r="E705" i="4"/>
  <c r="I704" i="4"/>
  <c r="G704" i="4"/>
  <c r="E704" i="4"/>
  <c r="I703" i="4"/>
  <c r="G703" i="4"/>
  <c r="E703" i="4"/>
  <c r="I702" i="4"/>
  <c r="G702" i="4"/>
  <c r="E702" i="4"/>
  <c r="I701" i="4"/>
  <c r="G701" i="4"/>
  <c r="E701" i="4"/>
  <c r="I700" i="4"/>
  <c r="G700" i="4"/>
  <c r="E700" i="4"/>
  <c r="I699" i="4"/>
  <c r="G699" i="4"/>
  <c r="E699" i="4"/>
  <c r="I698" i="4"/>
  <c r="G698" i="4"/>
  <c r="E698" i="4"/>
  <c r="I697" i="4"/>
  <c r="G697" i="4"/>
  <c r="E697" i="4"/>
  <c r="I696" i="4"/>
  <c r="G696" i="4"/>
  <c r="E696" i="4"/>
  <c r="I695" i="4"/>
  <c r="G695" i="4"/>
  <c r="E695" i="4"/>
  <c r="I694" i="4"/>
  <c r="G694" i="4"/>
  <c r="E694" i="4"/>
  <c r="I693" i="4"/>
  <c r="G693" i="4"/>
  <c r="E693" i="4"/>
  <c r="I692" i="4"/>
  <c r="G692" i="4"/>
  <c r="E692" i="4"/>
  <c r="I691" i="4"/>
  <c r="G691" i="4"/>
  <c r="E691" i="4"/>
  <c r="I690" i="4"/>
  <c r="G690" i="4"/>
  <c r="E690" i="4"/>
  <c r="I689" i="4"/>
  <c r="G689" i="4"/>
  <c r="E689" i="4"/>
  <c r="I688" i="4"/>
  <c r="G688" i="4"/>
  <c r="E688" i="4"/>
  <c r="I687" i="4"/>
  <c r="G687" i="4"/>
  <c r="E687" i="4"/>
  <c r="I686" i="4"/>
  <c r="G686" i="4"/>
  <c r="E686" i="4"/>
  <c r="I685" i="4"/>
  <c r="G685" i="4"/>
  <c r="E685" i="4"/>
  <c r="I684" i="4"/>
  <c r="G684" i="4"/>
  <c r="E684" i="4"/>
  <c r="I683" i="4"/>
  <c r="G683" i="4"/>
  <c r="E683" i="4"/>
  <c r="I682" i="4"/>
  <c r="G682" i="4"/>
  <c r="E682" i="4"/>
  <c r="I681" i="4"/>
  <c r="G681" i="4"/>
  <c r="E681" i="4"/>
  <c r="I680" i="4"/>
  <c r="G680" i="4"/>
  <c r="E680" i="4"/>
  <c r="I679" i="4"/>
  <c r="G679" i="4"/>
  <c r="E679" i="4"/>
  <c r="I678" i="4"/>
  <c r="G678" i="4"/>
  <c r="E678" i="4"/>
  <c r="I677" i="4"/>
  <c r="G677" i="4"/>
  <c r="E677" i="4"/>
  <c r="I676" i="4"/>
  <c r="G676" i="4"/>
  <c r="E676" i="4"/>
  <c r="I675" i="4"/>
  <c r="G675" i="4"/>
  <c r="E675" i="4"/>
  <c r="I674" i="4"/>
  <c r="G674" i="4"/>
  <c r="E674" i="4"/>
  <c r="I673" i="4"/>
  <c r="G673" i="4"/>
  <c r="E673" i="4"/>
  <c r="I672" i="4"/>
  <c r="G672" i="4"/>
  <c r="E672" i="4"/>
  <c r="I671" i="4"/>
  <c r="G671" i="4"/>
  <c r="E671" i="4"/>
  <c r="I670" i="4"/>
  <c r="G670" i="4"/>
  <c r="E670" i="4"/>
  <c r="I669" i="4"/>
  <c r="G669" i="4"/>
  <c r="E669" i="4"/>
  <c r="I668" i="4"/>
  <c r="G668" i="4"/>
  <c r="E668" i="4"/>
  <c r="I667" i="4"/>
  <c r="G667" i="4"/>
  <c r="E667" i="4"/>
  <c r="I666" i="4"/>
  <c r="G666" i="4"/>
  <c r="E666" i="4"/>
  <c r="I665" i="4"/>
  <c r="G665" i="4"/>
  <c r="E665" i="4"/>
  <c r="I664" i="4"/>
  <c r="G664" i="4"/>
  <c r="E664" i="4"/>
  <c r="I663" i="4"/>
  <c r="G663" i="4"/>
  <c r="E663" i="4"/>
  <c r="I662" i="4"/>
  <c r="G662" i="4"/>
  <c r="E662" i="4"/>
  <c r="I661" i="4"/>
  <c r="G661" i="4"/>
  <c r="E661" i="4"/>
  <c r="I660" i="4"/>
  <c r="G660" i="4"/>
  <c r="E660" i="4"/>
  <c r="I659" i="4"/>
  <c r="G659" i="4"/>
  <c r="E659" i="4"/>
  <c r="I658" i="4"/>
  <c r="G658" i="4"/>
  <c r="E658" i="4"/>
  <c r="I657" i="4"/>
  <c r="G657" i="4"/>
  <c r="E657" i="4"/>
  <c r="I656" i="4"/>
  <c r="G656" i="4"/>
  <c r="E656" i="4"/>
  <c r="I655" i="4"/>
  <c r="G655" i="4"/>
  <c r="E655" i="4"/>
  <c r="I654" i="4"/>
  <c r="G654" i="4"/>
  <c r="E654" i="4"/>
  <c r="I653" i="4"/>
  <c r="G653" i="4"/>
  <c r="E653" i="4"/>
  <c r="I652" i="4"/>
  <c r="G652" i="4"/>
  <c r="E652" i="4"/>
  <c r="I651" i="4"/>
  <c r="G651" i="4"/>
  <c r="E651" i="4"/>
  <c r="I650" i="4"/>
  <c r="G650" i="4"/>
  <c r="E650" i="4"/>
  <c r="I649" i="4"/>
  <c r="G649" i="4"/>
  <c r="E649" i="4"/>
  <c r="I648" i="4"/>
  <c r="G648" i="4"/>
  <c r="E648" i="4"/>
  <c r="I647" i="4"/>
  <c r="G647" i="4"/>
  <c r="E647" i="4"/>
  <c r="I646" i="4"/>
  <c r="G646" i="4"/>
  <c r="E646" i="4"/>
  <c r="I645" i="4"/>
  <c r="G645" i="4"/>
  <c r="E645" i="4"/>
  <c r="I644" i="4"/>
  <c r="G644" i="4"/>
  <c r="E644" i="4"/>
  <c r="I643" i="4"/>
  <c r="G643" i="4"/>
  <c r="E643" i="4"/>
  <c r="I642" i="4"/>
  <c r="G642" i="4"/>
  <c r="E642" i="4"/>
  <c r="I641" i="4"/>
  <c r="G641" i="4"/>
  <c r="E641" i="4"/>
  <c r="I640" i="4"/>
  <c r="G640" i="4"/>
  <c r="E640" i="4"/>
  <c r="I639" i="4"/>
  <c r="G639" i="4"/>
  <c r="E639" i="4"/>
  <c r="I638" i="4"/>
  <c r="G638" i="4"/>
  <c r="E638" i="4"/>
  <c r="I637" i="4"/>
  <c r="G637" i="4"/>
  <c r="E637" i="4"/>
  <c r="I636" i="4"/>
  <c r="G636" i="4"/>
  <c r="E636" i="4"/>
  <c r="I635" i="4"/>
  <c r="G635" i="4"/>
  <c r="E635" i="4"/>
  <c r="I634" i="4"/>
  <c r="G634" i="4"/>
  <c r="E634" i="4"/>
  <c r="I633" i="4"/>
  <c r="G633" i="4"/>
  <c r="E633" i="4"/>
  <c r="I632" i="4"/>
  <c r="G632" i="4"/>
  <c r="E632" i="4"/>
  <c r="I631" i="4"/>
  <c r="G631" i="4"/>
  <c r="E631" i="4"/>
  <c r="I630" i="4"/>
  <c r="G630" i="4"/>
  <c r="E630" i="4"/>
  <c r="I629" i="4"/>
  <c r="G629" i="4"/>
  <c r="E629" i="4"/>
  <c r="I628" i="4"/>
  <c r="G628" i="4"/>
  <c r="E628" i="4"/>
  <c r="I627" i="4"/>
  <c r="G627" i="4"/>
  <c r="E627" i="4"/>
  <c r="I626" i="4"/>
  <c r="G626" i="4"/>
  <c r="E626" i="4"/>
  <c r="I625" i="4"/>
  <c r="G625" i="4"/>
  <c r="E625" i="4"/>
  <c r="I624" i="4"/>
  <c r="G624" i="4"/>
  <c r="E624" i="4"/>
  <c r="I623" i="4"/>
  <c r="G623" i="4"/>
  <c r="E623" i="4"/>
  <c r="I622" i="4"/>
  <c r="G622" i="4"/>
  <c r="E622" i="4"/>
  <c r="I621" i="4"/>
  <c r="G621" i="4"/>
  <c r="E621" i="4"/>
  <c r="I620" i="4"/>
  <c r="G620" i="4"/>
  <c r="E620" i="4"/>
  <c r="I619" i="4"/>
  <c r="G619" i="4"/>
  <c r="E619" i="4"/>
  <c r="I618" i="4"/>
  <c r="G618" i="4"/>
  <c r="E618" i="4"/>
  <c r="I617" i="4"/>
  <c r="G617" i="4"/>
  <c r="E617" i="4"/>
  <c r="I616" i="4"/>
  <c r="G616" i="4"/>
  <c r="E616" i="4"/>
  <c r="I615" i="4"/>
  <c r="G615" i="4"/>
  <c r="E615" i="4"/>
  <c r="I614" i="4"/>
  <c r="G614" i="4"/>
  <c r="E614" i="4"/>
  <c r="I613" i="4"/>
  <c r="G613" i="4"/>
  <c r="E613" i="4"/>
  <c r="I612" i="4"/>
  <c r="G612" i="4"/>
  <c r="E612" i="4"/>
  <c r="I611" i="4"/>
  <c r="G611" i="4"/>
  <c r="E611" i="4"/>
  <c r="I610" i="4"/>
  <c r="G610" i="4"/>
  <c r="E610" i="4"/>
  <c r="I609" i="4"/>
  <c r="G609" i="4"/>
  <c r="E609" i="4"/>
  <c r="I608" i="4"/>
  <c r="G608" i="4"/>
  <c r="E608" i="4"/>
  <c r="I607" i="4"/>
  <c r="G607" i="4"/>
  <c r="E607" i="4"/>
  <c r="I606" i="4"/>
  <c r="G606" i="4"/>
  <c r="E606" i="4"/>
  <c r="I605" i="4"/>
  <c r="G605" i="4"/>
  <c r="E605" i="4"/>
  <c r="I604" i="4"/>
  <c r="G604" i="4"/>
  <c r="E604" i="4"/>
  <c r="I603" i="4"/>
  <c r="G603" i="4"/>
  <c r="E603" i="4"/>
  <c r="I602" i="4"/>
  <c r="G602" i="4"/>
  <c r="E602" i="4"/>
  <c r="I601" i="4"/>
  <c r="G601" i="4"/>
  <c r="E601" i="4"/>
  <c r="I600" i="4"/>
  <c r="G600" i="4"/>
  <c r="E600" i="4"/>
  <c r="I599" i="4"/>
  <c r="G599" i="4"/>
  <c r="E599" i="4"/>
  <c r="I598" i="4"/>
  <c r="G598" i="4"/>
  <c r="E598" i="4"/>
  <c r="I597" i="4"/>
  <c r="G597" i="4"/>
  <c r="E597" i="4"/>
  <c r="I596" i="4"/>
  <c r="G596" i="4"/>
  <c r="E596" i="4"/>
  <c r="I595" i="4"/>
  <c r="G595" i="4"/>
  <c r="E595" i="4"/>
  <c r="I594" i="4"/>
  <c r="G594" i="4"/>
  <c r="E594" i="4"/>
  <c r="I593" i="4"/>
  <c r="G593" i="4"/>
  <c r="E593" i="4"/>
  <c r="I592" i="4"/>
  <c r="G592" i="4"/>
  <c r="E592" i="4"/>
  <c r="I591" i="4"/>
  <c r="G591" i="4"/>
  <c r="E591" i="4"/>
  <c r="I590" i="4"/>
  <c r="G590" i="4"/>
  <c r="E590" i="4"/>
  <c r="I589" i="4"/>
  <c r="G589" i="4"/>
  <c r="E589" i="4"/>
  <c r="I588" i="4"/>
  <c r="G588" i="4"/>
  <c r="E588" i="4"/>
  <c r="I587" i="4"/>
  <c r="G587" i="4"/>
  <c r="E587" i="4"/>
  <c r="I586" i="4"/>
  <c r="G586" i="4"/>
  <c r="E586" i="4"/>
  <c r="I585" i="4"/>
  <c r="G585" i="4"/>
  <c r="E585" i="4"/>
  <c r="I584" i="4"/>
  <c r="G584" i="4"/>
  <c r="E584" i="4"/>
  <c r="I583" i="4"/>
  <c r="G583" i="4"/>
  <c r="E583" i="4"/>
  <c r="I582" i="4"/>
  <c r="G582" i="4"/>
  <c r="E582" i="4"/>
  <c r="I581" i="4"/>
  <c r="G581" i="4"/>
  <c r="E581" i="4"/>
  <c r="I580" i="4"/>
  <c r="G580" i="4"/>
  <c r="E580" i="4"/>
  <c r="I579" i="4"/>
  <c r="G579" i="4"/>
  <c r="E579" i="4"/>
  <c r="I578" i="4"/>
  <c r="G578" i="4"/>
  <c r="E578" i="4"/>
  <c r="I577" i="4"/>
  <c r="G577" i="4"/>
  <c r="E577" i="4"/>
  <c r="I576" i="4"/>
  <c r="G576" i="4"/>
  <c r="E576" i="4"/>
  <c r="I575" i="4"/>
  <c r="G575" i="4"/>
  <c r="E575" i="4"/>
  <c r="I574" i="4"/>
  <c r="G574" i="4"/>
  <c r="E574" i="4"/>
  <c r="I573" i="4"/>
  <c r="G573" i="4"/>
  <c r="E573" i="4"/>
  <c r="I572" i="4"/>
  <c r="G572" i="4"/>
  <c r="E572" i="4"/>
  <c r="I571" i="4"/>
  <c r="G571" i="4"/>
  <c r="E571" i="4"/>
  <c r="I570" i="4"/>
  <c r="G570" i="4"/>
  <c r="E570" i="4"/>
  <c r="I569" i="4"/>
  <c r="G569" i="4"/>
  <c r="E569" i="4"/>
  <c r="I568" i="4"/>
  <c r="G568" i="4"/>
  <c r="E568" i="4"/>
  <c r="I567" i="4"/>
  <c r="G567" i="4"/>
  <c r="E567" i="4"/>
  <c r="I566" i="4"/>
  <c r="G566" i="4"/>
  <c r="E566" i="4"/>
  <c r="I565" i="4"/>
  <c r="G565" i="4"/>
  <c r="E565" i="4"/>
  <c r="I564" i="4"/>
  <c r="G564" i="4"/>
  <c r="E564" i="4"/>
  <c r="I563" i="4"/>
  <c r="G563" i="4"/>
  <c r="E563" i="4"/>
  <c r="I562" i="4"/>
  <c r="G562" i="4"/>
  <c r="E562" i="4"/>
  <c r="I561" i="4"/>
  <c r="G561" i="4"/>
  <c r="E561" i="4"/>
  <c r="I560" i="4"/>
  <c r="G560" i="4"/>
  <c r="E560" i="4"/>
  <c r="I559" i="4"/>
  <c r="G559" i="4"/>
  <c r="E559" i="4"/>
  <c r="I558" i="4"/>
  <c r="G558" i="4"/>
  <c r="E558" i="4"/>
  <c r="I557" i="4"/>
  <c r="G557" i="4"/>
  <c r="E557" i="4"/>
  <c r="I556" i="4"/>
  <c r="G556" i="4"/>
  <c r="E556" i="4"/>
  <c r="I555" i="4"/>
  <c r="G555" i="4"/>
  <c r="E555" i="4"/>
  <c r="I554" i="4"/>
  <c r="G554" i="4"/>
  <c r="E554" i="4"/>
  <c r="I553" i="4"/>
  <c r="G553" i="4"/>
  <c r="E553" i="4"/>
  <c r="I552" i="4"/>
  <c r="G552" i="4"/>
  <c r="E552" i="4"/>
  <c r="I551" i="4"/>
  <c r="G551" i="4"/>
  <c r="E551" i="4"/>
  <c r="I550" i="4"/>
  <c r="G550" i="4"/>
  <c r="E550" i="4"/>
  <c r="I549" i="4"/>
  <c r="G549" i="4"/>
  <c r="E549" i="4"/>
  <c r="I548" i="4"/>
  <c r="G548" i="4"/>
  <c r="E548" i="4"/>
  <c r="I547" i="4"/>
  <c r="G547" i="4"/>
  <c r="E547" i="4"/>
  <c r="I546" i="4"/>
  <c r="G546" i="4"/>
  <c r="E546" i="4"/>
  <c r="I545" i="4"/>
  <c r="G545" i="4"/>
  <c r="E545" i="4"/>
  <c r="I544" i="4"/>
  <c r="G544" i="4"/>
  <c r="E544" i="4"/>
  <c r="I543" i="4"/>
  <c r="G543" i="4"/>
  <c r="E543" i="4"/>
  <c r="I542" i="4"/>
  <c r="G542" i="4"/>
  <c r="E542" i="4"/>
  <c r="I541" i="4"/>
  <c r="G541" i="4"/>
  <c r="E541" i="4"/>
  <c r="I540" i="4"/>
  <c r="G540" i="4"/>
  <c r="E540" i="4"/>
  <c r="I539" i="4"/>
  <c r="G539" i="4"/>
  <c r="E539" i="4"/>
  <c r="I538" i="4"/>
  <c r="G538" i="4"/>
  <c r="E538" i="4"/>
  <c r="I537" i="4"/>
  <c r="G537" i="4"/>
  <c r="E537" i="4"/>
  <c r="I536" i="4"/>
  <c r="G536" i="4"/>
  <c r="E536" i="4"/>
  <c r="I535" i="4"/>
  <c r="G535" i="4"/>
  <c r="E535" i="4"/>
  <c r="I534" i="4"/>
  <c r="G534" i="4"/>
  <c r="E534" i="4"/>
  <c r="I533" i="4"/>
  <c r="G533" i="4"/>
  <c r="E533" i="4"/>
  <c r="I532" i="4"/>
  <c r="G532" i="4"/>
  <c r="E532" i="4"/>
  <c r="I531" i="4"/>
  <c r="G531" i="4"/>
  <c r="E531" i="4"/>
  <c r="I530" i="4"/>
  <c r="G530" i="4"/>
  <c r="E530" i="4"/>
  <c r="I529" i="4"/>
  <c r="G529" i="4"/>
  <c r="E529" i="4"/>
  <c r="I528" i="4"/>
  <c r="G528" i="4"/>
  <c r="E528" i="4"/>
  <c r="I527" i="4"/>
  <c r="G527" i="4"/>
  <c r="E527" i="4"/>
  <c r="I526" i="4"/>
  <c r="G526" i="4"/>
  <c r="E526" i="4"/>
  <c r="I525" i="4"/>
  <c r="G525" i="4"/>
  <c r="E525" i="4"/>
  <c r="I524" i="4"/>
  <c r="G524" i="4"/>
  <c r="E524" i="4"/>
  <c r="I523" i="4"/>
  <c r="G523" i="4"/>
  <c r="E523" i="4"/>
  <c r="I522" i="4"/>
  <c r="G522" i="4"/>
  <c r="E522" i="4"/>
  <c r="I521" i="4"/>
  <c r="G521" i="4"/>
  <c r="E521" i="4"/>
  <c r="I520" i="4"/>
  <c r="G520" i="4"/>
  <c r="E520" i="4"/>
  <c r="I519" i="4"/>
  <c r="G519" i="4"/>
  <c r="E519" i="4"/>
  <c r="I518" i="4"/>
  <c r="G518" i="4"/>
  <c r="E518" i="4"/>
  <c r="I517" i="4"/>
  <c r="G517" i="4"/>
  <c r="E517" i="4"/>
  <c r="I516" i="4"/>
  <c r="G516" i="4"/>
  <c r="E516" i="4"/>
  <c r="I515" i="4"/>
  <c r="G515" i="4"/>
  <c r="E515" i="4"/>
  <c r="I514" i="4"/>
  <c r="G514" i="4"/>
  <c r="E514" i="4"/>
  <c r="I513" i="4"/>
  <c r="G513" i="4"/>
  <c r="E513" i="4"/>
  <c r="I512" i="4"/>
  <c r="G512" i="4"/>
  <c r="E512" i="4"/>
  <c r="I511" i="4"/>
  <c r="G511" i="4"/>
  <c r="E511" i="4"/>
  <c r="I510" i="4"/>
  <c r="G510" i="4"/>
  <c r="E510" i="4"/>
  <c r="I509" i="4"/>
  <c r="G509" i="4"/>
  <c r="E509" i="4"/>
  <c r="I508" i="4"/>
  <c r="G508" i="4"/>
  <c r="E508" i="4"/>
  <c r="I507" i="4"/>
  <c r="G507" i="4"/>
  <c r="E507" i="4"/>
  <c r="I506" i="4"/>
  <c r="G506" i="4"/>
  <c r="E506" i="4"/>
  <c r="I505" i="4"/>
  <c r="G505" i="4"/>
  <c r="E505" i="4"/>
  <c r="I504" i="4"/>
  <c r="G504" i="4"/>
  <c r="E504" i="4"/>
  <c r="I503" i="4"/>
  <c r="G503" i="4"/>
  <c r="E503" i="4"/>
  <c r="I502" i="4"/>
  <c r="G502" i="4"/>
  <c r="E502" i="4"/>
  <c r="I501" i="4"/>
  <c r="G501" i="4"/>
  <c r="E501" i="4"/>
  <c r="I500" i="4"/>
  <c r="G500" i="4"/>
  <c r="E500" i="4"/>
  <c r="I499" i="4"/>
  <c r="G499" i="4"/>
  <c r="E499" i="4"/>
  <c r="I498" i="4"/>
  <c r="G498" i="4"/>
  <c r="E498" i="4"/>
  <c r="I497" i="4"/>
  <c r="G497" i="4"/>
  <c r="E497" i="4"/>
  <c r="I496" i="4"/>
  <c r="G496" i="4"/>
  <c r="E496" i="4"/>
  <c r="I495" i="4"/>
  <c r="G495" i="4"/>
  <c r="E495" i="4"/>
  <c r="I494" i="4"/>
  <c r="G494" i="4"/>
  <c r="E494" i="4"/>
  <c r="I493" i="4"/>
  <c r="G493" i="4"/>
  <c r="E493" i="4"/>
  <c r="I492" i="4"/>
  <c r="G492" i="4"/>
  <c r="E492" i="4"/>
  <c r="I491" i="4"/>
  <c r="G491" i="4"/>
  <c r="E491" i="4"/>
  <c r="I490" i="4"/>
  <c r="G490" i="4"/>
  <c r="E490" i="4"/>
  <c r="I489" i="4"/>
  <c r="G489" i="4"/>
  <c r="E489" i="4"/>
  <c r="I488" i="4"/>
  <c r="G488" i="4"/>
  <c r="E488" i="4"/>
  <c r="I487" i="4"/>
  <c r="G487" i="4"/>
  <c r="E487" i="4"/>
  <c r="I486" i="4"/>
  <c r="G486" i="4"/>
  <c r="E486" i="4"/>
  <c r="I485" i="4"/>
  <c r="G485" i="4"/>
  <c r="E485" i="4"/>
  <c r="I484" i="4"/>
  <c r="G484" i="4"/>
  <c r="E484" i="4"/>
  <c r="I483" i="4"/>
  <c r="G483" i="4"/>
  <c r="E483" i="4"/>
  <c r="I482" i="4"/>
  <c r="G482" i="4"/>
  <c r="E482" i="4"/>
  <c r="I481" i="4"/>
  <c r="G481" i="4"/>
  <c r="E481" i="4"/>
  <c r="I480" i="4"/>
  <c r="G480" i="4"/>
  <c r="E480" i="4"/>
  <c r="I479" i="4"/>
  <c r="G479" i="4"/>
  <c r="E479" i="4"/>
  <c r="I478" i="4"/>
  <c r="G478" i="4"/>
  <c r="E478" i="4"/>
  <c r="I477" i="4"/>
  <c r="G477" i="4"/>
  <c r="E477" i="4"/>
  <c r="I476" i="4"/>
  <c r="G476" i="4"/>
  <c r="E476" i="4"/>
  <c r="I475" i="4"/>
  <c r="G475" i="4"/>
  <c r="E475" i="4"/>
  <c r="I474" i="4"/>
  <c r="G474" i="4"/>
  <c r="E474" i="4"/>
  <c r="I473" i="4"/>
  <c r="G473" i="4"/>
  <c r="E473" i="4"/>
  <c r="I472" i="4"/>
  <c r="G472" i="4"/>
  <c r="E472" i="4"/>
  <c r="I471" i="4"/>
  <c r="G471" i="4"/>
  <c r="E471" i="4"/>
  <c r="I470" i="4"/>
  <c r="G470" i="4"/>
  <c r="E470" i="4"/>
  <c r="I469" i="4"/>
  <c r="G469" i="4"/>
  <c r="E469" i="4"/>
  <c r="I468" i="4"/>
  <c r="G468" i="4"/>
  <c r="E468" i="4"/>
  <c r="I467" i="4"/>
  <c r="G467" i="4"/>
  <c r="E467" i="4"/>
  <c r="I466" i="4"/>
  <c r="G466" i="4"/>
  <c r="E466" i="4"/>
  <c r="I465" i="4"/>
  <c r="G465" i="4"/>
  <c r="E465" i="4"/>
  <c r="I464" i="4"/>
  <c r="G464" i="4"/>
  <c r="E464" i="4"/>
  <c r="I463" i="4"/>
  <c r="G463" i="4"/>
  <c r="E463" i="4"/>
  <c r="I462" i="4"/>
  <c r="G462" i="4"/>
  <c r="E462" i="4"/>
  <c r="I461" i="4"/>
  <c r="G461" i="4"/>
  <c r="E461" i="4"/>
  <c r="I460" i="4"/>
  <c r="G460" i="4"/>
  <c r="E460" i="4"/>
  <c r="I459" i="4"/>
  <c r="G459" i="4"/>
  <c r="E459" i="4"/>
  <c r="I458" i="4"/>
  <c r="G458" i="4"/>
  <c r="E458" i="4"/>
  <c r="I457" i="4"/>
  <c r="G457" i="4"/>
  <c r="E457" i="4"/>
  <c r="I456" i="4"/>
  <c r="G456" i="4"/>
  <c r="E456" i="4"/>
  <c r="I455" i="4"/>
  <c r="G455" i="4"/>
  <c r="E455" i="4"/>
  <c r="I454" i="4"/>
  <c r="G454" i="4"/>
  <c r="E454" i="4"/>
  <c r="I453" i="4"/>
  <c r="G453" i="4"/>
  <c r="E453" i="4"/>
  <c r="I452" i="4"/>
  <c r="G452" i="4"/>
  <c r="E452" i="4"/>
  <c r="I451" i="4"/>
  <c r="G451" i="4"/>
  <c r="E451" i="4"/>
  <c r="I450" i="4"/>
  <c r="G450" i="4"/>
  <c r="E450" i="4"/>
  <c r="I449" i="4"/>
  <c r="G449" i="4"/>
  <c r="E449" i="4"/>
  <c r="I448" i="4"/>
  <c r="G448" i="4"/>
  <c r="E448" i="4"/>
  <c r="I447" i="4"/>
  <c r="G447" i="4"/>
  <c r="E447" i="4"/>
  <c r="I446" i="4"/>
  <c r="G446" i="4"/>
  <c r="E446" i="4"/>
  <c r="I445" i="4"/>
  <c r="G445" i="4"/>
  <c r="E445" i="4"/>
  <c r="I444" i="4"/>
  <c r="G444" i="4"/>
  <c r="E444" i="4"/>
  <c r="I443" i="4"/>
  <c r="G443" i="4"/>
  <c r="E443" i="4"/>
  <c r="I442" i="4"/>
  <c r="G442" i="4"/>
  <c r="E442" i="4"/>
  <c r="I441" i="4"/>
  <c r="G441" i="4"/>
  <c r="E441" i="4"/>
  <c r="I440" i="4"/>
  <c r="G440" i="4"/>
  <c r="E440" i="4"/>
  <c r="I439" i="4"/>
  <c r="G439" i="4"/>
  <c r="E439" i="4"/>
  <c r="I438" i="4"/>
  <c r="G438" i="4"/>
  <c r="E438" i="4"/>
  <c r="I437" i="4"/>
  <c r="G437" i="4"/>
  <c r="E437" i="4"/>
  <c r="I436" i="4"/>
  <c r="G436" i="4"/>
  <c r="E436" i="4"/>
  <c r="I435" i="4"/>
  <c r="G435" i="4"/>
  <c r="E435" i="4"/>
  <c r="I434" i="4"/>
  <c r="G434" i="4"/>
  <c r="E434" i="4"/>
  <c r="I433" i="4"/>
  <c r="G433" i="4"/>
  <c r="E433" i="4"/>
  <c r="I432" i="4"/>
  <c r="G432" i="4"/>
  <c r="E432" i="4"/>
  <c r="I431" i="4"/>
  <c r="G431" i="4"/>
  <c r="E431" i="4"/>
  <c r="I430" i="4"/>
  <c r="G430" i="4"/>
  <c r="E430" i="4"/>
  <c r="I429" i="4"/>
  <c r="G429" i="4"/>
  <c r="E429" i="4"/>
  <c r="I428" i="4"/>
  <c r="G428" i="4"/>
  <c r="E428" i="4"/>
  <c r="I427" i="4"/>
  <c r="G427" i="4"/>
  <c r="E427" i="4"/>
  <c r="I426" i="4"/>
  <c r="G426" i="4"/>
  <c r="E426" i="4"/>
  <c r="I425" i="4"/>
  <c r="G425" i="4"/>
  <c r="E425" i="4"/>
  <c r="I424" i="4"/>
  <c r="G424" i="4"/>
  <c r="E424" i="4"/>
  <c r="I423" i="4"/>
  <c r="G423" i="4"/>
  <c r="E423" i="4"/>
  <c r="I422" i="4"/>
  <c r="G422" i="4"/>
  <c r="E422" i="4"/>
  <c r="I421" i="4"/>
  <c r="G421" i="4"/>
  <c r="E421" i="4"/>
  <c r="I420" i="4"/>
  <c r="G420" i="4"/>
  <c r="E420" i="4"/>
  <c r="I419" i="4"/>
  <c r="G419" i="4"/>
  <c r="E419" i="4"/>
  <c r="I418" i="4"/>
  <c r="G418" i="4"/>
  <c r="E418" i="4"/>
  <c r="I417" i="4"/>
  <c r="G417" i="4"/>
  <c r="E417" i="4"/>
  <c r="I416" i="4"/>
  <c r="G416" i="4"/>
  <c r="E416" i="4"/>
  <c r="I415" i="4"/>
  <c r="G415" i="4"/>
  <c r="E415" i="4"/>
  <c r="I414" i="4"/>
  <c r="G414" i="4"/>
  <c r="E414" i="4"/>
  <c r="I413" i="4"/>
  <c r="G413" i="4"/>
  <c r="E413" i="4"/>
  <c r="I412" i="4"/>
  <c r="G412" i="4"/>
  <c r="E412" i="4"/>
  <c r="I411" i="4"/>
  <c r="G411" i="4"/>
  <c r="E411" i="4"/>
  <c r="I410" i="4"/>
  <c r="G410" i="4"/>
  <c r="E410" i="4"/>
  <c r="I409" i="4"/>
  <c r="G409" i="4"/>
  <c r="E409" i="4"/>
  <c r="I408" i="4"/>
  <c r="G408" i="4"/>
  <c r="E408" i="4"/>
  <c r="I407" i="4"/>
  <c r="G407" i="4"/>
  <c r="E407" i="4"/>
  <c r="I406" i="4"/>
  <c r="G406" i="4"/>
  <c r="E406" i="4"/>
  <c r="I405" i="4"/>
  <c r="G405" i="4"/>
  <c r="E405" i="4"/>
  <c r="I404" i="4"/>
  <c r="G404" i="4"/>
  <c r="E404" i="4"/>
  <c r="I403" i="4"/>
  <c r="G403" i="4"/>
  <c r="E403" i="4"/>
  <c r="I402" i="4"/>
  <c r="G402" i="4"/>
  <c r="E402" i="4"/>
  <c r="I401" i="4"/>
  <c r="G401" i="4"/>
  <c r="E401" i="4"/>
  <c r="I400" i="4"/>
  <c r="G400" i="4"/>
  <c r="E400" i="4"/>
  <c r="I399" i="4"/>
  <c r="G399" i="4"/>
  <c r="E399" i="4"/>
  <c r="I398" i="4"/>
  <c r="G398" i="4"/>
  <c r="E398" i="4"/>
  <c r="I397" i="4"/>
  <c r="G397" i="4"/>
  <c r="E397" i="4"/>
  <c r="I396" i="4"/>
  <c r="G396" i="4"/>
  <c r="E396" i="4"/>
  <c r="I395" i="4"/>
  <c r="G395" i="4"/>
  <c r="E395" i="4"/>
  <c r="I394" i="4"/>
  <c r="G394" i="4"/>
  <c r="E394" i="4"/>
  <c r="I393" i="4"/>
  <c r="G393" i="4"/>
  <c r="E393" i="4"/>
  <c r="I392" i="4"/>
  <c r="G392" i="4"/>
  <c r="E392" i="4"/>
  <c r="I391" i="4"/>
  <c r="G391" i="4"/>
  <c r="E391" i="4"/>
  <c r="I390" i="4"/>
  <c r="G390" i="4"/>
  <c r="E390" i="4"/>
  <c r="I389" i="4"/>
  <c r="G389" i="4"/>
  <c r="E389" i="4"/>
  <c r="I388" i="4"/>
  <c r="G388" i="4"/>
  <c r="E388" i="4"/>
  <c r="I387" i="4"/>
  <c r="G387" i="4"/>
  <c r="E387" i="4"/>
  <c r="I386" i="4"/>
  <c r="G386" i="4"/>
  <c r="E386" i="4"/>
  <c r="I385" i="4"/>
  <c r="G385" i="4"/>
  <c r="E385" i="4"/>
  <c r="I384" i="4"/>
  <c r="G384" i="4"/>
  <c r="E384" i="4"/>
  <c r="I383" i="4"/>
  <c r="G383" i="4"/>
  <c r="E383" i="4"/>
  <c r="I382" i="4"/>
  <c r="G382" i="4"/>
  <c r="E382" i="4"/>
  <c r="I381" i="4"/>
  <c r="G381" i="4"/>
  <c r="E381" i="4"/>
  <c r="I380" i="4"/>
  <c r="G380" i="4"/>
  <c r="E380" i="4"/>
  <c r="I379" i="4"/>
  <c r="G379" i="4"/>
  <c r="E379" i="4"/>
  <c r="I378" i="4"/>
  <c r="G378" i="4"/>
  <c r="E378" i="4"/>
  <c r="I377" i="4"/>
  <c r="G377" i="4"/>
  <c r="E377" i="4"/>
  <c r="I376" i="4"/>
  <c r="G376" i="4"/>
  <c r="E376" i="4"/>
  <c r="I375" i="4"/>
  <c r="G375" i="4"/>
  <c r="E375" i="4"/>
  <c r="I374" i="4"/>
  <c r="G374" i="4"/>
  <c r="E374" i="4"/>
  <c r="I373" i="4"/>
  <c r="G373" i="4"/>
  <c r="E373" i="4"/>
  <c r="I372" i="4"/>
  <c r="G372" i="4"/>
  <c r="E372" i="4"/>
  <c r="I371" i="4"/>
  <c r="G371" i="4"/>
  <c r="E371" i="4"/>
  <c r="I370" i="4"/>
  <c r="G370" i="4"/>
  <c r="E370" i="4"/>
  <c r="I369" i="4"/>
  <c r="G369" i="4"/>
  <c r="E369" i="4"/>
  <c r="I368" i="4"/>
  <c r="G368" i="4"/>
  <c r="E368" i="4"/>
  <c r="I367" i="4"/>
  <c r="G367" i="4"/>
  <c r="E367" i="4"/>
  <c r="I366" i="4"/>
  <c r="G366" i="4"/>
  <c r="E366" i="4"/>
  <c r="I365" i="4"/>
  <c r="G365" i="4"/>
  <c r="E365" i="4"/>
  <c r="I364" i="4"/>
  <c r="G364" i="4"/>
  <c r="E364" i="4"/>
  <c r="I363" i="4"/>
  <c r="G363" i="4"/>
  <c r="E363" i="4"/>
  <c r="I362" i="4"/>
  <c r="G362" i="4"/>
  <c r="E362" i="4"/>
  <c r="I361" i="4"/>
  <c r="G361" i="4"/>
  <c r="E361" i="4"/>
  <c r="I360" i="4"/>
  <c r="G360" i="4"/>
  <c r="E360" i="4"/>
  <c r="I359" i="4"/>
  <c r="G359" i="4"/>
  <c r="E359" i="4"/>
  <c r="I358" i="4"/>
  <c r="G358" i="4"/>
  <c r="E358" i="4"/>
  <c r="I357" i="4"/>
  <c r="G357" i="4"/>
  <c r="E357" i="4"/>
  <c r="I356" i="4"/>
  <c r="G356" i="4"/>
  <c r="E356" i="4"/>
  <c r="I355" i="4"/>
  <c r="G355" i="4"/>
  <c r="E355" i="4"/>
  <c r="I354" i="4"/>
  <c r="G354" i="4"/>
  <c r="E354" i="4"/>
  <c r="I353" i="4"/>
  <c r="G353" i="4"/>
  <c r="E353" i="4"/>
  <c r="I352" i="4"/>
  <c r="G352" i="4"/>
  <c r="E352" i="4"/>
  <c r="I351" i="4"/>
  <c r="G351" i="4"/>
  <c r="E351" i="4"/>
  <c r="I350" i="4"/>
  <c r="G350" i="4"/>
  <c r="E350" i="4"/>
  <c r="I349" i="4"/>
  <c r="G349" i="4"/>
  <c r="E349" i="4"/>
  <c r="I348" i="4"/>
  <c r="G348" i="4"/>
  <c r="E348" i="4"/>
  <c r="I347" i="4"/>
  <c r="G347" i="4"/>
  <c r="E347" i="4"/>
  <c r="I346" i="4"/>
  <c r="G346" i="4"/>
  <c r="E346" i="4"/>
  <c r="I345" i="4"/>
  <c r="G345" i="4"/>
  <c r="E345" i="4"/>
  <c r="I344" i="4"/>
  <c r="G344" i="4"/>
  <c r="E344" i="4"/>
  <c r="I343" i="4"/>
  <c r="G343" i="4"/>
  <c r="E343" i="4"/>
  <c r="I342" i="4"/>
  <c r="G342" i="4"/>
  <c r="E342" i="4"/>
  <c r="I341" i="4"/>
  <c r="G341" i="4"/>
  <c r="E341" i="4"/>
  <c r="I340" i="4"/>
  <c r="G340" i="4"/>
  <c r="E340" i="4"/>
  <c r="I339" i="4"/>
  <c r="G339" i="4"/>
  <c r="E339" i="4"/>
  <c r="I338" i="4"/>
  <c r="G338" i="4"/>
  <c r="E338" i="4"/>
  <c r="I337" i="4"/>
  <c r="G337" i="4"/>
  <c r="E337" i="4"/>
  <c r="I336" i="4"/>
  <c r="G336" i="4"/>
  <c r="E336" i="4"/>
  <c r="I335" i="4"/>
  <c r="G335" i="4"/>
  <c r="E335" i="4"/>
  <c r="I334" i="4"/>
  <c r="G334" i="4"/>
  <c r="E334" i="4"/>
  <c r="I333" i="4"/>
  <c r="G333" i="4"/>
  <c r="E333" i="4"/>
  <c r="I332" i="4"/>
  <c r="G332" i="4"/>
  <c r="E332" i="4"/>
  <c r="I331" i="4"/>
  <c r="G331" i="4"/>
  <c r="E331" i="4"/>
  <c r="I330" i="4"/>
  <c r="G330" i="4"/>
  <c r="E330" i="4"/>
  <c r="I329" i="4"/>
  <c r="G329" i="4"/>
  <c r="E329" i="4"/>
  <c r="I328" i="4"/>
  <c r="G328" i="4"/>
  <c r="E328" i="4"/>
  <c r="I327" i="4"/>
  <c r="G327" i="4"/>
  <c r="E327" i="4"/>
  <c r="I326" i="4"/>
  <c r="G326" i="4"/>
  <c r="E326" i="4"/>
  <c r="I325" i="4"/>
  <c r="G325" i="4"/>
  <c r="E325" i="4"/>
  <c r="I324" i="4"/>
  <c r="G324" i="4"/>
  <c r="E324" i="4"/>
  <c r="I323" i="4"/>
  <c r="G323" i="4"/>
  <c r="E323" i="4"/>
  <c r="I322" i="4"/>
  <c r="G322" i="4"/>
  <c r="E322" i="4"/>
  <c r="I321" i="4"/>
  <c r="G321" i="4"/>
  <c r="E321" i="4"/>
  <c r="I320" i="4"/>
  <c r="G320" i="4"/>
  <c r="E320" i="4"/>
  <c r="I319" i="4"/>
  <c r="G319" i="4"/>
  <c r="E319" i="4"/>
  <c r="I318" i="4"/>
  <c r="G318" i="4"/>
  <c r="E318" i="4"/>
  <c r="I317" i="4"/>
  <c r="G317" i="4"/>
  <c r="E317" i="4"/>
  <c r="I316" i="4"/>
  <c r="G316" i="4"/>
  <c r="E316" i="4"/>
  <c r="I315" i="4"/>
  <c r="G315" i="4"/>
  <c r="E315" i="4"/>
  <c r="I314" i="4"/>
  <c r="G314" i="4"/>
  <c r="E314" i="4"/>
  <c r="I313" i="4"/>
  <c r="G313" i="4"/>
  <c r="E313" i="4"/>
  <c r="I312" i="4"/>
  <c r="G312" i="4"/>
  <c r="E312" i="4"/>
  <c r="I311" i="4"/>
  <c r="G311" i="4"/>
  <c r="E311" i="4"/>
  <c r="I310" i="4"/>
  <c r="G310" i="4"/>
  <c r="E310" i="4"/>
  <c r="I309" i="4"/>
  <c r="G309" i="4"/>
  <c r="E309" i="4"/>
  <c r="I308" i="4"/>
  <c r="G308" i="4"/>
  <c r="E308" i="4"/>
  <c r="I307" i="4"/>
  <c r="G307" i="4"/>
  <c r="E307" i="4"/>
  <c r="I306" i="4"/>
  <c r="G306" i="4"/>
  <c r="E306" i="4"/>
  <c r="I305" i="4"/>
  <c r="G305" i="4"/>
  <c r="E305" i="4"/>
  <c r="I304" i="4"/>
  <c r="G304" i="4"/>
  <c r="E304" i="4"/>
  <c r="I303" i="4"/>
  <c r="G303" i="4"/>
  <c r="E303" i="4"/>
  <c r="I302" i="4"/>
  <c r="G302" i="4"/>
  <c r="E302" i="4"/>
  <c r="I301" i="4"/>
  <c r="G301" i="4"/>
  <c r="E301" i="4"/>
  <c r="I300" i="4"/>
  <c r="G300" i="4"/>
  <c r="E300" i="4"/>
  <c r="I299" i="4"/>
  <c r="G299" i="4"/>
  <c r="E299" i="4"/>
  <c r="I298" i="4"/>
  <c r="G298" i="4"/>
  <c r="E298" i="4"/>
  <c r="I297" i="4"/>
  <c r="G297" i="4"/>
  <c r="E297" i="4"/>
  <c r="I296" i="4"/>
  <c r="G296" i="4"/>
  <c r="E296" i="4"/>
  <c r="I295" i="4"/>
  <c r="G295" i="4"/>
  <c r="E295" i="4"/>
  <c r="I294" i="4"/>
  <c r="G294" i="4"/>
  <c r="E294" i="4"/>
  <c r="I293" i="4"/>
  <c r="G293" i="4"/>
  <c r="E293" i="4"/>
  <c r="I292" i="4"/>
  <c r="G292" i="4"/>
  <c r="E292" i="4"/>
  <c r="I291" i="4"/>
  <c r="G291" i="4"/>
  <c r="E291" i="4"/>
  <c r="I290" i="4"/>
  <c r="G290" i="4"/>
  <c r="E290" i="4"/>
  <c r="I289" i="4"/>
  <c r="G289" i="4"/>
  <c r="E289" i="4"/>
  <c r="I288" i="4"/>
  <c r="G288" i="4"/>
  <c r="E288" i="4"/>
  <c r="I287" i="4"/>
  <c r="G287" i="4"/>
  <c r="E287" i="4"/>
  <c r="I286" i="4"/>
  <c r="G286" i="4"/>
  <c r="E286" i="4"/>
  <c r="I285" i="4"/>
  <c r="G285" i="4"/>
  <c r="E285" i="4"/>
  <c r="I284" i="4"/>
  <c r="G284" i="4"/>
  <c r="E284" i="4"/>
  <c r="I283" i="4"/>
  <c r="G283" i="4"/>
  <c r="E283" i="4"/>
  <c r="I282" i="4"/>
  <c r="G282" i="4"/>
  <c r="E282" i="4"/>
  <c r="I281" i="4"/>
  <c r="G281" i="4"/>
  <c r="E281" i="4"/>
  <c r="I280" i="4"/>
  <c r="G280" i="4"/>
  <c r="E280" i="4"/>
  <c r="I279" i="4"/>
  <c r="G279" i="4"/>
  <c r="E279" i="4"/>
  <c r="I278" i="4"/>
  <c r="G278" i="4"/>
  <c r="E278" i="4"/>
  <c r="I277" i="4"/>
  <c r="G277" i="4"/>
  <c r="E277" i="4"/>
  <c r="I276" i="4"/>
  <c r="G276" i="4"/>
  <c r="E276" i="4"/>
  <c r="I275" i="4"/>
  <c r="G275" i="4"/>
  <c r="E275" i="4"/>
  <c r="I274" i="4"/>
  <c r="G274" i="4"/>
  <c r="E274" i="4"/>
  <c r="I273" i="4"/>
  <c r="G273" i="4"/>
  <c r="E273" i="4"/>
  <c r="I272" i="4"/>
  <c r="G272" i="4"/>
  <c r="E272" i="4"/>
  <c r="I271" i="4"/>
  <c r="G271" i="4"/>
  <c r="E271" i="4"/>
  <c r="I270" i="4"/>
  <c r="G270" i="4"/>
  <c r="E270" i="4"/>
  <c r="I269" i="4"/>
  <c r="G269" i="4"/>
  <c r="E269" i="4"/>
  <c r="I268" i="4"/>
  <c r="G268" i="4"/>
  <c r="E268" i="4"/>
  <c r="I267" i="4"/>
  <c r="G267" i="4"/>
  <c r="E267" i="4"/>
  <c r="I266" i="4"/>
  <c r="G266" i="4"/>
  <c r="E266" i="4"/>
  <c r="I265" i="4"/>
  <c r="G265" i="4"/>
  <c r="E265" i="4"/>
  <c r="I264" i="4"/>
  <c r="G264" i="4"/>
  <c r="E264" i="4"/>
  <c r="I263" i="4"/>
  <c r="G263" i="4"/>
  <c r="E263" i="4"/>
  <c r="I262" i="4"/>
  <c r="G262" i="4"/>
  <c r="E262" i="4"/>
  <c r="I261" i="4"/>
  <c r="G261" i="4"/>
  <c r="E261" i="4"/>
  <c r="I260" i="4"/>
  <c r="G260" i="4"/>
  <c r="E260" i="4"/>
  <c r="I259" i="4"/>
  <c r="G259" i="4"/>
  <c r="E259" i="4"/>
  <c r="I258" i="4"/>
  <c r="G258" i="4"/>
  <c r="E258" i="4"/>
  <c r="I257" i="4"/>
  <c r="G257" i="4"/>
  <c r="E257" i="4"/>
  <c r="I256" i="4"/>
  <c r="G256" i="4"/>
  <c r="E256" i="4"/>
  <c r="I255" i="4"/>
  <c r="G255" i="4"/>
  <c r="E255" i="4"/>
  <c r="I254" i="4"/>
  <c r="G254" i="4"/>
  <c r="E254" i="4"/>
  <c r="I253" i="4"/>
  <c r="G253" i="4"/>
  <c r="E253" i="4"/>
  <c r="I252" i="4"/>
  <c r="G252" i="4"/>
  <c r="E252" i="4"/>
  <c r="I251" i="4"/>
  <c r="G251" i="4"/>
  <c r="E251" i="4"/>
  <c r="I250" i="4"/>
  <c r="G250" i="4"/>
  <c r="E250" i="4"/>
  <c r="I249" i="4"/>
  <c r="G249" i="4"/>
  <c r="E249" i="4"/>
  <c r="I248" i="4"/>
  <c r="G248" i="4"/>
  <c r="E248" i="4"/>
  <c r="I247" i="4"/>
  <c r="G247" i="4"/>
  <c r="E247" i="4"/>
  <c r="I246" i="4"/>
  <c r="G246" i="4"/>
  <c r="E246" i="4"/>
  <c r="I245" i="4"/>
  <c r="G245" i="4"/>
  <c r="E245" i="4"/>
  <c r="I244" i="4"/>
  <c r="G244" i="4"/>
  <c r="E244" i="4"/>
  <c r="I243" i="4"/>
  <c r="G243" i="4"/>
  <c r="E243" i="4"/>
  <c r="I242" i="4"/>
  <c r="G242" i="4"/>
  <c r="E242" i="4"/>
  <c r="I241" i="4"/>
  <c r="G241" i="4"/>
  <c r="E241" i="4"/>
  <c r="I240" i="4"/>
  <c r="G240" i="4"/>
  <c r="E240" i="4"/>
  <c r="I239" i="4"/>
  <c r="G239" i="4"/>
  <c r="E239" i="4"/>
  <c r="I238" i="4"/>
  <c r="G238" i="4"/>
  <c r="E238" i="4"/>
  <c r="I237" i="4"/>
  <c r="G237" i="4"/>
  <c r="E237" i="4"/>
  <c r="I236" i="4"/>
  <c r="G236" i="4"/>
  <c r="E236" i="4"/>
  <c r="I235" i="4"/>
  <c r="G235" i="4"/>
  <c r="E235" i="4"/>
  <c r="I234" i="4"/>
  <c r="G234" i="4"/>
  <c r="E234" i="4"/>
  <c r="I233" i="4"/>
  <c r="G233" i="4"/>
  <c r="E233" i="4"/>
  <c r="I232" i="4"/>
  <c r="G232" i="4"/>
  <c r="E232" i="4"/>
  <c r="I231" i="4"/>
  <c r="G231" i="4"/>
  <c r="E231" i="4"/>
  <c r="I230" i="4"/>
  <c r="G230" i="4"/>
  <c r="E230" i="4"/>
  <c r="I229" i="4"/>
  <c r="G229" i="4"/>
  <c r="E229" i="4"/>
  <c r="I228" i="4"/>
  <c r="G228" i="4"/>
  <c r="E228" i="4"/>
  <c r="I227" i="4"/>
  <c r="G227" i="4"/>
  <c r="E227" i="4"/>
  <c r="I226" i="4"/>
  <c r="G226" i="4"/>
  <c r="E226" i="4"/>
  <c r="I225" i="4"/>
  <c r="G225" i="4"/>
  <c r="E225" i="4"/>
  <c r="I224" i="4"/>
  <c r="G224" i="4"/>
  <c r="E224" i="4"/>
  <c r="I223" i="4"/>
  <c r="G223" i="4"/>
  <c r="E223" i="4"/>
  <c r="I222" i="4"/>
  <c r="G222" i="4"/>
  <c r="E222" i="4"/>
  <c r="I221" i="4"/>
  <c r="G221" i="4"/>
  <c r="E221" i="4"/>
  <c r="I220" i="4"/>
  <c r="G220" i="4"/>
  <c r="E220" i="4"/>
  <c r="I219" i="4"/>
  <c r="G219" i="4"/>
  <c r="E219" i="4"/>
  <c r="I218" i="4"/>
  <c r="G218" i="4"/>
  <c r="E218" i="4"/>
  <c r="I217" i="4"/>
  <c r="G217" i="4"/>
  <c r="E217" i="4"/>
  <c r="I216" i="4"/>
  <c r="G216" i="4"/>
  <c r="E216" i="4"/>
  <c r="I215" i="4"/>
  <c r="G215" i="4"/>
  <c r="E215" i="4"/>
  <c r="I214" i="4"/>
  <c r="G214" i="4"/>
  <c r="E214" i="4"/>
  <c r="I213" i="4"/>
  <c r="G213" i="4"/>
  <c r="E213" i="4"/>
  <c r="I212" i="4"/>
  <c r="G212" i="4"/>
  <c r="E212" i="4"/>
  <c r="I211" i="4"/>
  <c r="G211" i="4"/>
  <c r="E211" i="4"/>
  <c r="I210" i="4"/>
  <c r="G210" i="4"/>
  <c r="E210" i="4"/>
  <c r="I209" i="4"/>
  <c r="G209" i="4"/>
  <c r="E209" i="4"/>
  <c r="I208" i="4"/>
  <c r="G208" i="4"/>
  <c r="E208" i="4"/>
  <c r="I207" i="4"/>
  <c r="G207" i="4"/>
  <c r="E207" i="4"/>
  <c r="I206" i="4"/>
  <c r="G206" i="4"/>
  <c r="E206" i="4"/>
  <c r="I205" i="4"/>
  <c r="G205" i="4"/>
  <c r="E205" i="4"/>
  <c r="I204" i="4"/>
  <c r="G204" i="4"/>
  <c r="E204" i="4"/>
  <c r="I203" i="4"/>
  <c r="G203" i="4"/>
  <c r="E203" i="4"/>
  <c r="I202" i="4"/>
  <c r="G202" i="4"/>
  <c r="E202" i="4"/>
  <c r="I201" i="4"/>
  <c r="G201" i="4"/>
  <c r="E201" i="4"/>
  <c r="I200" i="4"/>
  <c r="G200" i="4"/>
  <c r="E200" i="4"/>
  <c r="I199" i="4"/>
  <c r="G199" i="4"/>
  <c r="E199" i="4"/>
  <c r="I198" i="4"/>
  <c r="G198" i="4"/>
  <c r="E198" i="4"/>
  <c r="I197" i="4"/>
  <c r="G197" i="4"/>
  <c r="E197" i="4"/>
  <c r="I196" i="4"/>
  <c r="G196" i="4"/>
  <c r="E196" i="4"/>
  <c r="I195" i="4"/>
  <c r="G195" i="4"/>
  <c r="E195" i="4"/>
  <c r="I194" i="4"/>
  <c r="G194" i="4"/>
  <c r="E194" i="4"/>
  <c r="I193" i="4"/>
  <c r="G193" i="4"/>
  <c r="E193" i="4"/>
  <c r="I192" i="4"/>
  <c r="G192" i="4"/>
  <c r="E192" i="4"/>
  <c r="I191" i="4"/>
  <c r="G191" i="4"/>
  <c r="E191" i="4"/>
  <c r="I190" i="4"/>
  <c r="G190" i="4"/>
  <c r="E190" i="4"/>
  <c r="I189" i="4"/>
  <c r="G189" i="4"/>
  <c r="E189" i="4"/>
  <c r="I188" i="4"/>
  <c r="G188" i="4"/>
  <c r="E188" i="4"/>
  <c r="I187" i="4"/>
  <c r="G187" i="4"/>
  <c r="E187" i="4"/>
  <c r="I186" i="4"/>
  <c r="G186" i="4"/>
  <c r="E186" i="4"/>
  <c r="I185" i="4"/>
  <c r="G185" i="4"/>
  <c r="E185" i="4"/>
  <c r="I184" i="4"/>
  <c r="G184" i="4"/>
  <c r="E184" i="4"/>
  <c r="I183" i="4"/>
  <c r="G183" i="4"/>
  <c r="E183" i="4"/>
  <c r="I182" i="4"/>
  <c r="G182" i="4"/>
  <c r="E182" i="4"/>
  <c r="I181" i="4"/>
  <c r="G181" i="4"/>
  <c r="E181" i="4"/>
  <c r="I180" i="4"/>
  <c r="G180" i="4"/>
  <c r="E180" i="4"/>
  <c r="I179" i="4"/>
  <c r="G179" i="4"/>
  <c r="E179" i="4"/>
  <c r="I178" i="4"/>
  <c r="G178" i="4"/>
  <c r="E178" i="4"/>
  <c r="I177" i="4"/>
  <c r="G177" i="4"/>
  <c r="E177" i="4"/>
  <c r="I176" i="4"/>
  <c r="G176" i="4"/>
  <c r="E176" i="4"/>
  <c r="I175" i="4"/>
  <c r="G175" i="4"/>
  <c r="E175" i="4"/>
  <c r="I174" i="4"/>
  <c r="G174" i="4"/>
  <c r="E174" i="4"/>
  <c r="I173" i="4"/>
  <c r="G173" i="4"/>
  <c r="E173" i="4"/>
  <c r="I172" i="4"/>
  <c r="G172" i="4"/>
  <c r="E172" i="4"/>
  <c r="I171" i="4"/>
  <c r="G171" i="4"/>
  <c r="E171" i="4"/>
  <c r="I170" i="4"/>
  <c r="G170" i="4"/>
  <c r="E170" i="4"/>
  <c r="I169" i="4"/>
  <c r="G169" i="4"/>
  <c r="E169" i="4"/>
  <c r="I168" i="4"/>
  <c r="G168" i="4"/>
  <c r="E168" i="4"/>
  <c r="I167" i="4"/>
  <c r="G167" i="4"/>
  <c r="E167" i="4"/>
  <c r="I166" i="4"/>
  <c r="G166" i="4"/>
  <c r="E166" i="4"/>
  <c r="I165" i="4"/>
  <c r="G165" i="4"/>
  <c r="E165" i="4"/>
  <c r="I164" i="4"/>
  <c r="G164" i="4"/>
  <c r="E164" i="4"/>
  <c r="I163" i="4"/>
  <c r="G163" i="4"/>
  <c r="E163" i="4"/>
  <c r="I162" i="4"/>
  <c r="G162" i="4"/>
  <c r="E162" i="4"/>
  <c r="I161" i="4"/>
  <c r="G161" i="4"/>
  <c r="E161" i="4"/>
  <c r="I160" i="4"/>
  <c r="G160" i="4"/>
  <c r="E160" i="4"/>
  <c r="I159" i="4"/>
  <c r="G159" i="4"/>
  <c r="E159" i="4"/>
  <c r="I158" i="4"/>
  <c r="G158" i="4"/>
  <c r="E158" i="4"/>
  <c r="I157" i="4"/>
  <c r="G157" i="4"/>
  <c r="E157" i="4"/>
  <c r="I156" i="4"/>
  <c r="G156" i="4"/>
  <c r="E156" i="4"/>
  <c r="I155" i="4"/>
  <c r="G155" i="4"/>
  <c r="E155" i="4"/>
  <c r="I154" i="4"/>
  <c r="G154" i="4"/>
  <c r="E154" i="4"/>
  <c r="I153" i="4"/>
  <c r="G153" i="4"/>
  <c r="E153" i="4"/>
  <c r="I152" i="4"/>
  <c r="G152" i="4"/>
  <c r="E152" i="4"/>
  <c r="I151" i="4"/>
  <c r="G151" i="4"/>
  <c r="E151" i="4"/>
  <c r="I150" i="4"/>
  <c r="G150" i="4"/>
  <c r="E150" i="4"/>
  <c r="I149" i="4"/>
  <c r="G149" i="4"/>
  <c r="E149" i="4"/>
  <c r="I148" i="4"/>
  <c r="G148" i="4"/>
  <c r="E148" i="4"/>
  <c r="I147" i="4"/>
  <c r="G147" i="4"/>
  <c r="E147" i="4"/>
  <c r="I146" i="4"/>
  <c r="G146" i="4"/>
  <c r="E146" i="4"/>
  <c r="I145" i="4"/>
  <c r="G145" i="4"/>
  <c r="E145" i="4"/>
  <c r="I144" i="4"/>
  <c r="G144" i="4"/>
  <c r="E144" i="4"/>
  <c r="I143" i="4"/>
  <c r="G143" i="4"/>
  <c r="E143" i="4"/>
  <c r="I142" i="4"/>
  <c r="G142" i="4"/>
  <c r="E142" i="4"/>
  <c r="I141" i="4"/>
  <c r="G141" i="4"/>
  <c r="E141" i="4"/>
  <c r="I140" i="4"/>
  <c r="G140" i="4"/>
  <c r="E140" i="4"/>
  <c r="I139" i="4"/>
  <c r="G139" i="4"/>
  <c r="E139" i="4"/>
  <c r="I138" i="4"/>
  <c r="G138" i="4"/>
  <c r="E138" i="4"/>
  <c r="I137" i="4"/>
  <c r="G137" i="4"/>
  <c r="E137" i="4"/>
  <c r="I136" i="4"/>
  <c r="G136" i="4"/>
  <c r="E136" i="4"/>
  <c r="I135" i="4"/>
  <c r="G135" i="4"/>
  <c r="E135" i="4"/>
  <c r="I134" i="4"/>
  <c r="G134" i="4"/>
  <c r="E134" i="4"/>
  <c r="I133" i="4"/>
  <c r="G133" i="4"/>
  <c r="E133" i="4"/>
  <c r="I132" i="4"/>
  <c r="G132" i="4"/>
  <c r="E132" i="4"/>
  <c r="I131" i="4"/>
  <c r="G131" i="4"/>
  <c r="E131" i="4"/>
  <c r="I130" i="4"/>
  <c r="G130" i="4"/>
  <c r="E130" i="4"/>
  <c r="I129" i="4"/>
  <c r="G129" i="4"/>
  <c r="E129" i="4"/>
  <c r="I128" i="4"/>
  <c r="G128" i="4"/>
  <c r="E128" i="4"/>
  <c r="I127" i="4"/>
  <c r="G127" i="4"/>
  <c r="E127" i="4"/>
  <c r="I126" i="4"/>
  <c r="G126" i="4"/>
  <c r="E126" i="4"/>
  <c r="I125" i="4"/>
  <c r="G125" i="4"/>
  <c r="E125" i="4"/>
  <c r="I124" i="4"/>
  <c r="G124" i="4"/>
  <c r="E124" i="4"/>
  <c r="I123" i="4"/>
  <c r="G123" i="4"/>
  <c r="E123" i="4"/>
  <c r="I122" i="4"/>
  <c r="G122" i="4"/>
  <c r="E122" i="4"/>
  <c r="I121" i="4"/>
  <c r="G121" i="4"/>
  <c r="E121" i="4"/>
  <c r="I120" i="4"/>
  <c r="G120" i="4"/>
  <c r="E120" i="4"/>
  <c r="I119" i="4"/>
  <c r="G119" i="4"/>
  <c r="E119" i="4"/>
  <c r="I118" i="4"/>
  <c r="G118" i="4"/>
  <c r="E118" i="4"/>
  <c r="I117" i="4"/>
  <c r="G117" i="4"/>
  <c r="E117" i="4"/>
  <c r="I116" i="4"/>
  <c r="G116" i="4"/>
  <c r="E116" i="4"/>
  <c r="I115" i="4"/>
  <c r="G115" i="4"/>
  <c r="E115" i="4"/>
  <c r="I114" i="4"/>
  <c r="G114" i="4"/>
  <c r="E114" i="4"/>
  <c r="I113" i="4"/>
  <c r="G113" i="4"/>
  <c r="E113" i="4"/>
  <c r="I112" i="4"/>
  <c r="G112" i="4"/>
  <c r="E112" i="4"/>
  <c r="I111" i="4"/>
  <c r="G111" i="4"/>
  <c r="E111" i="4"/>
  <c r="I110" i="4"/>
  <c r="G110" i="4"/>
  <c r="E110" i="4"/>
  <c r="I109" i="4"/>
  <c r="G109" i="4"/>
  <c r="E109" i="4"/>
  <c r="I108" i="4"/>
  <c r="G108" i="4"/>
  <c r="E108" i="4"/>
  <c r="I107" i="4"/>
  <c r="G107" i="4"/>
  <c r="E107" i="4"/>
  <c r="I106" i="4"/>
  <c r="G106" i="4"/>
  <c r="E106" i="4"/>
  <c r="I105" i="4"/>
  <c r="G105" i="4"/>
  <c r="E105" i="4"/>
  <c r="I104" i="4"/>
  <c r="G104" i="4"/>
  <c r="E104" i="4"/>
  <c r="I103" i="4"/>
  <c r="G103" i="4"/>
  <c r="E103" i="4"/>
  <c r="I102" i="4"/>
  <c r="G102" i="4"/>
  <c r="E102" i="4"/>
  <c r="I101" i="4"/>
  <c r="G101" i="4"/>
  <c r="E101" i="4"/>
  <c r="I100" i="4"/>
  <c r="G100" i="4"/>
  <c r="E100" i="4"/>
  <c r="I99" i="4"/>
  <c r="G99" i="4"/>
  <c r="E99" i="4"/>
  <c r="I98" i="4"/>
  <c r="G98" i="4"/>
  <c r="E98" i="4"/>
  <c r="I97" i="4"/>
  <c r="G97" i="4"/>
  <c r="E97" i="4"/>
  <c r="I96" i="4"/>
  <c r="G96" i="4"/>
  <c r="E96" i="4"/>
  <c r="I95" i="4"/>
  <c r="G95" i="4"/>
  <c r="E95" i="4"/>
  <c r="I94" i="4"/>
  <c r="G94" i="4"/>
  <c r="E94" i="4"/>
  <c r="I93" i="4"/>
  <c r="G93" i="4"/>
  <c r="E93" i="4"/>
  <c r="I92" i="4"/>
  <c r="G92" i="4"/>
  <c r="E92" i="4"/>
  <c r="I91" i="4"/>
  <c r="G91" i="4"/>
  <c r="E91" i="4"/>
  <c r="I90" i="4"/>
  <c r="G90" i="4"/>
  <c r="E90" i="4"/>
  <c r="I89" i="4"/>
  <c r="G89" i="4"/>
  <c r="E89" i="4"/>
  <c r="I88" i="4"/>
  <c r="G88" i="4"/>
  <c r="E88" i="4"/>
  <c r="I87" i="4"/>
  <c r="G87" i="4"/>
  <c r="E87" i="4"/>
  <c r="I86" i="4"/>
  <c r="G86" i="4"/>
  <c r="E86" i="4"/>
  <c r="I85" i="4"/>
  <c r="G85" i="4"/>
  <c r="E85" i="4"/>
  <c r="I84" i="4"/>
  <c r="G84" i="4"/>
  <c r="E84" i="4"/>
  <c r="I83" i="4"/>
  <c r="G83" i="4"/>
  <c r="E83" i="4"/>
  <c r="I82" i="4"/>
  <c r="G82" i="4"/>
  <c r="E82" i="4"/>
  <c r="I81" i="4"/>
  <c r="G81" i="4"/>
  <c r="E81" i="4"/>
  <c r="I80" i="4"/>
  <c r="G80" i="4"/>
  <c r="E80" i="4"/>
  <c r="I79" i="4"/>
  <c r="G79" i="4"/>
  <c r="E79" i="4"/>
  <c r="I78" i="4"/>
  <c r="G78" i="4"/>
  <c r="E78" i="4"/>
  <c r="I77" i="4"/>
  <c r="G77" i="4"/>
  <c r="E77" i="4"/>
  <c r="I76" i="4"/>
  <c r="G76" i="4"/>
  <c r="E76" i="4"/>
  <c r="I75" i="4"/>
  <c r="G75" i="4"/>
  <c r="E75" i="4"/>
  <c r="I74" i="4"/>
  <c r="G74" i="4"/>
  <c r="E74" i="4"/>
  <c r="I73" i="4"/>
  <c r="G73" i="4"/>
  <c r="E73" i="4"/>
  <c r="I72" i="4"/>
  <c r="G72" i="4"/>
  <c r="E72" i="4"/>
  <c r="I71" i="4"/>
  <c r="G71" i="4"/>
  <c r="E71" i="4"/>
  <c r="I70" i="4"/>
  <c r="G70" i="4"/>
  <c r="E70" i="4"/>
  <c r="I69" i="4"/>
  <c r="G69" i="4"/>
  <c r="E69" i="4"/>
  <c r="I68" i="4"/>
  <c r="G68" i="4"/>
  <c r="E68" i="4"/>
  <c r="I67" i="4"/>
  <c r="G67" i="4"/>
  <c r="E67" i="4"/>
  <c r="I66" i="4"/>
  <c r="G66" i="4"/>
  <c r="E66" i="4"/>
  <c r="I65" i="4"/>
  <c r="G65" i="4"/>
  <c r="E65" i="4"/>
  <c r="I64" i="4"/>
  <c r="G64" i="4"/>
  <c r="E64" i="4"/>
  <c r="I63" i="4"/>
  <c r="G63" i="4"/>
  <c r="E63" i="4"/>
  <c r="I62" i="4"/>
  <c r="G62" i="4"/>
  <c r="E62" i="4"/>
  <c r="I61" i="4"/>
  <c r="G61" i="4"/>
  <c r="E61" i="4"/>
  <c r="I60" i="4"/>
  <c r="G60" i="4"/>
  <c r="E60" i="4"/>
  <c r="I59" i="4"/>
  <c r="G59" i="4"/>
  <c r="E59" i="4"/>
  <c r="I58" i="4"/>
  <c r="G58" i="4"/>
  <c r="E58" i="4"/>
  <c r="I57" i="4"/>
  <c r="G57" i="4"/>
  <c r="E57" i="4"/>
  <c r="I56" i="4"/>
  <c r="G56" i="4"/>
  <c r="E56" i="4"/>
  <c r="I55" i="4"/>
  <c r="G55" i="4"/>
  <c r="E55" i="4"/>
  <c r="I54" i="4"/>
  <c r="G54" i="4"/>
  <c r="E54" i="4"/>
  <c r="I53" i="4"/>
  <c r="G53" i="4"/>
  <c r="E53" i="4"/>
  <c r="I52" i="4"/>
  <c r="G52" i="4"/>
  <c r="E52" i="4"/>
  <c r="I51" i="4"/>
  <c r="G51" i="4"/>
  <c r="E51" i="4"/>
  <c r="I50" i="4"/>
  <c r="G50" i="4"/>
  <c r="E50" i="4"/>
  <c r="I49" i="4"/>
  <c r="G49" i="4"/>
  <c r="E49" i="4"/>
  <c r="I48" i="4"/>
  <c r="G48" i="4"/>
  <c r="E48" i="4"/>
  <c r="I47" i="4"/>
  <c r="G47" i="4"/>
  <c r="E47" i="4"/>
  <c r="I46" i="4"/>
  <c r="G46" i="4"/>
  <c r="E46" i="4"/>
  <c r="I45" i="4"/>
  <c r="G45" i="4"/>
  <c r="E45" i="4"/>
  <c r="I44" i="4"/>
  <c r="G44" i="4"/>
  <c r="E44" i="4"/>
  <c r="I43" i="4"/>
  <c r="G43" i="4"/>
  <c r="E43" i="4"/>
  <c r="I42" i="4"/>
  <c r="G42" i="4"/>
  <c r="E42" i="4"/>
  <c r="I41" i="4"/>
  <c r="G41" i="4"/>
  <c r="E41" i="4"/>
  <c r="I40" i="4"/>
  <c r="G40" i="4"/>
  <c r="E40" i="4"/>
  <c r="I39" i="4"/>
  <c r="G39" i="4"/>
  <c r="E39" i="4"/>
  <c r="I38" i="4"/>
  <c r="G38" i="4"/>
  <c r="E38" i="4"/>
  <c r="I37" i="4"/>
  <c r="G37" i="4"/>
  <c r="E37" i="4"/>
  <c r="I36" i="4"/>
  <c r="G36" i="4"/>
  <c r="E36" i="4"/>
  <c r="I35" i="4"/>
  <c r="G35" i="4"/>
  <c r="E35" i="4"/>
  <c r="I34" i="4"/>
  <c r="G34" i="4"/>
  <c r="E34" i="4"/>
  <c r="I33" i="4"/>
  <c r="G33" i="4"/>
  <c r="E33" i="4"/>
  <c r="I32" i="4"/>
  <c r="G32" i="4"/>
  <c r="E32" i="4"/>
  <c r="I31" i="4"/>
  <c r="G31" i="4"/>
  <c r="E31" i="4"/>
  <c r="I30" i="4"/>
  <c r="G30" i="4"/>
  <c r="E30" i="4"/>
  <c r="I29" i="4"/>
  <c r="G29" i="4"/>
  <c r="E29" i="4"/>
  <c r="I28" i="4"/>
  <c r="G28" i="4"/>
  <c r="E28" i="4"/>
  <c r="I27" i="4"/>
  <c r="G27" i="4"/>
  <c r="E27" i="4"/>
  <c r="I26" i="4"/>
  <c r="G26" i="4"/>
  <c r="E26" i="4"/>
  <c r="I25" i="4"/>
  <c r="G25" i="4"/>
  <c r="E25" i="4"/>
  <c r="I24" i="4"/>
  <c r="G24" i="4"/>
  <c r="E24" i="4"/>
  <c r="I23" i="4"/>
  <c r="G23" i="4"/>
  <c r="E23" i="4"/>
  <c r="I22" i="4"/>
  <c r="G22" i="4"/>
  <c r="E22" i="4"/>
  <c r="I21" i="4"/>
  <c r="G21" i="4"/>
  <c r="E21" i="4"/>
  <c r="I20" i="4"/>
  <c r="G20" i="4"/>
  <c r="E20" i="4"/>
  <c r="I19" i="4"/>
  <c r="G19" i="4"/>
  <c r="E19" i="4"/>
  <c r="S18" i="4"/>
  <c r="I18" i="4"/>
  <c r="G18" i="4"/>
  <c r="E18" i="4"/>
  <c r="I17" i="4"/>
  <c r="G17" i="4"/>
  <c r="E17" i="4"/>
  <c r="I16" i="4"/>
  <c r="G16" i="4"/>
  <c r="E16" i="4"/>
  <c r="I15" i="4"/>
  <c r="G15" i="4"/>
  <c r="E15" i="4"/>
  <c r="I14" i="4"/>
  <c r="G14" i="4"/>
  <c r="E14" i="4"/>
  <c r="I13" i="4"/>
  <c r="G13" i="4"/>
  <c r="E13" i="4"/>
  <c r="I12" i="4"/>
  <c r="G12" i="4"/>
  <c r="E12" i="4"/>
  <c r="I11" i="4"/>
  <c r="G11" i="4"/>
  <c r="E11" i="4"/>
  <c r="I10" i="4"/>
  <c r="G10" i="4"/>
  <c r="E10" i="4"/>
  <c r="I9" i="4"/>
  <c r="G9" i="4"/>
  <c r="E9" i="4"/>
  <c r="I8" i="4"/>
  <c r="G8" i="4"/>
  <c r="E8" i="4"/>
  <c r="U7" i="4"/>
  <c r="I7" i="4"/>
  <c r="G7" i="4"/>
  <c r="E7" i="4"/>
  <c r="I6" i="4"/>
  <c r="G6" i="4"/>
  <c r="E6" i="4"/>
  <c r="U5" i="4"/>
  <c r="I5" i="4"/>
  <c r="G5" i="4"/>
  <c r="E5" i="4"/>
  <c r="I4" i="4"/>
  <c r="G4" i="4"/>
  <c r="E4" i="4"/>
  <c r="U3" i="4"/>
  <c r="I3" i="4"/>
  <c r="G3" i="4"/>
  <c r="E3" i="4"/>
  <c r="I2" i="4"/>
  <c r="G2" i="4"/>
  <c r="E2" i="4"/>
</calcChain>
</file>

<file path=xl/comments1.xml><?xml version="1.0" encoding="utf-8"?>
<comments xmlns="http://schemas.openxmlformats.org/spreadsheetml/2006/main">
  <authors>
    <author>admin</author>
  </authors>
  <commentList>
    <comment ref="U3" authorId="0" shapeId="0">
      <text>
        <r>
          <rPr>
            <b/>
            <sz val="9"/>
            <color indexed="81"/>
            <rFont val="Tahoma"/>
            <family val="2"/>
          </rPr>
          <t>admin:</t>
        </r>
        <r>
          <rPr>
            <sz val="9"/>
            <color indexed="81"/>
            <rFont val="Tahoma"/>
            <family val="2"/>
          </rPr>
          <t xml:space="preserve">
</t>
        </r>
        <r>
          <rPr>
            <sz val="12"/>
            <color indexed="81"/>
            <rFont val="Tahoma"/>
            <family val="2"/>
          </rPr>
          <t>There is a positive correlation between temperature (temp) and the total count of rentals (cnt). As the temperature increases, people are more likely to rent bikes.</t>
        </r>
      </text>
    </comment>
    <comment ref="U5" authorId="0" shapeId="0">
      <text>
        <r>
          <rPr>
            <b/>
            <sz val="12"/>
            <color indexed="81"/>
            <rFont val="Tahoma"/>
            <family val="2"/>
          </rPr>
          <t>admin:</t>
        </r>
        <r>
          <rPr>
            <sz val="12"/>
            <color indexed="81"/>
            <rFont val="Tahoma"/>
            <family val="2"/>
          </rPr>
          <t xml:space="preserve">
Humidity shows a negative correlation with bike rentals. Higher humidity levels generally lead to a decrease in the number of rentals.</t>
        </r>
      </text>
    </comment>
    <comment ref="U7" authorId="0" shapeId="0">
      <text>
        <r>
          <rPr>
            <b/>
            <sz val="9"/>
            <color indexed="81"/>
            <rFont val="Tahoma"/>
            <family val="2"/>
          </rPr>
          <t>admin:</t>
        </r>
        <r>
          <rPr>
            <sz val="9"/>
            <color indexed="81"/>
            <rFont val="Tahoma"/>
            <family val="2"/>
          </rPr>
          <t xml:space="preserve">
</t>
        </r>
        <r>
          <rPr>
            <sz val="12"/>
            <color indexed="81"/>
            <rFont val="Tahoma"/>
            <family val="2"/>
          </rPr>
          <t>As expected, poorer weather conditions (weathersit) are strongly correlated with higher humidity levels.</t>
        </r>
      </text>
    </comment>
  </commentList>
</comments>
</file>

<file path=xl/connections.xml><?xml version="1.0" encoding="utf-8"?>
<connections xmlns="http://schemas.openxmlformats.org/spreadsheetml/2006/main">
  <connection id="1" keepAlive="1" name="Query - dataset_3 (2)" description="Connection to the 'dataset_3 (2)' query in the workbook." type="5" refreshedVersion="6" background="1" saveData="1">
    <dbPr connection="Provider=Microsoft.Mashup.OleDb.1;Data Source=$Workbook$;Location=dataset_3 (2);Extended Properties=&quot;&quot;" command="SELECT * FROM [dataset_3 (2)]"/>
  </connection>
  <connection id="2" keepAlive="1" name="Query - dataset_a (2)" description="Connection to the 'dataset_a (2)' query in the workbook." type="5" refreshedVersion="6" background="1" saveData="1">
    <dbPr connection="Provider=Microsoft.Mashup.OleDb.1;Data Source=$Workbook$;Location=dataset_a (2);Extended Properties=&quot;&quot;" command="SELECT * FROM [dataset_a (2)]"/>
  </connection>
</connections>
</file>

<file path=xl/sharedStrings.xml><?xml version="1.0" encoding="utf-8"?>
<sst xmlns="http://schemas.openxmlformats.org/spreadsheetml/2006/main" count="198" uniqueCount="100">
  <si>
    <t>instant</t>
  </si>
  <si>
    <t>dteday</t>
  </si>
  <si>
    <t>hr</t>
  </si>
  <si>
    <t>holiday</t>
  </si>
  <si>
    <t>weekday</t>
  </si>
  <si>
    <t>weathersit</t>
  </si>
  <si>
    <t>temp</t>
  </si>
  <si>
    <t>NewColumn.instant</t>
  </si>
  <si>
    <t>atemp</t>
  </si>
  <si>
    <t>hum</t>
  </si>
  <si>
    <t>windspeed</t>
  </si>
  <si>
    <t>casual</t>
  </si>
  <si>
    <t>registered</t>
  </si>
  <si>
    <t>cnt</t>
  </si>
  <si>
    <t>Holiday/workingday</t>
  </si>
  <si>
    <t>week name</t>
  </si>
  <si>
    <t>weather condition</t>
  </si>
  <si>
    <t>Mean</t>
  </si>
  <si>
    <t>Median</t>
  </si>
  <si>
    <t>Mode</t>
  </si>
  <si>
    <t>Standard Deviation</t>
  </si>
  <si>
    <t>Sample Variance</t>
  </si>
  <si>
    <t>Range</t>
  </si>
  <si>
    <t>Minimum</t>
  </si>
  <si>
    <t>Maximum</t>
  </si>
  <si>
    <t>Sum</t>
  </si>
  <si>
    <t>Count</t>
  </si>
  <si>
    <t>Largest(1)</t>
  </si>
  <si>
    <t>Smallest(1)</t>
  </si>
  <si>
    <t>Temperature vs. Rentals</t>
  </si>
  <si>
    <t>CORRELATION INSIGHTS</t>
  </si>
  <si>
    <t>Humidity vs. Rentals</t>
  </si>
  <si>
    <t>Weather Situation vs. Humidity</t>
  </si>
  <si>
    <t>Sun</t>
  </si>
  <si>
    <t>Sat</t>
  </si>
  <si>
    <t>Grand Total</t>
  </si>
  <si>
    <t>Column Labels</t>
  </si>
  <si>
    <t>Sum of cnt</t>
  </si>
  <si>
    <t>heavy rain</t>
  </si>
  <si>
    <t>light rain</t>
  </si>
  <si>
    <t>mist/cloudy</t>
  </si>
  <si>
    <t>extreme weather condition</t>
  </si>
  <si>
    <t>Average of cnt</t>
  </si>
  <si>
    <t>hours</t>
  </si>
  <si>
    <t>Sum of casual</t>
  </si>
  <si>
    <t>Sum of registered</t>
  </si>
  <si>
    <t>Values</t>
  </si>
  <si>
    <t>Average of temp</t>
  </si>
  <si>
    <t>WEEK DAYS</t>
  </si>
  <si>
    <t>Average of atemp</t>
  </si>
  <si>
    <t>Row Labels</t>
  </si>
  <si>
    <t>CNT(RENTALS) STATISTICS</t>
  </si>
  <si>
    <t>TEMPERATURE STATISTICS</t>
  </si>
  <si>
    <t>Category</t>
  </si>
  <si>
    <t>KPI Name</t>
  </si>
  <si>
    <t>Current Value</t>
  </si>
  <si>
    <t>Business Insight</t>
  </si>
  <si>
    <t>Volume</t>
  </si>
  <si>
    <t>Total Rentals (Count)</t>
  </si>
  <si>
    <t>Total market demand within the period.</t>
  </si>
  <si>
    <t>Max Hourly Load</t>
  </si>
  <si>
    <t>249 Bikes</t>
  </si>
  <si>
    <t>Peak capacity required at your busiest station.</t>
  </si>
  <si>
    <t>Efficiency</t>
  </si>
  <si>
    <t>Commute Efficiency</t>
  </si>
  <si>
    <t>172 (Avg at 5 PM)</t>
  </si>
  <si>
    <t>Shows the service's primary value as a transit solution.</t>
  </si>
  <si>
    <t>Working Day Advantage</t>
  </si>
  <si>
    <t>+41% Volume</t>
  </si>
  <si>
    <t>User Type</t>
  </si>
  <si>
    <t>Member Loyalty Rate</t>
  </si>
  <si>
    <t>Registered users are the backbone of the business.</t>
  </si>
  <si>
    <t>Weekend Tourism Growth</t>
  </si>
  <si>
    <t>~1,350 Casual/Day</t>
  </si>
  <si>
    <t>Casual users are 3x more active on weekends than weekdays.</t>
  </si>
  <si>
    <t>Weather</t>
  </si>
  <si>
    <t>Rain Sensitivity</t>
  </si>
  <si>
    <t>-46% Demand</t>
  </si>
  <si>
    <t>Drop in average rentals during Heavy Rain vs. Clear/Mist.</t>
  </si>
  <si>
    <t>Humidity Impact</t>
  </si>
  <si>
    <t>-34% Demand</t>
  </si>
  <si>
    <t>High humidity (&gt;60) significantly reduces bike usage.</t>
  </si>
  <si>
    <t>Higher average demand on workdays (58.7) vs. holidays (41.7).</t>
  </si>
  <si>
    <t>Mon</t>
  </si>
  <si>
    <t>Tue</t>
  </si>
  <si>
    <t>Wed</t>
  </si>
  <si>
    <t>Thu</t>
  </si>
  <si>
    <t>Fri</t>
  </si>
  <si>
    <t>weekdays</t>
  </si>
  <si>
    <t>weekends</t>
  </si>
  <si>
    <t>TOTAL RIDES</t>
  </si>
  <si>
    <t>s</t>
  </si>
  <si>
    <t>top 3 higehest temp</t>
  </si>
  <si>
    <t>top 3 higehest rentals</t>
  </si>
  <si>
    <t>higest rental counts/rides</t>
  </si>
  <si>
    <t>thu</t>
  </si>
  <si>
    <t>highest rental hours</t>
  </si>
  <si>
    <t>lowest rental hours</t>
  </si>
  <si>
    <t>Statistics (registered user)</t>
  </si>
  <si>
    <t>Statistics (casual user)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</si>
</sst>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sz val="11"/>
      <color theme="1"/>
      <name val="Calibri"/>
      <family val="2"/>
      <scheme val="minor"/>
    </font>
    <font>
      <b/>
      <sz val="11"/>
      <color theme="0"/>
      <name val="Calibri"/>
      <family val="2"/>
      <scheme val="minor"/>
    </font>
    <font>
      <sz val="11"/>
      <color theme="1"/>
      <name val="Calibri"/>
      <family val="2"/>
      <scheme val="minor"/>
    </font>
    <font>
      <sz val="11"/>
      <color rgb="FF006100"/>
      <name val="Calibri"/>
      <family val="2"/>
      <scheme val="minor"/>
    </font>
    <font>
      <sz val="9"/>
      <color indexed="81"/>
      <name val="Tahoma"/>
      <family val="2"/>
    </font>
    <font>
      <b/>
      <sz val="9"/>
      <color indexed="81"/>
      <name val="Tahoma"/>
      <family val="2"/>
    </font>
    <font>
      <sz val="12"/>
      <color indexed="81"/>
      <name val="Tahoma"/>
      <family val="2"/>
    </font>
    <font>
      <b/>
      <sz val="12"/>
      <color indexed="81"/>
      <name val="Tahoma"/>
      <family val="2"/>
    </font>
    <font>
      <sz val="11"/>
      <color rgb="FF1F1F1F"/>
      <name val="Arial"/>
      <family val="2"/>
    </font>
    <font>
      <b/>
      <sz val="11"/>
      <color rgb="FF1F1F1F"/>
      <name val="Arial"/>
      <family val="2"/>
    </font>
    <font>
      <i/>
      <sz val="11"/>
      <color theme="1"/>
      <name val="Calibri"/>
      <family val="2"/>
      <scheme val="minor"/>
    </font>
  </fonts>
  <fills count="18">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C6EFCE"/>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4" tint="0.59999389629810485"/>
        <bgColor indexed="65"/>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
      <patternFill patternType="solid">
        <fgColor rgb="FFFFC000"/>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9" tint="0.59999389629810485"/>
        <bgColor indexed="64"/>
      </patternFill>
    </fill>
  </fills>
  <borders count="11">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0" fontId="3"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cellStyleXfs>
  <cellXfs count="48">
    <xf numFmtId="0" fontId="0" fillId="0" borderId="0" xfId="0"/>
    <xf numFmtId="0" fontId="0" fillId="0" borderId="0" xfId="0" applyNumberFormat="1"/>
    <xf numFmtId="14" fontId="0" fillId="0" borderId="0" xfId="0" applyNumberFormat="1"/>
    <xf numFmtId="0" fontId="1" fillId="2" borderId="4" xfId="0" applyNumberFormat="1" applyFont="1" applyFill="1" applyBorder="1"/>
    <xf numFmtId="0" fontId="1" fillId="2" borderId="5" xfId="0" applyNumberFormat="1" applyFont="1" applyFill="1" applyBorder="1"/>
    <xf numFmtId="0" fontId="1" fillId="2" borderId="6" xfId="0" applyNumberFormat="1" applyFont="1" applyFill="1" applyBorder="1"/>
    <xf numFmtId="0" fontId="0" fillId="3" borderId="4" xfId="0" applyNumberFormat="1" applyFont="1" applyFill="1" applyBorder="1"/>
    <xf numFmtId="14" fontId="0" fillId="3" borderId="5" xfId="0" applyNumberFormat="1" applyFont="1" applyFill="1" applyBorder="1"/>
    <xf numFmtId="0" fontId="0" fillId="3" borderId="5" xfId="0" applyNumberFormat="1" applyFont="1" applyFill="1" applyBorder="1"/>
    <xf numFmtId="0" fontId="0" fillId="3" borderId="6" xfId="0" applyNumberFormat="1" applyFont="1" applyFill="1" applyBorder="1"/>
    <xf numFmtId="0" fontId="0" fillId="0" borderId="4" xfId="0" applyNumberFormat="1" applyFont="1" applyBorder="1"/>
    <xf numFmtId="14" fontId="0" fillId="0" borderId="5" xfId="0" applyNumberFormat="1" applyFont="1" applyBorder="1"/>
    <xf numFmtId="0" fontId="0" fillId="0" borderId="5" xfId="0" applyNumberFormat="1" applyFont="1" applyBorder="1"/>
    <xf numFmtId="0" fontId="0" fillId="0" borderId="6" xfId="0" applyNumberFormat="1" applyFont="1" applyBorder="1"/>
    <xf numFmtId="0" fontId="0" fillId="3" borderId="1" xfId="0" applyNumberFormat="1" applyFont="1" applyFill="1" applyBorder="1"/>
    <xf numFmtId="14" fontId="0" fillId="3" borderId="2" xfId="0" applyNumberFormat="1" applyFont="1" applyFill="1" applyBorder="1"/>
    <xf numFmtId="0" fontId="0" fillId="3" borderId="2" xfId="0" applyNumberFormat="1" applyFont="1" applyFill="1" applyBorder="1"/>
    <xf numFmtId="0" fontId="0" fillId="3" borderId="3" xfId="0" applyNumberFormat="1" applyFont="1" applyFill="1" applyBorder="1"/>
    <xf numFmtId="0" fontId="0" fillId="0" borderId="7" xfId="0" applyFill="1" applyBorder="1" applyAlignment="1"/>
    <xf numFmtId="0" fontId="2" fillId="6" borderId="7" xfId="3" applyBorder="1" applyAlignment="1">
      <alignment horizontal="centerContinuous"/>
    </xf>
    <xf numFmtId="0" fontId="2" fillId="5" borderId="7" xfId="2" applyBorder="1" applyAlignment="1"/>
    <xf numFmtId="0" fontId="0" fillId="9" borderId="7" xfId="0" applyFill="1" applyBorder="1" applyAlignment="1"/>
    <xf numFmtId="0" fontId="0" fillId="6" borderId="7" xfId="3" applyFont="1" applyBorder="1" applyAlignment="1">
      <alignment horizontal="centerContinuous"/>
    </xf>
    <xf numFmtId="0" fontId="2" fillId="8" borderId="7" xfId="5" applyBorder="1"/>
    <xf numFmtId="0" fontId="2" fillId="7" borderId="7" xfId="4" applyBorder="1"/>
    <xf numFmtId="0" fontId="3" fillId="4" borderId="7" xfId="1" applyBorder="1"/>
    <xf numFmtId="0" fontId="0" fillId="0" borderId="0" xfId="0" pivotButton="1"/>
    <xf numFmtId="0" fontId="0" fillId="0" borderId="0" xfId="0" applyAlignment="1">
      <alignment horizontal="left"/>
    </xf>
    <xf numFmtId="2" fontId="0" fillId="0" borderId="0" xfId="0" applyNumberFormat="1"/>
    <xf numFmtId="0" fontId="2" fillId="10" borderId="7" xfId="6" applyBorder="1" applyAlignment="1"/>
    <xf numFmtId="0" fontId="0" fillId="11" borderId="7" xfId="0" applyFill="1" applyBorder="1" applyAlignment="1"/>
    <xf numFmtId="0" fontId="9" fillId="0" borderId="8" xfId="0" applyFont="1" applyBorder="1" applyAlignment="1">
      <alignment horizontal="left" vertical="center" wrapText="1" indent="1" readingOrder="1"/>
    </xf>
    <xf numFmtId="0" fontId="9" fillId="0" borderId="8" xfId="0" applyFont="1" applyBorder="1" applyAlignment="1">
      <alignment vertical="center" wrapText="1" readingOrder="1"/>
    </xf>
    <xf numFmtId="3" fontId="9" fillId="0" borderId="8" xfId="0" applyNumberFormat="1" applyFont="1" applyBorder="1" applyAlignment="1">
      <alignment horizontal="left" vertical="center" wrapText="1" indent="1" readingOrder="1"/>
    </xf>
    <xf numFmtId="0" fontId="8" fillId="0" borderId="8" xfId="0" applyFont="1" applyBorder="1" applyAlignment="1">
      <alignment vertical="center" wrapText="1" readingOrder="1"/>
    </xf>
    <xf numFmtId="10" fontId="9" fillId="0" borderId="8" xfId="0" applyNumberFormat="1" applyFont="1" applyBorder="1" applyAlignment="1">
      <alignment horizontal="left" vertical="center" wrapText="1" indent="1" readingOrder="1"/>
    </xf>
    <xf numFmtId="1" fontId="0" fillId="0" borderId="0" xfId="0" applyNumberFormat="1"/>
    <xf numFmtId="0" fontId="0" fillId="10" borderId="7" xfId="6" applyFont="1" applyBorder="1" applyAlignment="1"/>
    <xf numFmtId="0" fontId="0" fillId="0" borderId="7" xfId="0" applyBorder="1"/>
    <xf numFmtId="0" fontId="0" fillId="11" borderId="7" xfId="0" applyFill="1" applyBorder="1"/>
    <xf numFmtId="0" fontId="0" fillId="12" borderId="7" xfId="0" applyFill="1" applyBorder="1"/>
    <xf numFmtId="0" fontId="0" fillId="13" borderId="0" xfId="0" applyFill="1"/>
    <xf numFmtId="0" fontId="0" fillId="14" borderId="0" xfId="0" applyFill="1"/>
    <xf numFmtId="0" fontId="0" fillId="15" borderId="7" xfId="0" applyFill="1" applyBorder="1" applyAlignment="1"/>
    <xf numFmtId="0" fontId="0" fillId="16" borderId="7" xfId="0" applyFill="1" applyBorder="1" applyAlignment="1"/>
    <xf numFmtId="0" fontId="10" fillId="17" borderId="7" xfId="0" applyFont="1" applyFill="1" applyBorder="1" applyAlignment="1">
      <alignment horizontal="centerContinuous"/>
    </xf>
    <xf numFmtId="0" fontId="0" fillId="0" borderId="9" xfId="0" applyBorder="1" applyAlignment="1">
      <alignment horizontal="center"/>
    </xf>
    <xf numFmtId="0" fontId="0" fillId="0" borderId="10" xfId="0" applyBorder="1" applyAlignment="1">
      <alignment horizontal="center"/>
    </xf>
  </cellXfs>
  <cellStyles count="7">
    <cellStyle name="20% - Accent1" xfId="2" builtinId="30"/>
    <cellStyle name="20% - Accent2" xfId="3" builtinId="34"/>
    <cellStyle name="20% - Accent3" xfId="4" builtinId="38"/>
    <cellStyle name="20% - Accent4" xfId="5" builtinId="42"/>
    <cellStyle name="40% - Accent1" xfId="6" builtinId="31"/>
    <cellStyle name="Good" xfId="1" builtinId="26"/>
    <cellStyle name="Normal" xfId="0" builtinId="0"/>
  </cellStyles>
  <dxfs count="52">
    <dxf>
      <font>
        <color rgb="FF9C0006"/>
      </font>
      <fill>
        <patternFill>
          <bgColor rgb="FFFFC7CE"/>
        </patternFill>
      </fill>
    </dxf>
    <dxf>
      <numFmt numFmtId="1" formatCode="0"/>
    </dxf>
    <dxf>
      <numFmt numFmtId="164" formatCode="0.0"/>
    </dxf>
    <dxf>
      <numFmt numFmtId="2" formatCode="0.00"/>
    </dxf>
    <dxf>
      <numFmt numFmtId="1" formatCode="0"/>
    </dxf>
    <dxf>
      <numFmt numFmtId="164" formatCode="0.0"/>
    </dxf>
    <dxf>
      <numFmt numFmtId="1" formatCode="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2" formatCode="0.00"/>
    </dxf>
    <dxf>
      <numFmt numFmtId="2" formatCode="0.00"/>
    </dxf>
    <dxf>
      <numFmt numFmtId="2" formatCode="0.00"/>
    </dxf>
    <dxf>
      <numFmt numFmtId="2" formatCode="0.00"/>
    </dxf>
    <dxf>
      <numFmt numFmtId="2" formatCode="0.00"/>
    </dxf>
    <dxf>
      <numFmt numFmtId="170" formatCode="0.000"/>
    </dxf>
    <dxf>
      <numFmt numFmtId="169" formatCode="0.0000"/>
    </dxf>
    <dxf>
      <numFmt numFmtId="168" formatCode="0.00000"/>
    </dxf>
    <dxf>
      <numFmt numFmtId="167" formatCode="0.000000"/>
    </dxf>
    <dxf>
      <numFmt numFmtId="166" formatCode="0.0000000"/>
    </dxf>
    <dxf>
      <numFmt numFmtId="165" formatCode="0.00000000"/>
    </dxf>
    <dxf>
      <numFmt numFmtId="2" formatCode="0.00"/>
    </dxf>
    <dxf>
      <numFmt numFmtId="2" formatCode="0.00"/>
    </dxf>
    <dxf>
      <numFmt numFmtId="2" formatCode="0.00"/>
    </dxf>
    <dxf>
      <numFmt numFmtId="2" formatCode="0.00"/>
    </dxf>
    <dxf>
      <numFmt numFmtId="170" formatCode="0.000"/>
    </dxf>
    <dxf>
      <numFmt numFmtId="169" formatCode="0.0000"/>
    </dxf>
    <dxf>
      <numFmt numFmtId="168" formatCode="0.00000"/>
    </dxf>
    <dxf>
      <numFmt numFmtId="167" formatCode="0.000000"/>
    </dxf>
    <dxf>
      <numFmt numFmtId="166" formatCode="0.0000000"/>
    </dxf>
    <dxf>
      <numFmt numFmtId="165" formatCode="0.00000000"/>
    </dxf>
    <dxf>
      <numFmt numFmtId="172" formatCode="0.000000000"/>
    </dxf>
    <dxf>
      <numFmt numFmtId="171" formatCode="0.0000000000"/>
    </dxf>
    <dxf>
      <numFmt numFmtId="2" formatCode="0.00"/>
    </dxf>
    <dxf>
      <numFmt numFmtId="2" formatCode="0.00"/>
    </dxf>
    <dxf>
      <numFmt numFmtId="2" formatCode="0.00"/>
    </dxf>
    <dxf>
      <numFmt numFmtId="2" formatCode="0.00"/>
    </dxf>
    <dxf>
      <numFmt numFmtId="170" formatCode="0.000"/>
    </dxf>
    <dxf>
      <numFmt numFmtId="169" formatCode="0.0000"/>
    </dxf>
    <dxf>
      <numFmt numFmtId="168" formatCode="0.00000"/>
    </dxf>
    <dxf>
      <numFmt numFmtId="167" formatCode="0.000000"/>
    </dxf>
    <dxf>
      <numFmt numFmtId="166" formatCode="0.0000000"/>
    </dxf>
    <dxf>
      <numFmt numFmtId="165" formatCode="0.00000000"/>
    </dxf>
    <dxf>
      <numFmt numFmtId="172" formatCode="0.000000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9" formatCode="dd/mm/yyyy"/>
    </dxf>
    <dxf>
      <numFmt numFmtId="19" formatCode="dd/mm/yyyy"/>
    </dxf>
  </dxfs>
  <tableStyles count="0" defaultTableStyle="TableStyleMedium2" defaultPivotStyle="PivotStyleLight16"/>
  <colors>
    <mruColors>
      <color rgb="FFF8F43C"/>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8.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5" Type="http://schemas.openxmlformats.org/officeDocument/2006/relationships/sharedStrings" Target="sharedStrings.xml"/><Relationship Id="rId2" Type="http://schemas.openxmlformats.org/officeDocument/2006/relationships/worksheet" Target="worksheets/sheet2.xml"/><Relationship Id="rId16" Type="http://schemas.microsoft.com/office/2007/relationships/slicerCache" Target="slicerCaches/slicerCache3.xml"/><Relationship Id="rId20" Type="http://schemas.microsoft.com/office/2007/relationships/slicerCache" Target="slicerCaches/slicerCache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connections" Target="connections.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theme" Target="theme/theme1.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TABLE1!PivotTable1</c:name>
    <c:fmtId val="0"/>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800" b="1" i="0" baseline="0">
                <a:effectLst>
                  <a:outerShdw blurRad="50800" dist="38100" dir="5400000" algn="t" rotWithShape="0">
                    <a:srgbClr val="000000">
                      <a:alpha val="40000"/>
                    </a:srgbClr>
                  </a:outerShdw>
                </a:effectLst>
              </a:rPr>
              <a:t>'Rentals' by 'week name' and 'weather condition'</a:t>
            </a:r>
            <a:endParaRPr lang="en-US">
              <a:effectLst/>
            </a:endParaRPr>
          </a:p>
          <a:p>
            <a:pPr marL="0" marR="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 TABLE1'!$B$3:$B$4</c:f>
              <c:strCache>
                <c:ptCount val="1"/>
                <c:pt idx="0">
                  <c:v>extreme weather condition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TABLE1'!$B$5:$B$12</c:f>
              <c:numCache>
                <c:formatCode>General</c:formatCode>
                <c:ptCount val="7"/>
                <c:pt idx="3">
                  <c:v>36</c:v>
                </c:pt>
              </c:numCache>
            </c:numRef>
          </c:val>
          <c:extLst>
            <c:ext xmlns:c16="http://schemas.microsoft.com/office/drawing/2014/chart" uri="{C3380CC4-5D6E-409C-BE32-E72D297353CC}">
              <c16:uniqueId val="{00000000-224E-4475-9F72-2E6ED277A4D8}"/>
            </c:ext>
          </c:extLst>
        </c:ser>
        <c:ser>
          <c:idx val="1"/>
          <c:order val="1"/>
          <c:tx>
            <c:strRef>
              <c:f>'PIVOT TABLE1'!$C$3:$C$4</c:f>
              <c:strCache>
                <c:ptCount val="1"/>
                <c:pt idx="0">
                  <c:v>heavy rain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TABLE1'!$C$5:$C$12</c:f>
              <c:numCache>
                <c:formatCode>General</c:formatCode>
                <c:ptCount val="7"/>
                <c:pt idx="0">
                  <c:v>219</c:v>
                </c:pt>
                <c:pt idx="1">
                  <c:v>271</c:v>
                </c:pt>
                <c:pt idx="2">
                  <c:v>475</c:v>
                </c:pt>
                <c:pt idx="3">
                  <c:v>951</c:v>
                </c:pt>
                <c:pt idx="4">
                  <c:v>26</c:v>
                </c:pt>
                <c:pt idx="5">
                  <c:v>286</c:v>
                </c:pt>
                <c:pt idx="6">
                  <c:v>561</c:v>
                </c:pt>
              </c:numCache>
            </c:numRef>
          </c:val>
          <c:extLst>
            <c:ext xmlns:c16="http://schemas.microsoft.com/office/drawing/2014/chart" uri="{C3380CC4-5D6E-409C-BE32-E72D297353CC}">
              <c16:uniqueId val="{0000000C-AED9-4647-886E-F38AB8235D43}"/>
            </c:ext>
          </c:extLst>
        </c:ser>
        <c:ser>
          <c:idx val="2"/>
          <c:order val="2"/>
          <c:tx>
            <c:strRef>
              <c:f>'PIVOT TABLE1'!$D$3:$D$4</c:f>
              <c:strCache>
                <c:ptCount val="1"/>
                <c:pt idx="0">
                  <c:v>light rain</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TABLE1'!$D$5:$D$12</c:f>
              <c:numCache>
                <c:formatCode>General</c:formatCode>
                <c:ptCount val="7"/>
                <c:pt idx="0">
                  <c:v>1241</c:v>
                </c:pt>
                <c:pt idx="1">
                  <c:v>3975</c:v>
                </c:pt>
                <c:pt idx="2">
                  <c:v>4315</c:v>
                </c:pt>
                <c:pt idx="3">
                  <c:v>1606</c:v>
                </c:pt>
                <c:pt idx="4">
                  <c:v>1794</c:v>
                </c:pt>
                <c:pt idx="5">
                  <c:v>2636</c:v>
                </c:pt>
                <c:pt idx="6">
                  <c:v>2539</c:v>
                </c:pt>
              </c:numCache>
            </c:numRef>
          </c:val>
          <c:extLst>
            <c:ext xmlns:c16="http://schemas.microsoft.com/office/drawing/2014/chart" uri="{C3380CC4-5D6E-409C-BE32-E72D297353CC}">
              <c16:uniqueId val="{00000000-E6C3-4276-B1DA-AE6A8E6BFB50}"/>
            </c:ext>
          </c:extLst>
        </c:ser>
        <c:ser>
          <c:idx val="3"/>
          <c:order val="3"/>
          <c:tx>
            <c:strRef>
              <c:f>'PIVOT TABLE1'!$E$3:$E$4</c:f>
              <c:strCache>
                <c:ptCount val="1"/>
                <c:pt idx="0">
                  <c:v>mist/cloudy</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TABLE1'!$E$5:$E$12</c:f>
              <c:numCache>
                <c:formatCode>General</c:formatCode>
                <c:ptCount val="7"/>
                <c:pt idx="0">
                  <c:v>6661</c:v>
                </c:pt>
                <c:pt idx="1">
                  <c:v>4204</c:v>
                </c:pt>
                <c:pt idx="2">
                  <c:v>3593</c:v>
                </c:pt>
                <c:pt idx="3">
                  <c:v>5456</c:v>
                </c:pt>
                <c:pt idx="4">
                  <c:v>6638</c:v>
                </c:pt>
                <c:pt idx="5">
                  <c:v>6173</c:v>
                </c:pt>
                <c:pt idx="6">
                  <c:v>4648</c:v>
                </c:pt>
              </c:numCache>
            </c:numRef>
          </c:val>
          <c:extLst>
            <c:ext xmlns:c16="http://schemas.microsoft.com/office/drawing/2014/chart" uri="{C3380CC4-5D6E-409C-BE32-E72D297353CC}">
              <c16:uniqueId val="{00000001-E6C3-4276-B1DA-AE6A8E6BFB50}"/>
            </c:ext>
          </c:extLst>
        </c:ser>
        <c:dLbls>
          <c:showLegendKey val="0"/>
          <c:showVal val="0"/>
          <c:showCatName val="0"/>
          <c:showSerName val="0"/>
          <c:showPercent val="0"/>
          <c:showBubbleSize val="0"/>
        </c:dLbls>
        <c:gapWidth val="100"/>
        <c:overlap val="-24"/>
        <c:axId val="1947657247"/>
        <c:axId val="1947661407"/>
      </c:barChart>
      <c:catAx>
        <c:axId val="194765724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week</a:t>
                </a:r>
                <a:r>
                  <a:rPr lang="en-US" baseline="0"/>
                  <a:t> name</a:t>
                </a:r>
                <a:endParaRPr lang="en-US"/>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7661407"/>
        <c:crosses val="autoZero"/>
        <c:auto val="1"/>
        <c:lblAlgn val="ctr"/>
        <c:lblOffset val="100"/>
        <c:noMultiLvlLbl val="0"/>
      </c:catAx>
      <c:valAx>
        <c:axId val="1947661407"/>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Rental</a:t>
                </a:r>
                <a:r>
                  <a:rPr lang="en-US" baseline="0"/>
                  <a:t> counts</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7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2!PivotTable7</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a:t>AVERAGE HOURLY RENTALS : HRS VS WEEK DAY</a:t>
            </a:r>
          </a:p>
        </c:rich>
      </c:tx>
      <c:layout>
        <c:manualLayout>
          <c:xMode val="edge"/>
          <c:yMode val="edge"/>
          <c:x val="0.16944060022800184"/>
          <c:y val="3.24514435695538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0.19685724067100308"/>
          <c:y val="0.14909740449110528"/>
          <c:w val="0.67218760698390967"/>
          <c:h val="0.64533172936716243"/>
        </c:manualLayout>
      </c:layout>
      <c:areaChart>
        <c:grouping val="standard"/>
        <c:varyColors val="0"/>
        <c:ser>
          <c:idx val="0"/>
          <c:order val="0"/>
          <c:tx>
            <c:strRef>
              <c:f>'pivot table 2'!$B$3:$B$4</c:f>
              <c:strCache>
                <c:ptCount val="1"/>
                <c:pt idx="0">
                  <c:v>Sun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2'!$B$5:$B$29</c:f>
              <c:numCache>
                <c:formatCode>0.00</c:formatCode>
                <c:ptCount val="24"/>
                <c:pt idx="0">
                  <c:v>30.571428571428573</c:v>
                </c:pt>
                <c:pt idx="1">
                  <c:v>23.142857142857142</c:v>
                </c:pt>
                <c:pt idx="2">
                  <c:v>15</c:v>
                </c:pt>
                <c:pt idx="3">
                  <c:v>9</c:v>
                </c:pt>
                <c:pt idx="4">
                  <c:v>1.6666666666666667</c:v>
                </c:pt>
                <c:pt idx="5">
                  <c:v>2</c:v>
                </c:pt>
                <c:pt idx="6">
                  <c:v>1.8333333333333333</c:v>
                </c:pt>
                <c:pt idx="7">
                  <c:v>3.7142857142857144</c:v>
                </c:pt>
                <c:pt idx="8">
                  <c:v>14.571428571428571</c:v>
                </c:pt>
                <c:pt idx="9">
                  <c:v>32.714285714285715</c:v>
                </c:pt>
                <c:pt idx="10">
                  <c:v>71</c:v>
                </c:pt>
                <c:pt idx="11">
                  <c:v>85.571428571428569</c:v>
                </c:pt>
                <c:pt idx="12">
                  <c:v>117</c:v>
                </c:pt>
                <c:pt idx="13">
                  <c:v>110.71428571428571</c:v>
                </c:pt>
                <c:pt idx="14">
                  <c:v>110.85714285714286</c:v>
                </c:pt>
                <c:pt idx="15">
                  <c:v>114.14285714285714</c:v>
                </c:pt>
                <c:pt idx="16">
                  <c:v>106.57142857142857</c:v>
                </c:pt>
                <c:pt idx="17">
                  <c:v>87.142857142857139</c:v>
                </c:pt>
                <c:pt idx="18">
                  <c:v>65</c:v>
                </c:pt>
                <c:pt idx="19">
                  <c:v>45.571428571428569</c:v>
                </c:pt>
                <c:pt idx="20">
                  <c:v>36.857142857142854</c:v>
                </c:pt>
                <c:pt idx="21">
                  <c:v>30</c:v>
                </c:pt>
                <c:pt idx="22">
                  <c:v>27.428571428571427</c:v>
                </c:pt>
                <c:pt idx="23">
                  <c:v>19.142857142857142</c:v>
                </c:pt>
              </c:numCache>
            </c:numRef>
          </c:val>
          <c:extLst>
            <c:ext xmlns:c16="http://schemas.microsoft.com/office/drawing/2014/chart" uri="{C3380CC4-5D6E-409C-BE32-E72D297353CC}">
              <c16:uniqueId val="{00000000-6A0E-463B-B79D-9639C975A4F7}"/>
            </c:ext>
          </c:extLst>
        </c:ser>
        <c:ser>
          <c:idx val="1"/>
          <c:order val="1"/>
          <c:tx>
            <c:strRef>
              <c:f>'pivot table 2'!$C$3:$C$4</c:f>
              <c:strCache>
                <c:ptCount val="1"/>
                <c:pt idx="0">
                  <c:v>Mon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2'!$C$5:$C$29</c:f>
              <c:numCache>
                <c:formatCode>0.00</c:formatCode>
                <c:ptCount val="24"/>
                <c:pt idx="0">
                  <c:v>9.5714285714285712</c:v>
                </c:pt>
                <c:pt idx="1">
                  <c:v>5.5714285714285712</c:v>
                </c:pt>
                <c:pt idx="2">
                  <c:v>3.4</c:v>
                </c:pt>
                <c:pt idx="3">
                  <c:v>1.5</c:v>
                </c:pt>
                <c:pt idx="4">
                  <c:v>2</c:v>
                </c:pt>
                <c:pt idx="5">
                  <c:v>4.7142857142857144</c:v>
                </c:pt>
                <c:pt idx="6">
                  <c:v>24.857142857142858</c:v>
                </c:pt>
                <c:pt idx="7">
                  <c:v>71.857142857142861</c:v>
                </c:pt>
                <c:pt idx="8">
                  <c:v>161.16666666666666</c:v>
                </c:pt>
                <c:pt idx="9">
                  <c:v>93.5</c:v>
                </c:pt>
                <c:pt idx="10">
                  <c:v>49.333333333333336</c:v>
                </c:pt>
                <c:pt idx="11">
                  <c:v>47.666666666666664</c:v>
                </c:pt>
                <c:pt idx="12">
                  <c:v>65</c:v>
                </c:pt>
                <c:pt idx="13">
                  <c:v>64.333333333333329</c:v>
                </c:pt>
                <c:pt idx="14">
                  <c:v>66.833333333333329</c:v>
                </c:pt>
                <c:pt idx="15">
                  <c:v>60.166666666666664</c:v>
                </c:pt>
                <c:pt idx="16">
                  <c:v>83.666666666666671</c:v>
                </c:pt>
                <c:pt idx="17">
                  <c:v>161.16666666666666</c:v>
                </c:pt>
                <c:pt idx="18">
                  <c:v>148</c:v>
                </c:pt>
                <c:pt idx="19">
                  <c:v>101.66666666666667</c:v>
                </c:pt>
                <c:pt idx="20">
                  <c:v>67.666666666666671</c:v>
                </c:pt>
                <c:pt idx="21">
                  <c:v>51.666666666666664</c:v>
                </c:pt>
                <c:pt idx="22">
                  <c:v>27.166666666666668</c:v>
                </c:pt>
                <c:pt idx="23">
                  <c:v>16.666666666666668</c:v>
                </c:pt>
              </c:numCache>
            </c:numRef>
          </c:val>
          <c:extLst>
            <c:ext xmlns:c16="http://schemas.microsoft.com/office/drawing/2014/chart" uri="{C3380CC4-5D6E-409C-BE32-E72D297353CC}">
              <c16:uniqueId val="{00000000-7C85-48CC-9579-D203BD8AC6A9}"/>
            </c:ext>
          </c:extLst>
        </c:ser>
        <c:ser>
          <c:idx val="2"/>
          <c:order val="2"/>
          <c:tx>
            <c:strRef>
              <c:f>'pivot table 2'!$D$3:$D$4</c:f>
              <c:strCache>
                <c:ptCount val="1"/>
                <c:pt idx="0">
                  <c:v>Tue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2'!$D$5:$D$29</c:f>
              <c:numCache>
                <c:formatCode>0.00</c:formatCode>
                <c:ptCount val="24"/>
                <c:pt idx="0">
                  <c:v>8.8000000000000007</c:v>
                </c:pt>
                <c:pt idx="1">
                  <c:v>3.4</c:v>
                </c:pt>
                <c:pt idx="2">
                  <c:v>2</c:v>
                </c:pt>
                <c:pt idx="3">
                  <c:v>1.5</c:v>
                </c:pt>
                <c:pt idx="4">
                  <c:v>2</c:v>
                </c:pt>
                <c:pt idx="5">
                  <c:v>4.8</c:v>
                </c:pt>
                <c:pt idx="6">
                  <c:v>32</c:v>
                </c:pt>
                <c:pt idx="7">
                  <c:v>90.6</c:v>
                </c:pt>
                <c:pt idx="8">
                  <c:v>202.4</c:v>
                </c:pt>
                <c:pt idx="9">
                  <c:v>125</c:v>
                </c:pt>
                <c:pt idx="10">
                  <c:v>49.2</c:v>
                </c:pt>
                <c:pt idx="11">
                  <c:v>50.8</c:v>
                </c:pt>
                <c:pt idx="12">
                  <c:v>60.666666666666664</c:v>
                </c:pt>
                <c:pt idx="13">
                  <c:v>61</c:v>
                </c:pt>
                <c:pt idx="14">
                  <c:v>56.666666666666664</c:v>
                </c:pt>
                <c:pt idx="15">
                  <c:v>55.666666666666664</c:v>
                </c:pt>
                <c:pt idx="16">
                  <c:v>80.5</c:v>
                </c:pt>
                <c:pt idx="17">
                  <c:v>174.5</c:v>
                </c:pt>
                <c:pt idx="18">
                  <c:v>159.16666666666666</c:v>
                </c:pt>
                <c:pt idx="19">
                  <c:v>102.83333333333333</c:v>
                </c:pt>
                <c:pt idx="20">
                  <c:v>69.666666666666671</c:v>
                </c:pt>
                <c:pt idx="21">
                  <c:v>45.333333333333336</c:v>
                </c:pt>
                <c:pt idx="22">
                  <c:v>35.833333333333336</c:v>
                </c:pt>
                <c:pt idx="23">
                  <c:v>19.666666666666668</c:v>
                </c:pt>
              </c:numCache>
            </c:numRef>
          </c:val>
          <c:extLst>
            <c:ext xmlns:c16="http://schemas.microsoft.com/office/drawing/2014/chart" uri="{C3380CC4-5D6E-409C-BE32-E72D297353CC}">
              <c16:uniqueId val="{00000001-7C85-48CC-9579-D203BD8AC6A9}"/>
            </c:ext>
          </c:extLst>
        </c:ser>
        <c:ser>
          <c:idx val="3"/>
          <c:order val="3"/>
          <c:tx>
            <c:strRef>
              <c:f>'pivot table 2'!$E$3:$E$4</c:f>
              <c:strCache>
                <c:ptCount val="1"/>
                <c:pt idx="0">
                  <c:v>Wed</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2'!$E$5:$E$29</c:f>
              <c:numCache>
                <c:formatCode>0.00</c:formatCode>
                <c:ptCount val="24"/>
                <c:pt idx="0">
                  <c:v>8.6666666666666661</c:v>
                </c:pt>
                <c:pt idx="1">
                  <c:v>5.666666666666667</c:v>
                </c:pt>
                <c:pt idx="2">
                  <c:v>3.8333333333333335</c:v>
                </c:pt>
                <c:pt idx="3">
                  <c:v>1.5</c:v>
                </c:pt>
                <c:pt idx="4">
                  <c:v>1.6666666666666667</c:v>
                </c:pt>
                <c:pt idx="5">
                  <c:v>4.333333333333333</c:v>
                </c:pt>
                <c:pt idx="6">
                  <c:v>25</c:v>
                </c:pt>
                <c:pt idx="7">
                  <c:v>68.333333333333329</c:v>
                </c:pt>
                <c:pt idx="8">
                  <c:v>157.66666666666666</c:v>
                </c:pt>
                <c:pt idx="9">
                  <c:v>101.5</c:v>
                </c:pt>
                <c:pt idx="10">
                  <c:v>48.5</c:v>
                </c:pt>
                <c:pt idx="11">
                  <c:v>44.5</c:v>
                </c:pt>
                <c:pt idx="12">
                  <c:v>62.833333333333336</c:v>
                </c:pt>
                <c:pt idx="13">
                  <c:v>64.833333333333329</c:v>
                </c:pt>
                <c:pt idx="14">
                  <c:v>56.333333333333336</c:v>
                </c:pt>
                <c:pt idx="15">
                  <c:v>62.666666666666664</c:v>
                </c:pt>
                <c:pt idx="16">
                  <c:v>79.833333333333329</c:v>
                </c:pt>
                <c:pt idx="17">
                  <c:v>151.33333333333334</c:v>
                </c:pt>
                <c:pt idx="18">
                  <c:v>163.80000000000001</c:v>
                </c:pt>
                <c:pt idx="19">
                  <c:v>101.2</c:v>
                </c:pt>
                <c:pt idx="20">
                  <c:v>76</c:v>
                </c:pt>
                <c:pt idx="21">
                  <c:v>61</c:v>
                </c:pt>
                <c:pt idx="22">
                  <c:v>44</c:v>
                </c:pt>
                <c:pt idx="23">
                  <c:v>27.2</c:v>
                </c:pt>
              </c:numCache>
            </c:numRef>
          </c:val>
          <c:extLst>
            <c:ext xmlns:c16="http://schemas.microsoft.com/office/drawing/2014/chart" uri="{C3380CC4-5D6E-409C-BE32-E72D297353CC}">
              <c16:uniqueId val="{00000002-7C85-48CC-9579-D203BD8AC6A9}"/>
            </c:ext>
          </c:extLst>
        </c:ser>
        <c:ser>
          <c:idx val="4"/>
          <c:order val="4"/>
          <c:tx>
            <c:strRef>
              <c:f>'pivot table 2'!$F$3:$F$4</c:f>
              <c:strCache>
                <c:ptCount val="1"/>
                <c:pt idx="0">
                  <c:v>Thu</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2'!$F$5:$F$29</c:f>
              <c:numCache>
                <c:formatCode>0.00</c:formatCode>
                <c:ptCount val="24"/>
                <c:pt idx="0">
                  <c:v>11.8</c:v>
                </c:pt>
                <c:pt idx="1">
                  <c:v>4.5999999999999996</c:v>
                </c:pt>
                <c:pt idx="2">
                  <c:v>2.2000000000000002</c:v>
                </c:pt>
                <c:pt idx="3">
                  <c:v>1.6666666666666667</c:v>
                </c:pt>
                <c:pt idx="4">
                  <c:v>1.75</c:v>
                </c:pt>
                <c:pt idx="5">
                  <c:v>4.2</c:v>
                </c:pt>
                <c:pt idx="6">
                  <c:v>32.799999999999997</c:v>
                </c:pt>
                <c:pt idx="7">
                  <c:v>90.8</c:v>
                </c:pt>
                <c:pt idx="8">
                  <c:v>207.2</c:v>
                </c:pt>
                <c:pt idx="9">
                  <c:v>131.80000000000001</c:v>
                </c:pt>
                <c:pt idx="10">
                  <c:v>45.4</c:v>
                </c:pt>
                <c:pt idx="11">
                  <c:v>54.6</c:v>
                </c:pt>
                <c:pt idx="12">
                  <c:v>71.599999999999994</c:v>
                </c:pt>
                <c:pt idx="13">
                  <c:v>72.2</c:v>
                </c:pt>
                <c:pt idx="14">
                  <c:v>57.6</c:v>
                </c:pt>
                <c:pt idx="15">
                  <c:v>60.4</c:v>
                </c:pt>
                <c:pt idx="16">
                  <c:v>72.833333333333329</c:v>
                </c:pt>
                <c:pt idx="17">
                  <c:v>162.16666666666666</c:v>
                </c:pt>
                <c:pt idx="18">
                  <c:v>150.5</c:v>
                </c:pt>
                <c:pt idx="19">
                  <c:v>108.33333333333333</c:v>
                </c:pt>
                <c:pt idx="20">
                  <c:v>87.333333333333329</c:v>
                </c:pt>
                <c:pt idx="21">
                  <c:v>51.5</c:v>
                </c:pt>
                <c:pt idx="22">
                  <c:v>42.833333333333336</c:v>
                </c:pt>
                <c:pt idx="23">
                  <c:v>26.166666666666668</c:v>
                </c:pt>
              </c:numCache>
            </c:numRef>
          </c:val>
          <c:extLst>
            <c:ext xmlns:c16="http://schemas.microsoft.com/office/drawing/2014/chart" uri="{C3380CC4-5D6E-409C-BE32-E72D297353CC}">
              <c16:uniqueId val="{00000003-7C85-48CC-9579-D203BD8AC6A9}"/>
            </c:ext>
          </c:extLst>
        </c:ser>
        <c:ser>
          <c:idx val="5"/>
          <c:order val="5"/>
          <c:tx>
            <c:strRef>
              <c:f>'pivot table 2'!$G$3:$G$4</c:f>
              <c:strCache>
                <c:ptCount val="1"/>
                <c:pt idx="0">
                  <c:v>Fri</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2'!$G$5:$G$29</c:f>
              <c:numCache>
                <c:formatCode>0.00</c:formatCode>
                <c:ptCount val="24"/>
                <c:pt idx="0">
                  <c:v>14.666666666666666</c:v>
                </c:pt>
                <c:pt idx="1">
                  <c:v>5.833333333333333</c:v>
                </c:pt>
                <c:pt idx="2">
                  <c:v>1.6666666666666667</c:v>
                </c:pt>
                <c:pt idx="3">
                  <c:v>1</c:v>
                </c:pt>
                <c:pt idx="4">
                  <c:v>1</c:v>
                </c:pt>
                <c:pt idx="5">
                  <c:v>5.5</c:v>
                </c:pt>
                <c:pt idx="6">
                  <c:v>24.333333333333332</c:v>
                </c:pt>
                <c:pt idx="7">
                  <c:v>73.833333333333329</c:v>
                </c:pt>
                <c:pt idx="8">
                  <c:v>196.33333333333334</c:v>
                </c:pt>
                <c:pt idx="9">
                  <c:v>130.83333333333334</c:v>
                </c:pt>
                <c:pt idx="10">
                  <c:v>52.333333333333336</c:v>
                </c:pt>
                <c:pt idx="11">
                  <c:v>56.166666666666664</c:v>
                </c:pt>
                <c:pt idx="12">
                  <c:v>64</c:v>
                </c:pt>
                <c:pt idx="13">
                  <c:v>74.333333333333329</c:v>
                </c:pt>
                <c:pt idx="14">
                  <c:v>64.833333333333329</c:v>
                </c:pt>
                <c:pt idx="15">
                  <c:v>68.333333333333329</c:v>
                </c:pt>
                <c:pt idx="16">
                  <c:v>96.333333333333329</c:v>
                </c:pt>
                <c:pt idx="17">
                  <c:v>178.66666666666666</c:v>
                </c:pt>
                <c:pt idx="18">
                  <c:v>136.66666666666666</c:v>
                </c:pt>
                <c:pt idx="19">
                  <c:v>96</c:v>
                </c:pt>
                <c:pt idx="20">
                  <c:v>61.333333333333336</c:v>
                </c:pt>
                <c:pt idx="21">
                  <c:v>46.666666666666664</c:v>
                </c:pt>
                <c:pt idx="22">
                  <c:v>36.833333333333336</c:v>
                </c:pt>
                <c:pt idx="23">
                  <c:v>29.333333333333332</c:v>
                </c:pt>
              </c:numCache>
            </c:numRef>
          </c:val>
          <c:extLst>
            <c:ext xmlns:c16="http://schemas.microsoft.com/office/drawing/2014/chart" uri="{C3380CC4-5D6E-409C-BE32-E72D297353CC}">
              <c16:uniqueId val="{00000004-7C85-48CC-9579-D203BD8AC6A9}"/>
            </c:ext>
          </c:extLst>
        </c:ser>
        <c:ser>
          <c:idx val="6"/>
          <c:order val="6"/>
          <c:tx>
            <c:strRef>
              <c:f>'pivot table 2'!$H$3:$H$4</c:f>
              <c:strCache>
                <c:ptCount val="1"/>
                <c:pt idx="0">
                  <c:v>Sat</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2'!$H$5:$H$29</c:f>
              <c:numCache>
                <c:formatCode>0.00</c:formatCode>
                <c:ptCount val="24"/>
                <c:pt idx="0">
                  <c:v>25.571428571428573</c:v>
                </c:pt>
                <c:pt idx="1">
                  <c:v>21.428571428571427</c:v>
                </c:pt>
                <c:pt idx="2">
                  <c:v>16.857142857142858</c:v>
                </c:pt>
                <c:pt idx="3">
                  <c:v>9.1428571428571423</c:v>
                </c:pt>
                <c:pt idx="4">
                  <c:v>3.5714285714285716</c:v>
                </c:pt>
                <c:pt idx="5">
                  <c:v>3.4</c:v>
                </c:pt>
                <c:pt idx="6">
                  <c:v>2.4285714285714284</c:v>
                </c:pt>
                <c:pt idx="7">
                  <c:v>7.1428571428571432</c:v>
                </c:pt>
                <c:pt idx="8">
                  <c:v>21</c:v>
                </c:pt>
                <c:pt idx="9">
                  <c:v>29.142857142857142</c:v>
                </c:pt>
                <c:pt idx="10">
                  <c:v>54.571428571428569</c:v>
                </c:pt>
                <c:pt idx="11">
                  <c:v>68.285714285714292</c:v>
                </c:pt>
                <c:pt idx="12">
                  <c:v>84.428571428571431</c:v>
                </c:pt>
                <c:pt idx="13">
                  <c:v>93.285714285714292</c:v>
                </c:pt>
                <c:pt idx="14">
                  <c:v>95.428571428571431</c:v>
                </c:pt>
                <c:pt idx="15">
                  <c:v>110</c:v>
                </c:pt>
                <c:pt idx="16">
                  <c:v>100.42857142857143</c:v>
                </c:pt>
                <c:pt idx="17">
                  <c:v>84.571428571428569</c:v>
                </c:pt>
                <c:pt idx="18">
                  <c:v>63.285714285714285</c:v>
                </c:pt>
                <c:pt idx="19">
                  <c:v>54.714285714285715</c:v>
                </c:pt>
                <c:pt idx="20">
                  <c:v>43.142857142857146</c:v>
                </c:pt>
                <c:pt idx="21">
                  <c:v>44.285714285714285</c:v>
                </c:pt>
                <c:pt idx="22">
                  <c:v>34.285714285714285</c:v>
                </c:pt>
                <c:pt idx="23">
                  <c:v>37.428571428571431</c:v>
                </c:pt>
              </c:numCache>
            </c:numRef>
          </c:val>
          <c:extLst>
            <c:ext xmlns:c16="http://schemas.microsoft.com/office/drawing/2014/chart" uri="{C3380CC4-5D6E-409C-BE32-E72D297353CC}">
              <c16:uniqueId val="{00000005-7C85-48CC-9579-D203BD8AC6A9}"/>
            </c:ext>
          </c:extLst>
        </c:ser>
        <c:dLbls>
          <c:showLegendKey val="0"/>
          <c:showVal val="0"/>
          <c:showCatName val="0"/>
          <c:showSerName val="0"/>
          <c:showPercent val="0"/>
          <c:showBubbleSize val="0"/>
        </c:dLbls>
        <c:axId val="488561552"/>
        <c:axId val="488565712"/>
      </c:areaChart>
      <c:catAx>
        <c:axId val="4885615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HOURS OF THE DAY</a:t>
                </a:r>
              </a:p>
            </c:rich>
          </c:tx>
          <c:layout>
            <c:manualLayout>
              <c:xMode val="edge"/>
              <c:yMode val="edge"/>
              <c:x val="0.36907274271875429"/>
              <c:y val="0.87970107903178774"/>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8565712"/>
        <c:crosses val="autoZero"/>
        <c:auto val="1"/>
        <c:lblAlgn val="ctr"/>
        <c:lblOffset val="100"/>
        <c:noMultiLvlLbl val="0"/>
      </c:catAx>
      <c:valAx>
        <c:axId val="48856571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AVERAGE OF RENTALS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856155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3!PivotTable1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RENTALS : REGISTERED VS CASUAL </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dLbl>
          <c:idx val="0"/>
          <c:showLegendKey val="0"/>
          <c:showVal val="1"/>
          <c:showCatName val="0"/>
          <c:showSerName val="0"/>
          <c:showPercent val="1"/>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3'!$B$3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41A-4E85-95FE-2D536460C5E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41A-4E85-95FE-2D536460C5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 3'!$A$4:$A$5</c:f>
              <c:strCache>
                <c:ptCount val="2"/>
                <c:pt idx="0">
                  <c:v>Sum of registered</c:v>
                </c:pt>
                <c:pt idx="1">
                  <c:v>Sum of casual</c:v>
                </c:pt>
              </c:strCache>
            </c:strRef>
          </c:cat>
          <c:val>
            <c:numRef>
              <c:f>'PIVOT TABLE 3'!$B$4:$B$5</c:f>
              <c:numCache>
                <c:formatCode>General</c:formatCode>
                <c:ptCount val="2"/>
                <c:pt idx="0">
                  <c:v>53383</c:v>
                </c:pt>
                <c:pt idx="1">
                  <c:v>4921</c:v>
                </c:pt>
              </c:numCache>
            </c:numRef>
          </c:val>
          <c:extLst>
            <c:ext xmlns:c16="http://schemas.microsoft.com/office/drawing/2014/chart" uri="{C3380CC4-5D6E-409C-BE32-E72D297353CC}">
              <c16:uniqueId val="{00000000-3FFC-4CC3-B641-6BB4B0D58D8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0059208223972005"/>
          <c:y val="0.23689741907261588"/>
          <c:w val="0.27941838095279592"/>
          <c:h val="0.16071541057367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4!PivotTable2</c:name>
    <c:fmtId val="2"/>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Impact of temp on rentals</a:t>
            </a:r>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 4'!$B$3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 4'!$A$4:$A$11</c:f>
              <c:strCache>
                <c:ptCount val="7"/>
                <c:pt idx="0">
                  <c:v>Sun</c:v>
                </c:pt>
                <c:pt idx="1">
                  <c:v>Mon</c:v>
                </c:pt>
                <c:pt idx="2">
                  <c:v>Tue</c:v>
                </c:pt>
                <c:pt idx="3">
                  <c:v>Wed</c:v>
                </c:pt>
                <c:pt idx="4">
                  <c:v>Thu</c:v>
                </c:pt>
                <c:pt idx="5">
                  <c:v>Fri</c:v>
                </c:pt>
                <c:pt idx="6">
                  <c:v>Sat</c:v>
                </c:pt>
              </c:strCache>
            </c:strRef>
          </c:cat>
          <c:val>
            <c:numRef>
              <c:f>'PIVOT TABLE 4'!$B$4:$B$11</c:f>
              <c:numCache>
                <c:formatCode>0.00</c:formatCode>
                <c:ptCount val="7"/>
                <c:pt idx="0">
                  <c:v>0.23524390243902446</c:v>
                </c:pt>
                <c:pt idx="1">
                  <c:v>0.18818791946308716</c:v>
                </c:pt>
                <c:pt idx="2">
                  <c:v>0.20299212598425193</c:v>
                </c:pt>
                <c:pt idx="3">
                  <c:v>0.21801526717557226</c:v>
                </c:pt>
                <c:pt idx="4">
                  <c:v>0.19296000000000002</c:v>
                </c:pt>
                <c:pt idx="5">
                  <c:v>0.18971014492753613</c:v>
                </c:pt>
                <c:pt idx="6">
                  <c:v>0.20867469879518055</c:v>
                </c:pt>
              </c:numCache>
            </c:numRef>
          </c:val>
          <c:extLst>
            <c:ext xmlns:c16="http://schemas.microsoft.com/office/drawing/2014/chart" uri="{C3380CC4-5D6E-409C-BE32-E72D297353CC}">
              <c16:uniqueId val="{00000000-E3CA-483C-9892-50C2AED36739}"/>
            </c:ext>
          </c:extLst>
        </c:ser>
        <c:dLbls>
          <c:showLegendKey val="0"/>
          <c:showVal val="1"/>
          <c:showCatName val="0"/>
          <c:showSerName val="0"/>
          <c:showPercent val="0"/>
          <c:showBubbleSize val="0"/>
        </c:dLbls>
        <c:gapWidth val="84"/>
        <c:gapDepth val="53"/>
        <c:shape val="box"/>
        <c:axId val="1838007712"/>
        <c:axId val="1838022272"/>
        <c:axId val="1134483952"/>
      </c:bar3DChart>
      <c:catAx>
        <c:axId val="183800771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US"/>
                  <a:t>WEEK DAYS</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38022272"/>
        <c:crosses val="autoZero"/>
        <c:auto val="1"/>
        <c:lblAlgn val="ctr"/>
        <c:lblOffset val="100"/>
        <c:noMultiLvlLbl val="0"/>
      </c:catAx>
      <c:valAx>
        <c:axId val="1838022272"/>
        <c:scaling>
          <c:orientation val="minMax"/>
        </c:scaling>
        <c:delete val="1"/>
        <c:axPos val="l"/>
        <c:title>
          <c:tx>
            <c:rich>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US"/>
                  <a:t>AVERAGE  OF TEMP</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0.00" sourceLinked="1"/>
        <c:majorTickMark val="out"/>
        <c:minorTickMark val="none"/>
        <c:tickLblPos val="nextTo"/>
        <c:crossAx val="1838007712"/>
        <c:crosses val="autoZero"/>
        <c:crossBetween val="between"/>
      </c:valAx>
      <c:serAx>
        <c:axId val="1134483952"/>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38022272"/>
        <c:crosses val="autoZero"/>
      </c:serAx>
      <c:spPr>
        <a:noFill/>
        <a:ln>
          <a:noFill/>
        </a:ln>
        <a:effectLst/>
      </c:spPr>
    </c:plotArea>
    <c:plotVisOnly val="1"/>
    <c:dispBlanksAs val="gap"/>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5!PivotTable1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ASSUMED  TEMP VS REAL TEMP</a:t>
            </a:r>
          </a:p>
        </c:rich>
      </c:tx>
      <c:layout>
        <c:manualLayout>
          <c:xMode val="edge"/>
          <c:yMode val="edge"/>
          <c:x val="0.14517344706911633"/>
          <c:y val="4.527559055118110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5'!$B$3</c:f>
              <c:strCache>
                <c:ptCount val="1"/>
                <c:pt idx="0">
                  <c:v>Average of temp</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5'!$A$4:$A$11</c:f>
              <c:strCache>
                <c:ptCount val="7"/>
                <c:pt idx="0">
                  <c:v>Sun</c:v>
                </c:pt>
                <c:pt idx="1">
                  <c:v>Mon</c:v>
                </c:pt>
                <c:pt idx="2">
                  <c:v>Tue</c:v>
                </c:pt>
                <c:pt idx="3">
                  <c:v>Wed</c:v>
                </c:pt>
                <c:pt idx="4">
                  <c:v>Thu</c:v>
                </c:pt>
                <c:pt idx="5">
                  <c:v>Fri</c:v>
                </c:pt>
                <c:pt idx="6">
                  <c:v>Sat</c:v>
                </c:pt>
              </c:strCache>
            </c:strRef>
          </c:cat>
          <c:val>
            <c:numRef>
              <c:f>'PIVOT TABLE 5'!$B$4:$B$11</c:f>
              <c:numCache>
                <c:formatCode>0.00</c:formatCode>
                <c:ptCount val="7"/>
                <c:pt idx="0">
                  <c:v>0.23524390243902446</c:v>
                </c:pt>
                <c:pt idx="1">
                  <c:v>0.18818791946308716</c:v>
                </c:pt>
                <c:pt idx="2">
                  <c:v>0.20299212598425193</c:v>
                </c:pt>
                <c:pt idx="3">
                  <c:v>0.21801526717557226</c:v>
                </c:pt>
                <c:pt idx="4">
                  <c:v>0.19296000000000002</c:v>
                </c:pt>
                <c:pt idx="5">
                  <c:v>0.18971014492753613</c:v>
                </c:pt>
                <c:pt idx="6">
                  <c:v>0.20867469879518055</c:v>
                </c:pt>
              </c:numCache>
            </c:numRef>
          </c:val>
          <c:smooth val="0"/>
          <c:extLst>
            <c:ext xmlns:c16="http://schemas.microsoft.com/office/drawing/2014/chart" uri="{C3380CC4-5D6E-409C-BE32-E72D297353CC}">
              <c16:uniqueId val="{00000000-CB76-4A81-BB12-CB7F6E9130A2}"/>
            </c:ext>
          </c:extLst>
        </c:ser>
        <c:ser>
          <c:idx val="1"/>
          <c:order val="1"/>
          <c:tx>
            <c:strRef>
              <c:f>'PIVOT TABLE 5'!$C$3</c:f>
              <c:strCache>
                <c:ptCount val="1"/>
                <c:pt idx="0">
                  <c:v>Average of atemp</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5'!$A$4:$A$11</c:f>
              <c:strCache>
                <c:ptCount val="7"/>
                <c:pt idx="0">
                  <c:v>Sun</c:v>
                </c:pt>
                <c:pt idx="1">
                  <c:v>Mon</c:v>
                </c:pt>
                <c:pt idx="2">
                  <c:v>Tue</c:v>
                </c:pt>
                <c:pt idx="3">
                  <c:v>Wed</c:v>
                </c:pt>
                <c:pt idx="4">
                  <c:v>Thu</c:v>
                </c:pt>
                <c:pt idx="5">
                  <c:v>Fri</c:v>
                </c:pt>
                <c:pt idx="6">
                  <c:v>Sat</c:v>
                </c:pt>
              </c:strCache>
            </c:strRef>
          </c:cat>
          <c:val>
            <c:numRef>
              <c:f>'PIVOT TABLE 5'!$C$4:$C$11</c:f>
              <c:numCache>
                <c:formatCode>0.00</c:formatCode>
                <c:ptCount val="7"/>
                <c:pt idx="0">
                  <c:v>0.23390975609756121</c:v>
                </c:pt>
                <c:pt idx="1">
                  <c:v>0.19561140939597318</c:v>
                </c:pt>
                <c:pt idx="2">
                  <c:v>0.21608976377952749</c:v>
                </c:pt>
                <c:pt idx="3">
                  <c:v>0.21640763358778611</c:v>
                </c:pt>
                <c:pt idx="4">
                  <c:v>0.19515679999999977</c:v>
                </c:pt>
                <c:pt idx="5">
                  <c:v>0.20301304347826074</c:v>
                </c:pt>
                <c:pt idx="6">
                  <c:v>0.21756506024096364</c:v>
                </c:pt>
              </c:numCache>
            </c:numRef>
          </c:val>
          <c:smooth val="0"/>
          <c:extLst>
            <c:ext xmlns:c16="http://schemas.microsoft.com/office/drawing/2014/chart" uri="{C3380CC4-5D6E-409C-BE32-E72D297353CC}">
              <c16:uniqueId val="{00000001-CB76-4A81-BB12-CB7F6E9130A2}"/>
            </c:ext>
          </c:extLst>
        </c:ser>
        <c:dLbls>
          <c:showLegendKey val="0"/>
          <c:showVal val="0"/>
          <c:showCatName val="0"/>
          <c:showSerName val="0"/>
          <c:showPercent val="0"/>
          <c:showBubbleSize val="0"/>
        </c:dLbls>
        <c:marker val="1"/>
        <c:smooth val="0"/>
        <c:axId val="1815944736"/>
        <c:axId val="1815945152"/>
      </c:lineChart>
      <c:catAx>
        <c:axId val="18159447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5945152"/>
        <c:crosses val="autoZero"/>
        <c:auto val="1"/>
        <c:lblAlgn val="ctr"/>
        <c:lblOffset val="100"/>
        <c:noMultiLvlLbl val="0"/>
      </c:catAx>
      <c:valAx>
        <c:axId val="181594515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5944736"/>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6!PivotTable1</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Temp vs Rentals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6'!$B$3</c:f>
              <c:strCache>
                <c:ptCount val="1"/>
                <c:pt idx="0">
                  <c:v>Total</c:v>
                </c:pt>
              </c:strCache>
            </c:strRef>
          </c:tx>
          <c:spPr>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cat>
            <c:strRef>
              <c:f>'Pivot table 6'!$A$4:$A$27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 table 6'!$B$4:$B$27</c:f>
              <c:numCache>
                <c:formatCode>0</c:formatCode>
                <c:ptCount val="23"/>
                <c:pt idx="0">
                  <c:v>16.8</c:v>
                </c:pt>
                <c:pt idx="1">
                  <c:v>27.642857142857142</c:v>
                </c:pt>
                <c:pt idx="2">
                  <c:v>40.533333333333331</c:v>
                </c:pt>
                <c:pt idx="3">
                  <c:v>29.75</c:v>
                </c:pt>
                <c:pt idx="4">
                  <c:v>39.34375</c:v>
                </c:pt>
                <c:pt idx="5">
                  <c:v>47.81818181818182</c:v>
                </c:pt>
                <c:pt idx="6">
                  <c:v>48.707865168539328</c:v>
                </c:pt>
                <c:pt idx="7">
                  <c:v>53.869230769230768</c:v>
                </c:pt>
                <c:pt idx="8">
                  <c:v>51.202531645569621</c:v>
                </c:pt>
                <c:pt idx="9">
                  <c:v>60.045454545454547</c:v>
                </c:pt>
                <c:pt idx="10">
                  <c:v>53.029411764705884</c:v>
                </c:pt>
                <c:pt idx="11">
                  <c:v>69.360465116279073</c:v>
                </c:pt>
                <c:pt idx="12">
                  <c:v>56.375</c:v>
                </c:pt>
                <c:pt idx="13">
                  <c:v>72.518518518518519</c:v>
                </c:pt>
                <c:pt idx="14">
                  <c:v>95.972972972972968</c:v>
                </c:pt>
                <c:pt idx="15">
                  <c:v>81.916666666666671</c:v>
                </c:pt>
                <c:pt idx="16">
                  <c:v>123.9</c:v>
                </c:pt>
                <c:pt idx="17">
                  <c:v>89.4</c:v>
                </c:pt>
                <c:pt idx="18">
                  <c:v>57.888888888888886</c:v>
                </c:pt>
                <c:pt idx="19">
                  <c:v>61.5625</c:v>
                </c:pt>
                <c:pt idx="20">
                  <c:v>64.875</c:v>
                </c:pt>
                <c:pt idx="21">
                  <c:v>64.666666666666671</c:v>
                </c:pt>
                <c:pt idx="22">
                  <c:v>44.166666666666664</c:v>
                </c:pt>
              </c:numCache>
            </c:numRef>
          </c:val>
          <c:smooth val="0"/>
          <c:extLst>
            <c:ext xmlns:c16="http://schemas.microsoft.com/office/drawing/2014/chart" uri="{C3380CC4-5D6E-409C-BE32-E72D297353CC}">
              <c16:uniqueId val="{00000000-E8C4-486D-A821-EAC59FB04663}"/>
            </c:ext>
          </c:extLst>
        </c:ser>
        <c:dLbls>
          <c:showLegendKey val="0"/>
          <c:showVal val="0"/>
          <c:showCatName val="0"/>
          <c:showSerName val="0"/>
          <c:showPercent val="0"/>
          <c:showBubbleSize val="0"/>
        </c:dLbls>
        <c:marker val="1"/>
        <c:smooth val="0"/>
        <c:axId val="1048238768"/>
        <c:axId val="1048242096"/>
      </c:lineChart>
      <c:catAx>
        <c:axId val="104823876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Temperature</a:t>
                </a:r>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8242096"/>
        <c:crosses val="autoZero"/>
        <c:auto val="1"/>
        <c:lblAlgn val="ctr"/>
        <c:lblOffset val="100"/>
        <c:noMultiLvlLbl val="0"/>
      </c:catAx>
      <c:valAx>
        <c:axId val="104824209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 count of rental bikes</a:t>
                </a:r>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823876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[final_data_set.xlsx]PIVOTE TABLE7!PivotTable1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DAILY</a:t>
            </a:r>
            <a:r>
              <a:rPr lang="en-US" baseline="0"/>
              <a:t> AND HOURLY PATTERN</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'PIVOTE TABLE7'!$B$3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'PIVOTE TABLE7'!$A$4:$A$28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'PIVOTE TABLE7'!$B$4:$B$28</c:f>
              <c:numCache>
                <c:formatCode>General</c:formatCode>
                <c:ptCount val="24"/>
                <c:pt idx="0">
                  <c:v>703</c:v>
                </c:pt>
                <c:pt idx="1">
                  <c:v>460</c:v>
                </c:pt>
                <c:pt idx="2">
                  <c:v>294</c:v>
                </c:pt>
                <c:pt idx="3">
                  <c:v>151</c:v>
                </c:pt>
                <c:pt idx="4">
                  <c:v>69</c:v>
                </c:pt>
                <c:pt idx="5">
                  <c:v>164</c:v>
                </c:pt>
                <c:pt idx="6">
                  <c:v>822</c:v>
                </c:pt>
                <c:pt idx="7">
                  <c:v>2339</c:v>
                </c:pt>
                <c:pt idx="8">
                  <c:v>5388</c:v>
                </c:pt>
                <c:pt idx="9">
                  <c:v>3672</c:v>
                </c:pt>
                <c:pt idx="10">
                  <c:v>2253</c:v>
                </c:pt>
                <c:pt idx="11">
                  <c:v>2494</c:v>
                </c:pt>
                <c:pt idx="12">
                  <c:v>3283</c:v>
                </c:pt>
                <c:pt idx="13">
                  <c:v>3376</c:v>
                </c:pt>
                <c:pt idx="14">
                  <c:v>3200</c:v>
                </c:pt>
                <c:pt idx="15">
                  <c:v>3352</c:v>
                </c:pt>
                <c:pt idx="16">
                  <c:v>3928</c:v>
                </c:pt>
                <c:pt idx="17">
                  <c:v>6169</c:v>
                </c:pt>
                <c:pt idx="18">
                  <c:v>5283</c:v>
                </c:pt>
                <c:pt idx="19">
                  <c:v>3661</c:v>
                </c:pt>
                <c:pt idx="20">
                  <c:v>2656</c:v>
                </c:pt>
                <c:pt idx="21">
                  <c:v>1996</c:v>
                </c:pt>
                <c:pt idx="22">
                  <c:v>1508</c:v>
                </c:pt>
                <c:pt idx="23">
                  <c:v>1083</c:v>
                </c:pt>
              </c:numCache>
            </c:numRef>
          </c:val>
          <c:extLst>
            <c:ext xmlns:c16="http://schemas.microsoft.com/office/drawing/2014/chart" uri="{C3380CC4-5D6E-409C-BE32-E72D297353CC}">
              <c16:uniqueId val="{00000000-1F20-481F-81DC-0C15F78574F0}"/>
            </c:ext>
          </c:extLst>
        </c:ser>
        <c:dLbls>
          <c:showLegendKey val="0"/>
          <c:showVal val="0"/>
          <c:showCatName val="0"/>
          <c:showSerName val="0"/>
          <c:showPercent val="0"/>
          <c:showBubbleSize val="0"/>
        </c:dLbls>
        <c:gapWidth val="100"/>
        <c:overlap val="-24"/>
        <c:axId val="2101689040"/>
        <c:axId val="2101686960"/>
      </c:barChart>
      <c:catAx>
        <c:axId val="2101689040"/>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DAILY</a:t>
                </a:r>
                <a:r>
                  <a:rPr lang="en-US" baseline="0"/>
                  <a:t> HOURS TIME</a:t>
                </a:r>
                <a:endParaRPr lang="en-US"/>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686960"/>
        <c:crosses val="autoZero"/>
        <c:auto val="1"/>
        <c:lblAlgn val="ctr"/>
        <c:lblOffset val="100"/>
        <c:noMultiLvlLbl val="0"/>
      </c:catAx>
      <c:valAx>
        <c:axId val="210168696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RIDES</a:t>
                </a:r>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68904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2!PivotTable7</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HOURLY RENTALS : HRS VS WEEK DAY</a:t>
            </a:r>
          </a:p>
        </c:rich>
      </c:tx>
      <c:layout>
        <c:manualLayout>
          <c:xMode val="edge"/>
          <c:yMode val="edge"/>
          <c:x val="0.16944060022800184"/>
          <c:y val="3.24514435695538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0.19685724067100308"/>
          <c:y val="0.21127384173257113"/>
          <c:w val="0.67218760698390967"/>
          <c:h val="0.58315529996811621"/>
        </c:manualLayout>
      </c:layout>
      <c:areaChart>
        <c:grouping val="standard"/>
        <c:varyColors val="0"/>
        <c:ser>
          <c:idx val="0"/>
          <c:order val="0"/>
          <c:tx>
            <c:strRef>
              <c:f>'pivot table 2'!$B$3:$B$4</c:f>
              <c:strCache>
                <c:ptCount val="1"/>
                <c:pt idx="0">
                  <c:v>Sun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2'!$B$5:$B$29</c:f>
              <c:numCache>
                <c:formatCode>0.00</c:formatCode>
                <c:ptCount val="24"/>
                <c:pt idx="0">
                  <c:v>30.571428571428573</c:v>
                </c:pt>
                <c:pt idx="1">
                  <c:v>23.142857142857142</c:v>
                </c:pt>
                <c:pt idx="2">
                  <c:v>15</c:v>
                </c:pt>
                <c:pt idx="3">
                  <c:v>9</c:v>
                </c:pt>
                <c:pt idx="4">
                  <c:v>1.6666666666666667</c:v>
                </c:pt>
                <c:pt idx="5">
                  <c:v>2</c:v>
                </c:pt>
                <c:pt idx="6">
                  <c:v>1.8333333333333333</c:v>
                </c:pt>
                <c:pt idx="7">
                  <c:v>3.7142857142857144</c:v>
                </c:pt>
                <c:pt idx="8">
                  <c:v>14.571428571428571</c:v>
                </c:pt>
                <c:pt idx="9">
                  <c:v>32.714285714285715</c:v>
                </c:pt>
                <c:pt idx="10">
                  <c:v>71</c:v>
                </c:pt>
                <c:pt idx="11">
                  <c:v>85.571428571428569</c:v>
                </c:pt>
                <c:pt idx="12">
                  <c:v>117</c:v>
                </c:pt>
                <c:pt idx="13">
                  <c:v>110.71428571428571</c:v>
                </c:pt>
                <c:pt idx="14">
                  <c:v>110.85714285714286</c:v>
                </c:pt>
                <c:pt idx="15">
                  <c:v>114.14285714285714</c:v>
                </c:pt>
                <c:pt idx="16">
                  <c:v>106.57142857142857</c:v>
                </c:pt>
                <c:pt idx="17">
                  <c:v>87.142857142857139</c:v>
                </c:pt>
                <c:pt idx="18">
                  <c:v>65</c:v>
                </c:pt>
                <c:pt idx="19">
                  <c:v>45.571428571428569</c:v>
                </c:pt>
                <c:pt idx="20">
                  <c:v>36.857142857142854</c:v>
                </c:pt>
                <c:pt idx="21">
                  <c:v>30</c:v>
                </c:pt>
                <c:pt idx="22">
                  <c:v>27.428571428571427</c:v>
                </c:pt>
                <c:pt idx="23">
                  <c:v>19.142857142857142</c:v>
                </c:pt>
              </c:numCache>
            </c:numRef>
          </c:val>
          <c:extLst>
            <c:ext xmlns:c16="http://schemas.microsoft.com/office/drawing/2014/chart" uri="{C3380CC4-5D6E-409C-BE32-E72D297353CC}">
              <c16:uniqueId val="{00000000-D1EF-4EF6-8AE8-75B7E61DD13B}"/>
            </c:ext>
          </c:extLst>
        </c:ser>
        <c:ser>
          <c:idx val="1"/>
          <c:order val="1"/>
          <c:tx>
            <c:strRef>
              <c:f>'pivot table 2'!$C$3:$C$4</c:f>
              <c:strCache>
                <c:ptCount val="1"/>
                <c:pt idx="0">
                  <c:v>Mon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2'!$C$5:$C$29</c:f>
              <c:numCache>
                <c:formatCode>0.00</c:formatCode>
                <c:ptCount val="24"/>
                <c:pt idx="0">
                  <c:v>9.5714285714285712</c:v>
                </c:pt>
                <c:pt idx="1">
                  <c:v>5.5714285714285712</c:v>
                </c:pt>
                <c:pt idx="2">
                  <c:v>3.4</c:v>
                </c:pt>
                <c:pt idx="3">
                  <c:v>1.5</c:v>
                </c:pt>
                <c:pt idx="4">
                  <c:v>2</c:v>
                </c:pt>
                <c:pt idx="5">
                  <c:v>4.7142857142857144</c:v>
                </c:pt>
                <c:pt idx="6">
                  <c:v>24.857142857142858</c:v>
                </c:pt>
                <c:pt idx="7">
                  <c:v>71.857142857142861</c:v>
                </c:pt>
                <c:pt idx="8">
                  <c:v>161.16666666666666</c:v>
                </c:pt>
                <c:pt idx="9">
                  <c:v>93.5</c:v>
                </c:pt>
                <c:pt idx="10">
                  <c:v>49.333333333333336</c:v>
                </c:pt>
                <c:pt idx="11">
                  <c:v>47.666666666666664</c:v>
                </c:pt>
                <c:pt idx="12">
                  <c:v>65</c:v>
                </c:pt>
                <c:pt idx="13">
                  <c:v>64.333333333333329</c:v>
                </c:pt>
                <c:pt idx="14">
                  <c:v>66.833333333333329</c:v>
                </c:pt>
                <c:pt idx="15">
                  <c:v>60.166666666666664</c:v>
                </c:pt>
                <c:pt idx="16">
                  <c:v>83.666666666666671</c:v>
                </c:pt>
                <c:pt idx="17">
                  <c:v>161.16666666666666</c:v>
                </c:pt>
                <c:pt idx="18">
                  <c:v>148</c:v>
                </c:pt>
                <c:pt idx="19">
                  <c:v>101.66666666666667</c:v>
                </c:pt>
                <c:pt idx="20">
                  <c:v>67.666666666666671</c:v>
                </c:pt>
                <c:pt idx="21">
                  <c:v>51.666666666666664</c:v>
                </c:pt>
                <c:pt idx="22">
                  <c:v>27.166666666666668</c:v>
                </c:pt>
                <c:pt idx="23">
                  <c:v>16.666666666666668</c:v>
                </c:pt>
              </c:numCache>
            </c:numRef>
          </c:val>
          <c:extLst>
            <c:ext xmlns:c16="http://schemas.microsoft.com/office/drawing/2014/chart" uri="{C3380CC4-5D6E-409C-BE32-E72D297353CC}">
              <c16:uniqueId val="{00000000-F2B8-43A6-ABD9-0AE01228CCB1}"/>
            </c:ext>
          </c:extLst>
        </c:ser>
        <c:ser>
          <c:idx val="2"/>
          <c:order val="2"/>
          <c:tx>
            <c:strRef>
              <c:f>'pivot table 2'!$D$3:$D$4</c:f>
              <c:strCache>
                <c:ptCount val="1"/>
                <c:pt idx="0">
                  <c:v>Tue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2'!$D$5:$D$29</c:f>
              <c:numCache>
                <c:formatCode>0.00</c:formatCode>
                <c:ptCount val="24"/>
                <c:pt idx="0">
                  <c:v>8.8000000000000007</c:v>
                </c:pt>
                <c:pt idx="1">
                  <c:v>3.4</c:v>
                </c:pt>
                <c:pt idx="2">
                  <c:v>2</c:v>
                </c:pt>
                <c:pt idx="3">
                  <c:v>1.5</c:v>
                </c:pt>
                <c:pt idx="4">
                  <c:v>2</c:v>
                </c:pt>
                <c:pt idx="5">
                  <c:v>4.8</c:v>
                </c:pt>
                <c:pt idx="6">
                  <c:v>32</c:v>
                </c:pt>
                <c:pt idx="7">
                  <c:v>90.6</c:v>
                </c:pt>
                <c:pt idx="8">
                  <c:v>202.4</c:v>
                </c:pt>
                <c:pt idx="9">
                  <c:v>125</c:v>
                </c:pt>
                <c:pt idx="10">
                  <c:v>49.2</c:v>
                </c:pt>
                <c:pt idx="11">
                  <c:v>50.8</c:v>
                </c:pt>
                <c:pt idx="12">
                  <c:v>60.666666666666664</c:v>
                </c:pt>
                <c:pt idx="13">
                  <c:v>61</c:v>
                </c:pt>
                <c:pt idx="14">
                  <c:v>56.666666666666664</c:v>
                </c:pt>
                <c:pt idx="15">
                  <c:v>55.666666666666664</c:v>
                </c:pt>
                <c:pt idx="16">
                  <c:v>80.5</c:v>
                </c:pt>
                <c:pt idx="17">
                  <c:v>174.5</c:v>
                </c:pt>
                <c:pt idx="18">
                  <c:v>159.16666666666666</c:v>
                </c:pt>
                <c:pt idx="19">
                  <c:v>102.83333333333333</c:v>
                </c:pt>
                <c:pt idx="20">
                  <c:v>69.666666666666671</c:v>
                </c:pt>
                <c:pt idx="21">
                  <c:v>45.333333333333336</c:v>
                </c:pt>
                <c:pt idx="22">
                  <c:v>35.833333333333336</c:v>
                </c:pt>
                <c:pt idx="23">
                  <c:v>19.666666666666668</c:v>
                </c:pt>
              </c:numCache>
            </c:numRef>
          </c:val>
          <c:extLst>
            <c:ext xmlns:c16="http://schemas.microsoft.com/office/drawing/2014/chart" uri="{C3380CC4-5D6E-409C-BE32-E72D297353CC}">
              <c16:uniqueId val="{00000001-F2B8-43A6-ABD9-0AE01228CCB1}"/>
            </c:ext>
          </c:extLst>
        </c:ser>
        <c:ser>
          <c:idx val="3"/>
          <c:order val="3"/>
          <c:tx>
            <c:strRef>
              <c:f>'pivot table 2'!$E$3:$E$4</c:f>
              <c:strCache>
                <c:ptCount val="1"/>
                <c:pt idx="0">
                  <c:v>Wed</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2'!$E$5:$E$29</c:f>
              <c:numCache>
                <c:formatCode>0.00</c:formatCode>
                <c:ptCount val="24"/>
                <c:pt idx="0">
                  <c:v>8.6666666666666661</c:v>
                </c:pt>
                <c:pt idx="1">
                  <c:v>5.666666666666667</c:v>
                </c:pt>
                <c:pt idx="2">
                  <c:v>3.8333333333333335</c:v>
                </c:pt>
                <c:pt idx="3">
                  <c:v>1.5</c:v>
                </c:pt>
                <c:pt idx="4">
                  <c:v>1.6666666666666667</c:v>
                </c:pt>
                <c:pt idx="5">
                  <c:v>4.333333333333333</c:v>
                </c:pt>
                <c:pt idx="6">
                  <c:v>25</c:v>
                </c:pt>
                <c:pt idx="7">
                  <c:v>68.333333333333329</c:v>
                </c:pt>
                <c:pt idx="8">
                  <c:v>157.66666666666666</c:v>
                </c:pt>
                <c:pt idx="9">
                  <c:v>101.5</c:v>
                </c:pt>
                <c:pt idx="10">
                  <c:v>48.5</c:v>
                </c:pt>
                <c:pt idx="11">
                  <c:v>44.5</c:v>
                </c:pt>
                <c:pt idx="12">
                  <c:v>62.833333333333336</c:v>
                </c:pt>
                <c:pt idx="13">
                  <c:v>64.833333333333329</c:v>
                </c:pt>
                <c:pt idx="14">
                  <c:v>56.333333333333336</c:v>
                </c:pt>
                <c:pt idx="15">
                  <c:v>62.666666666666664</c:v>
                </c:pt>
                <c:pt idx="16">
                  <c:v>79.833333333333329</c:v>
                </c:pt>
                <c:pt idx="17">
                  <c:v>151.33333333333334</c:v>
                </c:pt>
                <c:pt idx="18">
                  <c:v>163.80000000000001</c:v>
                </c:pt>
                <c:pt idx="19">
                  <c:v>101.2</c:v>
                </c:pt>
                <c:pt idx="20">
                  <c:v>76</c:v>
                </c:pt>
                <c:pt idx="21">
                  <c:v>61</c:v>
                </c:pt>
                <c:pt idx="22">
                  <c:v>44</c:v>
                </c:pt>
                <c:pt idx="23">
                  <c:v>27.2</c:v>
                </c:pt>
              </c:numCache>
            </c:numRef>
          </c:val>
          <c:extLst>
            <c:ext xmlns:c16="http://schemas.microsoft.com/office/drawing/2014/chart" uri="{C3380CC4-5D6E-409C-BE32-E72D297353CC}">
              <c16:uniqueId val="{00000002-F2B8-43A6-ABD9-0AE01228CCB1}"/>
            </c:ext>
          </c:extLst>
        </c:ser>
        <c:ser>
          <c:idx val="4"/>
          <c:order val="4"/>
          <c:tx>
            <c:strRef>
              <c:f>'pivot table 2'!$F$3:$F$4</c:f>
              <c:strCache>
                <c:ptCount val="1"/>
                <c:pt idx="0">
                  <c:v>Thu</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2'!$F$5:$F$29</c:f>
              <c:numCache>
                <c:formatCode>0.00</c:formatCode>
                <c:ptCount val="24"/>
                <c:pt idx="0">
                  <c:v>11.8</c:v>
                </c:pt>
                <c:pt idx="1">
                  <c:v>4.5999999999999996</c:v>
                </c:pt>
                <c:pt idx="2">
                  <c:v>2.2000000000000002</c:v>
                </c:pt>
                <c:pt idx="3">
                  <c:v>1.6666666666666667</c:v>
                </c:pt>
                <c:pt idx="4">
                  <c:v>1.75</c:v>
                </c:pt>
                <c:pt idx="5">
                  <c:v>4.2</c:v>
                </c:pt>
                <c:pt idx="6">
                  <c:v>32.799999999999997</c:v>
                </c:pt>
                <c:pt idx="7">
                  <c:v>90.8</c:v>
                </c:pt>
                <c:pt idx="8">
                  <c:v>207.2</c:v>
                </c:pt>
                <c:pt idx="9">
                  <c:v>131.80000000000001</c:v>
                </c:pt>
                <c:pt idx="10">
                  <c:v>45.4</c:v>
                </c:pt>
                <c:pt idx="11">
                  <c:v>54.6</c:v>
                </c:pt>
                <c:pt idx="12">
                  <c:v>71.599999999999994</c:v>
                </c:pt>
                <c:pt idx="13">
                  <c:v>72.2</c:v>
                </c:pt>
                <c:pt idx="14">
                  <c:v>57.6</c:v>
                </c:pt>
                <c:pt idx="15">
                  <c:v>60.4</c:v>
                </c:pt>
                <c:pt idx="16">
                  <c:v>72.833333333333329</c:v>
                </c:pt>
                <c:pt idx="17">
                  <c:v>162.16666666666666</c:v>
                </c:pt>
                <c:pt idx="18">
                  <c:v>150.5</c:v>
                </c:pt>
                <c:pt idx="19">
                  <c:v>108.33333333333333</c:v>
                </c:pt>
                <c:pt idx="20">
                  <c:v>87.333333333333329</c:v>
                </c:pt>
                <c:pt idx="21">
                  <c:v>51.5</c:v>
                </c:pt>
                <c:pt idx="22">
                  <c:v>42.833333333333336</c:v>
                </c:pt>
                <c:pt idx="23">
                  <c:v>26.166666666666668</c:v>
                </c:pt>
              </c:numCache>
            </c:numRef>
          </c:val>
          <c:extLst>
            <c:ext xmlns:c16="http://schemas.microsoft.com/office/drawing/2014/chart" uri="{C3380CC4-5D6E-409C-BE32-E72D297353CC}">
              <c16:uniqueId val="{00000003-F2B8-43A6-ABD9-0AE01228CCB1}"/>
            </c:ext>
          </c:extLst>
        </c:ser>
        <c:ser>
          <c:idx val="5"/>
          <c:order val="5"/>
          <c:tx>
            <c:strRef>
              <c:f>'pivot table 2'!$G$3:$G$4</c:f>
              <c:strCache>
                <c:ptCount val="1"/>
                <c:pt idx="0">
                  <c:v>Fri</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2'!$G$5:$G$29</c:f>
              <c:numCache>
                <c:formatCode>0.00</c:formatCode>
                <c:ptCount val="24"/>
                <c:pt idx="0">
                  <c:v>14.666666666666666</c:v>
                </c:pt>
                <c:pt idx="1">
                  <c:v>5.833333333333333</c:v>
                </c:pt>
                <c:pt idx="2">
                  <c:v>1.6666666666666667</c:v>
                </c:pt>
                <c:pt idx="3">
                  <c:v>1</c:v>
                </c:pt>
                <c:pt idx="4">
                  <c:v>1</c:v>
                </c:pt>
                <c:pt idx="5">
                  <c:v>5.5</c:v>
                </c:pt>
                <c:pt idx="6">
                  <c:v>24.333333333333332</c:v>
                </c:pt>
                <c:pt idx="7">
                  <c:v>73.833333333333329</c:v>
                </c:pt>
                <c:pt idx="8">
                  <c:v>196.33333333333334</c:v>
                </c:pt>
                <c:pt idx="9">
                  <c:v>130.83333333333334</c:v>
                </c:pt>
                <c:pt idx="10">
                  <c:v>52.333333333333336</c:v>
                </c:pt>
                <c:pt idx="11">
                  <c:v>56.166666666666664</c:v>
                </c:pt>
                <c:pt idx="12">
                  <c:v>64</c:v>
                </c:pt>
                <c:pt idx="13">
                  <c:v>74.333333333333329</c:v>
                </c:pt>
                <c:pt idx="14">
                  <c:v>64.833333333333329</c:v>
                </c:pt>
                <c:pt idx="15">
                  <c:v>68.333333333333329</c:v>
                </c:pt>
                <c:pt idx="16">
                  <c:v>96.333333333333329</c:v>
                </c:pt>
                <c:pt idx="17">
                  <c:v>178.66666666666666</c:v>
                </c:pt>
                <c:pt idx="18">
                  <c:v>136.66666666666666</c:v>
                </c:pt>
                <c:pt idx="19">
                  <c:v>96</c:v>
                </c:pt>
                <c:pt idx="20">
                  <c:v>61.333333333333336</c:v>
                </c:pt>
                <c:pt idx="21">
                  <c:v>46.666666666666664</c:v>
                </c:pt>
                <c:pt idx="22">
                  <c:v>36.833333333333336</c:v>
                </c:pt>
                <c:pt idx="23">
                  <c:v>29.333333333333332</c:v>
                </c:pt>
              </c:numCache>
            </c:numRef>
          </c:val>
          <c:extLst>
            <c:ext xmlns:c16="http://schemas.microsoft.com/office/drawing/2014/chart" uri="{C3380CC4-5D6E-409C-BE32-E72D297353CC}">
              <c16:uniqueId val="{00000004-F2B8-43A6-ABD9-0AE01228CCB1}"/>
            </c:ext>
          </c:extLst>
        </c:ser>
        <c:ser>
          <c:idx val="6"/>
          <c:order val="6"/>
          <c:tx>
            <c:strRef>
              <c:f>'pivot table 2'!$H$3:$H$4</c:f>
              <c:strCache>
                <c:ptCount val="1"/>
                <c:pt idx="0">
                  <c:v>Sat</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2'!$H$5:$H$29</c:f>
              <c:numCache>
                <c:formatCode>0.00</c:formatCode>
                <c:ptCount val="24"/>
                <c:pt idx="0">
                  <c:v>25.571428571428573</c:v>
                </c:pt>
                <c:pt idx="1">
                  <c:v>21.428571428571427</c:v>
                </c:pt>
                <c:pt idx="2">
                  <c:v>16.857142857142858</c:v>
                </c:pt>
                <c:pt idx="3">
                  <c:v>9.1428571428571423</c:v>
                </c:pt>
                <c:pt idx="4">
                  <c:v>3.5714285714285716</c:v>
                </c:pt>
                <c:pt idx="5">
                  <c:v>3.4</c:v>
                </c:pt>
                <c:pt idx="6">
                  <c:v>2.4285714285714284</c:v>
                </c:pt>
                <c:pt idx="7">
                  <c:v>7.1428571428571432</c:v>
                </c:pt>
                <c:pt idx="8">
                  <c:v>21</c:v>
                </c:pt>
                <c:pt idx="9">
                  <c:v>29.142857142857142</c:v>
                </c:pt>
                <c:pt idx="10">
                  <c:v>54.571428571428569</c:v>
                </c:pt>
                <c:pt idx="11">
                  <c:v>68.285714285714292</c:v>
                </c:pt>
                <c:pt idx="12">
                  <c:v>84.428571428571431</c:v>
                </c:pt>
                <c:pt idx="13">
                  <c:v>93.285714285714292</c:v>
                </c:pt>
                <c:pt idx="14">
                  <c:v>95.428571428571431</c:v>
                </c:pt>
                <c:pt idx="15">
                  <c:v>110</c:v>
                </c:pt>
                <c:pt idx="16">
                  <c:v>100.42857142857143</c:v>
                </c:pt>
                <c:pt idx="17">
                  <c:v>84.571428571428569</c:v>
                </c:pt>
                <c:pt idx="18">
                  <c:v>63.285714285714285</c:v>
                </c:pt>
                <c:pt idx="19">
                  <c:v>54.714285714285715</c:v>
                </c:pt>
                <c:pt idx="20">
                  <c:v>43.142857142857146</c:v>
                </c:pt>
                <c:pt idx="21">
                  <c:v>44.285714285714285</c:v>
                </c:pt>
                <c:pt idx="22">
                  <c:v>34.285714285714285</c:v>
                </c:pt>
                <c:pt idx="23">
                  <c:v>37.428571428571431</c:v>
                </c:pt>
              </c:numCache>
            </c:numRef>
          </c:val>
          <c:extLst>
            <c:ext xmlns:c16="http://schemas.microsoft.com/office/drawing/2014/chart" uri="{C3380CC4-5D6E-409C-BE32-E72D297353CC}">
              <c16:uniqueId val="{00000005-F2B8-43A6-ABD9-0AE01228CCB1}"/>
            </c:ext>
          </c:extLst>
        </c:ser>
        <c:dLbls>
          <c:showLegendKey val="0"/>
          <c:showVal val="0"/>
          <c:showCatName val="0"/>
          <c:showSerName val="0"/>
          <c:showPercent val="0"/>
          <c:showBubbleSize val="0"/>
        </c:dLbls>
        <c:axId val="488561552"/>
        <c:axId val="488565712"/>
      </c:areaChart>
      <c:catAx>
        <c:axId val="4885615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HOURS OF THE DAY</a:t>
                </a:r>
              </a:p>
            </c:rich>
          </c:tx>
          <c:layout>
            <c:manualLayout>
              <c:xMode val="edge"/>
              <c:yMode val="edge"/>
              <c:x val="0.36907274271875429"/>
              <c:y val="0.87970107903178774"/>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8565712"/>
        <c:crosses val="autoZero"/>
        <c:auto val="1"/>
        <c:lblAlgn val="ctr"/>
        <c:lblOffset val="100"/>
        <c:noMultiLvlLbl val="0"/>
      </c:catAx>
      <c:valAx>
        <c:axId val="48856571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a:t>AVERAGE OF RENTALS</a:t>
                </a:r>
              </a:p>
            </c:rich>
          </c:tx>
          <c:layout>
            <c:manualLayout>
              <c:xMode val="edge"/>
              <c:yMode val="edge"/>
              <c:x val="7.1546212793924341E-2"/>
              <c:y val="0.3251624637329053"/>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8561552"/>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4!PivotTable2</c:name>
    <c:fmtId val="6"/>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Impact of temp on rentals</a:t>
            </a:r>
          </a:p>
        </c:rich>
      </c:tx>
      <c:layout/>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6069553805774278E-2"/>
          <c:y val="0.1850696267133275"/>
          <c:w val="0.84583967629046364"/>
          <c:h val="0.60574839603382913"/>
        </c:manualLayout>
      </c:layout>
      <c:bar3DChart>
        <c:barDir val="col"/>
        <c:grouping val="standard"/>
        <c:varyColors val="0"/>
        <c:ser>
          <c:idx val="0"/>
          <c:order val="0"/>
          <c:tx>
            <c:strRef>
              <c:f>'PIVOT TABLE 4'!$B$3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4'!$A$4:$A$11</c:f>
              <c:strCache>
                <c:ptCount val="7"/>
                <c:pt idx="0">
                  <c:v>Sun</c:v>
                </c:pt>
                <c:pt idx="1">
                  <c:v>Mon</c:v>
                </c:pt>
                <c:pt idx="2">
                  <c:v>Tue</c:v>
                </c:pt>
                <c:pt idx="3">
                  <c:v>Wed</c:v>
                </c:pt>
                <c:pt idx="4">
                  <c:v>Thu</c:v>
                </c:pt>
                <c:pt idx="5">
                  <c:v>Fri</c:v>
                </c:pt>
                <c:pt idx="6">
                  <c:v>Sat</c:v>
                </c:pt>
              </c:strCache>
            </c:strRef>
          </c:cat>
          <c:val>
            <c:numRef>
              <c:f>'PIVOT TABLE 4'!$B$4:$B$11</c:f>
              <c:numCache>
                <c:formatCode>0.00</c:formatCode>
                <c:ptCount val="7"/>
                <c:pt idx="0">
                  <c:v>0.23524390243902446</c:v>
                </c:pt>
                <c:pt idx="1">
                  <c:v>0.18818791946308716</c:v>
                </c:pt>
                <c:pt idx="2">
                  <c:v>0.20299212598425193</c:v>
                </c:pt>
                <c:pt idx="3">
                  <c:v>0.21801526717557226</c:v>
                </c:pt>
                <c:pt idx="4">
                  <c:v>0.19296000000000002</c:v>
                </c:pt>
                <c:pt idx="5">
                  <c:v>0.18971014492753613</c:v>
                </c:pt>
                <c:pt idx="6">
                  <c:v>0.20867469879518055</c:v>
                </c:pt>
              </c:numCache>
            </c:numRef>
          </c:val>
          <c:extLst>
            <c:ext xmlns:c16="http://schemas.microsoft.com/office/drawing/2014/chart" uri="{C3380CC4-5D6E-409C-BE32-E72D297353CC}">
              <c16:uniqueId val="{00000000-464F-4E4B-83E8-F2FDFD78B744}"/>
            </c:ext>
          </c:extLst>
        </c:ser>
        <c:dLbls>
          <c:showLegendKey val="0"/>
          <c:showVal val="1"/>
          <c:showCatName val="0"/>
          <c:showSerName val="0"/>
          <c:showPercent val="0"/>
          <c:showBubbleSize val="0"/>
        </c:dLbls>
        <c:gapWidth val="84"/>
        <c:gapDepth val="53"/>
        <c:shape val="box"/>
        <c:axId val="1838007712"/>
        <c:axId val="1838022272"/>
        <c:axId val="1134483952"/>
      </c:bar3DChart>
      <c:catAx>
        <c:axId val="183800771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US" sz="1200" baseline="0"/>
                  <a:t>WEEK DAYS</a:t>
                </a:r>
              </a:p>
            </c:rich>
          </c:tx>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38022272"/>
        <c:crosses val="autoZero"/>
        <c:auto val="1"/>
        <c:lblAlgn val="ctr"/>
        <c:lblOffset val="100"/>
        <c:noMultiLvlLbl val="0"/>
      </c:catAx>
      <c:valAx>
        <c:axId val="1838022272"/>
        <c:scaling>
          <c:orientation val="minMax"/>
        </c:scaling>
        <c:delete val="1"/>
        <c:axPos val="l"/>
        <c:title>
          <c:tx>
            <c:rich>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US" sz="1200" baseline="0"/>
                  <a:t>AVERAGE  OF TEMP</a:t>
                </a:r>
              </a:p>
            </c:rich>
          </c:tx>
          <c:layout/>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0.00" sourceLinked="1"/>
        <c:majorTickMark val="out"/>
        <c:minorTickMark val="none"/>
        <c:tickLblPos val="nextTo"/>
        <c:crossAx val="1838007712"/>
        <c:crosses val="autoZero"/>
        <c:crossBetween val="between"/>
      </c:valAx>
      <c:serAx>
        <c:axId val="1134483952"/>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38022272"/>
        <c:crosses val="autoZero"/>
      </c:serAx>
      <c:spPr>
        <a:noFill/>
        <a:ln>
          <a:noFill/>
        </a:ln>
        <a:effectLst/>
      </c:spPr>
    </c:plotArea>
    <c:plotVisOnly val="1"/>
    <c:dispBlanksAs val="gap"/>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5!PivotTable1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ASSUMED  TEMP VS REAL TEMP</a:t>
            </a:r>
          </a:p>
        </c:rich>
      </c:tx>
      <c:layout>
        <c:manualLayout>
          <c:xMode val="edge"/>
          <c:yMode val="edge"/>
          <c:x val="0.11280490793504655"/>
          <c:y val="3.8212395167775418E-4"/>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5'!$B$3</c:f>
              <c:strCache>
                <c:ptCount val="1"/>
                <c:pt idx="0">
                  <c:v>Average of temp</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5'!$A$4:$A$11</c:f>
              <c:strCache>
                <c:ptCount val="7"/>
                <c:pt idx="0">
                  <c:v>Sun</c:v>
                </c:pt>
                <c:pt idx="1">
                  <c:v>Mon</c:v>
                </c:pt>
                <c:pt idx="2">
                  <c:v>Tue</c:v>
                </c:pt>
                <c:pt idx="3">
                  <c:v>Wed</c:v>
                </c:pt>
                <c:pt idx="4">
                  <c:v>Thu</c:v>
                </c:pt>
                <c:pt idx="5">
                  <c:v>Fri</c:v>
                </c:pt>
                <c:pt idx="6">
                  <c:v>Sat</c:v>
                </c:pt>
              </c:strCache>
            </c:strRef>
          </c:cat>
          <c:val>
            <c:numRef>
              <c:f>'PIVOT TABLE 5'!$B$4:$B$11</c:f>
              <c:numCache>
                <c:formatCode>0.00</c:formatCode>
                <c:ptCount val="7"/>
                <c:pt idx="0">
                  <c:v>0.23524390243902446</c:v>
                </c:pt>
                <c:pt idx="1">
                  <c:v>0.18818791946308716</c:v>
                </c:pt>
                <c:pt idx="2">
                  <c:v>0.20299212598425193</c:v>
                </c:pt>
                <c:pt idx="3">
                  <c:v>0.21801526717557226</c:v>
                </c:pt>
                <c:pt idx="4">
                  <c:v>0.19296000000000002</c:v>
                </c:pt>
                <c:pt idx="5">
                  <c:v>0.18971014492753613</c:v>
                </c:pt>
                <c:pt idx="6">
                  <c:v>0.20867469879518055</c:v>
                </c:pt>
              </c:numCache>
            </c:numRef>
          </c:val>
          <c:smooth val="0"/>
          <c:extLst>
            <c:ext xmlns:c16="http://schemas.microsoft.com/office/drawing/2014/chart" uri="{C3380CC4-5D6E-409C-BE32-E72D297353CC}">
              <c16:uniqueId val="{00000000-04D4-4364-ABD4-B456E3A32C70}"/>
            </c:ext>
          </c:extLst>
        </c:ser>
        <c:ser>
          <c:idx val="1"/>
          <c:order val="1"/>
          <c:tx>
            <c:strRef>
              <c:f>'PIVOT TABLE 5'!$C$3</c:f>
              <c:strCache>
                <c:ptCount val="1"/>
                <c:pt idx="0">
                  <c:v>Average of atemp</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5'!$A$4:$A$11</c:f>
              <c:strCache>
                <c:ptCount val="7"/>
                <c:pt idx="0">
                  <c:v>Sun</c:v>
                </c:pt>
                <c:pt idx="1">
                  <c:v>Mon</c:v>
                </c:pt>
                <c:pt idx="2">
                  <c:v>Tue</c:v>
                </c:pt>
                <c:pt idx="3">
                  <c:v>Wed</c:v>
                </c:pt>
                <c:pt idx="4">
                  <c:v>Thu</c:v>
                </c:pt>
                <c:pt idx="5">
                  <c:v>Fri</c:v>
                </c:pt>
                <c:pt idx="6">
                  <c:v>Sat</c:v>
                </c:pt>
              </c:strCache>
            </c:strRef>
          </c:cat>
          <c:val>
            <c:numRef>
              <c:f>'PIVOT TABLE 5'!$C$4:$C$11</c:f>
              <c:numCache>
                <c:formatCode>0.00</c:formatCode>
                <c:ptCount val="7"/>
                <c:pt idx="0">
                  <c:v>0.23390975609756121</c:v>
                </c:pt>
                <c:pt idx="1">
                  <c:v>0.19561140939597318</c:v>
                </c:pt>
                <c:pt idx="2">
                  <c:v>0.21608976377952749</c:v>
                </c:pt>
                <c:pt idx="3">
                  <c:v>0.21640763358778611</c:v>
                </c:pt>
                <c:pt idx="4">
                  <c:v>0.19515679999999977</c:v>
                </c:pt>
                <c:pt idx="5">
                  <c:v>0.20301304347826074</c:v>
                </c:pt>
                <c:pt idx="6">
                  <c:v>0.21756506024096364</c:v>
                </c:pt>
              </c:numCache>
            </c:numRef>
          </c:val>
          <c:smooth val="0"/>
          <c:extLst>
            <c:ext xmlns:c16="http://schemas.microsoft.com/office/drawing/2014/chart" uri="{C3380CC4-5D6E-409C-BE32-E72D297353CC}">
              <c16:uniqueId val="{00000001-04D4-4364-ABD4-B456E3A32C70}"/>
            </c:ext>
          </c:extLst>
        </c:ser>
        <c:dLbls>
          <c:showLegendKey val="0"/>
          <c:showVal val="0"/>
          <c:showCatName val="0"/>
          <c:showSerName val="0"/>
          <c:showPercent val="0"/>
          <c:showBubbleSize val="0"/>
        </c:dLbls>
        <c:marker val="1"/>
        <c:smooth val="0"/>
        <c:axId val="1815944736"/>
        <c:axId val="1815945152"/>
      </c:lineChart>
      <c:catAx>
        <c:axId val="18159447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5945152"/>
        <c:crosses val="autoZero"/>
        <c:auto val="1"/>
        <c:lblAlgn val="ctr"/>
        <c:lblOffset val="100"/>
        <c:noMultiLvlLbl val="0"/>
      </c:catAx>
      <c:valAx>
        <c:axId val="181594515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5944736"/>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6!PivotTable1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Temp vs Rentals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pivotFmt>
      <c:pivotFmt>
        <c:idx val="3"/>
        <c:spPr>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6'!$B$3</c:f>
              <c:strCache>
                <c:ptCount val="1"/>
                <c:pt idx="0">
                  <c:v>Total</c:v>
                </c:pt>
              </c:strCache>
            </c:strRef>
          </c:tx>
          <c:spPr>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cat>
            <c:strRef>
              <c:f>'Pivot table 6'!$A$4:$A$27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 table 6'!$B$4:$B$27</c:f>
              <c:numCache>
                <c:formatCode>0</c:formatCode>
                <c:ptCount val="23"/>
                <c:pt idx="0">
                  <c:v>16.8</c:v>
                </c:pt>
                <c:pt idx="1">
                  <c:v>27.642857142857142</c:v>
                </c:pt>
                <c:pt idx="2">
                  <c:v>40.533333333333331</c:v>
                </c:pt>
                <c:pt idx="3">
                  <c:v>29.75</c:v>
                </c:pt>
                <c:pt idx="4">
                  <c:v>39.34375</c:v>
                </c:pt>
                <c:pt idx="5">
                  <c:v>47.81818181818182</c:v>
                </c:pt>
                <c:pt idx="6">
                  <c:v>48.707865168539328</c:v>
                </c:pt>
                <c:pt idx="7">
                  <c:v>53.869230769230768</c:v>
                </c:pt>
                <c:pt idx="8">
                  <c:v>51.202531645569621</c:v>
                </c:pt>
                <c:pt idx="9">
                  <c:v>60.045454545454547</c:v>
                </c:pt>
                <c:pt idx="10">
                  <c:v>53.029411764705884</c:v>
                </c:pt>
                <c:pt idx="11">
                  <c:v>69.360465116279073</c:v>
                </c:pt>
                <c:pt idx="12">
                  <c:v>56.375</c:v>
                </c:pt>
                <c:pt idx="13">
                  <c:v>72.518518518518519</c:v>
                </c:pt>
                <c:pt idx="14">
                  <c:v>95.972972972972968</c:v>
                </c:pt>
                <c:pt idx="15">
                  <c:v>81.916666666666671</c:v>
                </c:pt>
                <c:pt idx="16">
                  <c:v>123.9</c:v>
                </c:pt>
                <c:pt idx="17">
                  <c:v>89.4</c:v>
                </c:pt>
                <c:pt idx="18">
                  <c:v>57.888888888888886</c:v>
                </c:pt>
                <c:pt idx="19">
                  <c:v>61.5625</c:v>
                </c:pt>
                <c:pt idx="20">
                  <c:v>64.875</c:v>
                </c:pt>
                <c:pt idx="21">
                  <c:v>64.666666666666671</c:v>
                </c:pt>
                <c:pt idx="22">
                  <c:v>44.166666666666664</c:v>
                </c:pt>
              </c:numCache>
            </c:numRef>
          </c:val>
          <c:smooth val="0"/>
          <c:extLst>
            <c:ext xmlns:c16="http://schemas.microsoft.com/office/drawing/2014/chart" uri="{C3380CC4-5D6E-409C-BE32-E72D297353CC}">
              <c16:uniqueId val="{00000000-08DE-4626-B490-BF8BAB3DA366}"/>
            </c:ext>
          </c:extLst>
        </c:ser>
        <c:dLbls>
          <c:showLegendKey val="0"/>
          <c:showVal val="0"/>
          <c:showCatName val="0"/>
          <c:showSerName val="0"/>
          <c:showPercent val="0"/>
          <c:showBubbleSize val="0"/>
        </c:dLbls>
        <c:marker val="1"/>
        <c:smooth val="0"/>
        <c:axId val="1048238768"/>
        <c:axId val="1048242096"/>
      </c:lineChart>
      <c:catAx>
        <c:axId val="104823876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a:t>Temperature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8242096"/>
        <c:crosses val="autoZero"/>
        <c:auto val="1"/>
        <c:lblAlgn val="ctr"/>
        <c:lblOffset val="100"/>
        <c:noMultiLvlLbl val="0"/>
      </c:catAx>
      <c:valAx>
        <c:axId val="104824209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baseline="0"/>
                  <a:t>avg count of rental bikes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823876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TABLE1!PivotTable1</c:name>
    <c:fmtId val="2"/>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800" b="1" i="0" baseline="0">
                <a:effectLst>
                  <a:outerShdw blurRad="50800" dist="38100" dir="5400000" algn="t" rotWithShape="0">
                    <a:srgbClr val="000000">
                      <a:alpha val="40000"/>
                    </a:srgbClr>
                  </a:outerShdw>
                </a:effectLst>
              </a:rPr>
              <a:t>'Rentals' by 'week name' and 'weather condition'</a:t>
            </a:r>
            <a:endParaRPr lang="en-US">
              <a:effectLst/>
            </a:endParaRPr>
          </a:p>
          <a:p>
            <a:pPr marL="0" marR="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layout>
        <c:manualLayout>
          <c:xMode val="edge"/>
          <c:yMode val="edge"/>
          <c:x val="0.17463387623635671"/>
          <c:y val="5.5118114792660405E-2"/>
        </c:manualLayout>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 TABLE1'!$B$3:$B$4</c:f>
              <c:strCache>
                <c:ptCount val="1"/>
                <c:pt idx="0">
                  <c:v>extreme weather condition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TABLE1'!$B$5:$B$12</c:f>
              <c:numCache>
                <c:formatCode>General</c:formatCode>
                <c:ptCount val="7"/>
                <c:pt idx="3">
                  <c:v>36</c:v>
                </c:pt>
              </c:numCache>
            </c:numRef>
          </c:val>
          <c:extLst>
            <c:ext xmlns:c16="http://schemas.microsoft.com/office/drawing/2014/chart" uri="{C3380CC4-5D6E-409C-BE32-E72D297353CC}">
              <c16:uniqueId val="{00000000-0752-48D0-AC44-25BFDF8D8A38}"/>
            </c:ext>
          </c:extLst>
        </c:ser>
        <c:ser>
          <c:idx val="1"/>
          <c:order val="1"/>
          <c:tx>
            <c:strRef>
              <c:f>'PIVOT TABLE1'!$C$3:$C$4</c:f>
              <c:strCache>
                <c:ptCount val="1"/>
                <c:pt idx="0">
                  <c:v>heavy rain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TABLE1'!$C$5:$C$12</c:f>
              <c:numCache>
                <c:formatCode>General</c:formatCode>
                <c:ptCount val="7"/>
                <c:pt idx="0">
                  <c:v>219</c:v>
                </c:pt>
                <c:pt idx="1">
                  <c:v>271</c:v>
                </c:pt>
                <c:pt idx="2">
                  <c:v>475</c:v>
                </c:pt>
                <c:pt idx="3">
                  <c:v>951</c:v>
                </c:pt>
                <c:pt idx="4">
                  <c:v>26</c:v>
                </c:pt>
                <c:pt idx="5">
                  <c:v>286</c:v>
                </c:pt>
                <c:pt idx="6">
                  <c:v>561</c:v>
                </c:pt>
              </c:numCache>
            </c:numRef>
          </c:val>
          <c:extLst>
            <c:ext xmlns:c16="http://schemas.microsoft.com/office/drawing/2014/chart" uri="{C3380CC4-5D6E-409C-BE32-E72D297353CC}">
              <c16:uniqueId val="{0000000C-142C-4AB2-8D7A-01B684A16D2C}"/>
            </c:ext>
          </c:extLst>
        </c:ser>
        <c:ser>
          <c:idx val="2"/>
          <c:order val="2"/>
          <c:tx>
            <c:strRef>
              <c:f>'PIVOT TABLE1'!$D$3:$D$4</c:f>
              <c:strCache>
                <c:ptCount val="1"/>
                <c:pt idx="0">
                  <c:v>light rain</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TABLE1'!$D$5:$D$12</c:f>
              <c:numCache>
                <c:formatCode>General</c:formatCode>
                <c:ptCount val="7"/>
                <c:pt idx="0">
                  <c:v>1241</c:v>
                </c:pt>
                <c:pt idx="1">
                  <c:v>3975</c:v>
                </c:pt>
                <c:pt idx="2">
                  <c:v>4315</c:v>
                </c:pt>
                <c:pt idx="3">
                  <c:v>1606</c:v>
                </c:pt>
                <c:pt idx="4">
                  <c:v>1794</c:v>
                </c:pt>
                <c:pt idx="5">
                  <c:v>2636</c:v>
                </c:pt>
                <c:pt idx="6">
                  <c:v>2539</c:v>
                </c:pt>
              </c:numCache>
            </c:numRef>
          </c:val>
          <c:extLst>
            <c:ext xmlns:c16="http://schemas.microsoft.com/office/drawing/2014/chart" uri="{C3380CC4-5D6E-409C-BE32-E72D297353CC}">
              <c16:uniqueId val="{00000000-DFF4-40BD-8CCA-11BDB10A1B2C}"/>
            </c:ext>
          </c:extLst>
        </c:ser>
        <c:ser>
          <c:idx val="3"/>
          <c:order val="3"/>
          <c:tx>
            <c:strRef>
              <c:f>'PIVOT TABLE1'!$E$3:$E$4</c:f>
              <c:strCache>
                <c:ptCount val="1"/>
                <c:pt idx="0">
                  <c:v>mist/cloudy</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TABLE1'!$E$5:$E$12</c:f>
              <c:numCache>
                <c:formatCode>General</c:formatCode>
                <c:ptCount val="7"/>
                <c:pt idx="0">
                  <c:v>6661</c:v>
                </c:pt>
                <c:pt idx="1">
                  <c:v>4204</c:v>
                </c:pt>
                <c:pt idx="2">
                  <c:v>3593</c:v>
                </c:pt>
                <c:pt idx="3">
                  <c:v>5456</c:v>
                </c:pt>
                <c:pt idx="4">
                  <c:v>6638</c:v>
                </c:pt>
                <c:pt idx="5">
                  <c:v>6173</c:v>
                </c:pt>
                <c:pt idx="6">
                  <c:v>4648</c:v>
                </c:pt>
              </c:numCache>
            </c:numRef>
          </c:val>
          <c:extLst>
            <c:ext xmlns:c16="http://schemas.microsoft.com/office/drawing/2014/chart" uri="{C3380CC4-5D6E-409C-BE32-E72D297353CC}">
              <c16:uniqueId val="{00000001-DFF4-40BD-8CCA-11BDB10A1B2C}"/>
            </c:ext>
          </c:extLst>
        </c:ser>
        <c:dLbls>
          <c:showLegendKey val="0"/>
          <c:showVal val="0"/>
          <c:showCatName val="0"/>
          <c:showSerName val="0"/>
          <c:showPercent val="0"/>
          <c:showBubbleSize val="0"/>
        </c:dLbls>
        <c:gapWidth val="100"/>
        <c:overlap val="-24"/>
        <c:axId val="1947657247"/>
        <c:axId val="1947661407"/>
      </c:barChart>
      <c:catAx>
        <c:axId val="194765724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week</a:t>
                </a:r>
                <a:r>
                  <a:rPr lang="en-US" baseline="0"/>
                  <a:t> name</a:t>
                </a:r>
                <a:endParaRPr lang="en-US"/>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7661407"/>
        <c:crosses val="autoZero"/>
        <c:auto val="1"/>
        <c:lblAlgn val="ctr"/>
        <c:lblOffset val="100"/>
        <c:noMultiLvlLbl val="0"/>
      </c:catAx>
      <c:valAx>
        <c:axId val="1947661407"/>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Rental</a:t>
                </a:r>
                <a:r>
                  <a:rPr lang="en-US" baseline="0"/>
                  <a:t> counts</a:t>
                </a:r>
                <a:endParaRPr lang="en-US"/>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765724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3!PivotTable1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RENTALS : REGISTERED VS CASUAL </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dLbl>
          <c:idx val="0"/>
          <c:showLegendKey val="0"/>
          <c:showVal val="1"/>
          <c:showCatName val="0"/>
          <c:showSerName val="0"/>
          <c:showPercent val="1"/>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3'!$B$3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EDB-42DD-B861-A230DD8A163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EDB-42DD-B861-A230DD8A16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 3'!$A$4:$A$5</c:f>
              <c:strCache>
                <c:ptCount val="2"/>
                <c:pt idx="0">
                  <c:v>Sum of registered</c:v>
                </c:pt>
                <c:pt idx="1">
                  <c:v>Sum of casual</c:v>
                </c:pt>
              </c:strCache>
            </c:strRef>
          </c:cat>
          <c:val>
            <c:numRef>
              <c:f>'PIVOT TABLE 3'!$B$4:$B$5</c:f>
              <c:numCache>
                <c:formatCode>General</c:formatCode>
                <c:ptCount val="2"/>
                <c:pt idx="0">
                  <c:v>53383</c:v>
                </c:pt>
                <c:pt idx="1">
                  <c:v>4921</c:v>
                </c:pt>
              </c:numCache>
            </c:numRef>
          </c:val>
          <c:extLst>
            <c:ext xmlns:c16="http://schemas.microsoft.com/office/drawing/2014/chart" uri="{C3380CC4-5D6E-409C-BE32-E72D297353CC}">
              <c16:uniqueId val="{00000004-0EDB-42DD-B861-A230DD8A163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0059208223972005"/>
          <c:y val="0.23689741907261588"/>
          <c:w val="0.27941838095279592"/>
          <c:h val="0.16071541057367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[final_data_set.xlsx]PIVOTE TABLE7!PivotTable1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DAILY</a:t>
            </a:r>
            <a:r>
              <a:rPr lang="en-US" baseline="0"/>
              <a:t> AND HOURLY PATTERN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'PIVOTE TABLE7'!$B$3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'PIVOTE TABLE7'!$A$4:$A$28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'PIVOTE TABLE7'!$B$4:$B$28</c:f>
              <c:numCache>
                <c:formatCode>General</c:formatCode>
                <c:ptCount val="24"/>
                <c:pt idx="0">
                  <c:v>703</c:v>
                </c:pt>
                <c:pt idx="1">
                  <c:v>460</c:v>
                </c:pt>
                <c:pt idx="2">
                  <c:v>294</c:v>
                </c:pt>
                <c:pt idx="3">
                  <c:v>151</c:v>
                </c:pt>
                <c:pt idx="4">
                  <c:v>69</c:v>
                </c:pt>
                <c:pt idx="5">
                  <c:v>164</c:v>
                </c:pt>
                <c:pt idx="6">
                  <c:v>822</c:v>
                </c:pt>
                <c:pt idx="7">
                  <c:v>2339</c:v>
                </c:pt>
                <c:pt idx="8">
                  <c:v>5388</c:v>
                </c:pt>
                <c:pt idx="9">
                  <c:v>3672</c:v>
                </c:pt>
                <c:pt idx="10">
                  <c:v>2253</c:v>
                </c:pt>
                <c:pt idx="11">
                  <c:v>2494</c:v>
                </c:pt>
                <c:pt idx="12">
                  <c:v>3283</c:v>
                </c:pt>
                <c:pt idx="13">
                  <c:v>3376</c:v>
                </c:pt>
                <c:pt idx="14">
                  <c:v>3200</c:v>
                </c:pt>
                <c:pt idx="15">
                  <c:v>3352</c:v>
                </c:pt>
                <c:pt idx="16">
                  <c:v>3928</c:v>
                </c:pt>
                <c:pt idx="17">
                  <c:v>6169</c:v>
                </c:pt>
                <c:pt idx="18">
                  <c:v>5283</c:v>
                </c:pt>
                <c:pt idx="19">
                  <c:v>3661</c:v>
                </c:pt>
                <c:pt idx="20">
                  <c:v>2656</c:v>
                </c:pt>
                <c:pt idx="21">
                  <c:v>1996</c:v>
                </c:pt>
                <c:pt idx="22">
                  <c:v>1508</c:v>
                </c:pt>
                <c:pt idx="23">
                  <c:v>1083</c:v>
                </c:pt>
              </c:numCache>
            </c:numRef>
          </c:val>
          <c:extLst>
            <c:ext xmlns:c16="http://schemas.microsoft.com/office/drawing/2014/chart" uri="{C3380CC4-5D6E-409C-BE32-E72D297353CC}">
              <c16:uniqueId val="{00000000-61B6-4BB4-A97A-BF7FFD6D76B6}"/>
            </c:ext>
          </c:extLst>
        </c:ser>
        <c:dLbls>
          <c:showLegendKey val="0"/>
          <c:showVal val="0"/>
          <c:showCatName val="0"/>
          <c:showSerName val="0"/>
          <c:showPercent val="0"/>
          <c:showBubbleSize val="0"/>
        </c:dLbls>
        <c:gapWidth val="100"/>
        <c:overlap val="-24"/>
        <c:axId val="2101689040"/>
        <c:axId val="2101686960"/>
      </c:barChart>
      <c:catAx>
        <c:axId val="2101689040"/>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baseline="0"/>
                  <a:t>DAILY HOURS TIME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686960"/>
        <c:crosses val="autoZero"/>
        <c:auto val="1"/>
        <c:lblAlgn val="ctr"/>
        <c:lblOffset val="100"/>
        <c:noMultiLvlLbl val="0"/>
      </c:catAx>
      <c:valAx>
        <c:axId val="210168696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a:t>RIDES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68904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1C1BDBB1-7BCD-463A-BC9E-33B29D85166A}" type="doc">
      <dgm:prSet loTypeId="urn:microsoft.com/office/officeart/2005/8/layout/list1" loCatId="list" qsTypeId="urn:microsoft.com/office/officeart/2005/8/quickstyle/simple1" qsCatId="simple" csTypeId="urn:microsoft.com/office/officeart/2005/8/colors/accent1_2" csCatId="accent1" phldr="1"/>
      <dgm:spPr/>
      <dgm:t>
        <a:bodyPr/>
        <a:lstStyle/>
        <a:p>
          <a:endParaRPr lang="en-US"/>
        </a:p>
      </dgm:t>
    </dgm:pt>
    <dgm:pt modelId="{286BD066-F2BA-4CD4-B5D8-86219E675B78}">
      <dgm:prSet phldrT="[Text]" custT="1"/>
      <dgm:spPr>
        <a:gradFill flip="none" rotWithShape="0">
          <a:gsLst>
            <a:gs pos="0">
              <a:srgbClr val="FF0066">
                <a:tint val="66000"/>
                <a:satMod val="160000"/>
              </a:srgbClr>
            </a:gs>
            <a:gs pos="50000">
              <a:srgbClr val="FF0066">
                <a:tint val="44500"/>
                <a:satMod val="160000"/>
              </a:srgbClr>
            </a:gs>
            <a:gs pos="100000">
              <a:srgbClr val="FF0066">
                <a:tint val="23500"/>
                <a:satMod val="160000"/>
              </a:srgbClr>
            </a:gs>
          </a:gsLst>
          <a:lin ang="18900000" scaled="1"/>
          <a:tileRect/>
        </a:gradFill>
      </dgm:spPr>
      <dgm:t>
        <a:bodyPr/>
        <a:lstStyle/>
        <a:p>
          <a:r>
            <a:rPr lang="en-US" sz="1100"/>
            <a:t>Total Rentals  :58304</a:t>
          </a:r>
        </a:p>
      </dgm:t>
    </dgm:pt>
    <dgm:pt modelId="{F76A9CFF-8B68-4AC7-BE2D-ECA48684098C}" type="parTrans" cxnId="{ED4C762C-92C0-4674-90E8-B8C69DA42C05}">
      <dgm:prSet/>
      <dgm:spPr/>
      <dgm:t>
        <a:bodyPr/>
        <a:lstStyle/>
        <a:p>
          <a:endParaRPr lang="en-US"/>
        </a:p>
      </dgm:t>
    </dgm:pt>
    <dgm:pt modelId="{68F9D5CD-327E-491F-BB51-298BD152605D}" type="sibTrans" cxnId="{ED4C762C-92C0-4674-90E8-B8C69DA42C05}">
      <dgm:prSet/>
      <dgm:spPr/>
      <dgm:t>
        <a:bodyPr/>
        <a:lstStyle/>
        <a:p>
          <a:endParaRPr lang="en-US"/>
        </a:p>
      </dgm:t>
    </dgm:pt>
    <dgm:pt modelId="{D8772F5C-522D-47A0-9C3D-66A92BB58D71}">
      <dgm:prSet phldrT="[Text]" custT="1"/>
      <dgm:spPr>
        <a:gradFill flip="none" rotWithShape="0">
          <a:gsLst>
            <a:gs pos="0">
              <a:srgbClr val="F8F43C">
                <a:shade val="30000"/>
                <a:satMod val="115000"/>
              </a:srgbClr>
            </a:gs>
            <a:gs pos="50000">
              <a:srgbClr val="F8F43C">
                <a:shade val="67500"/>
                <a:satMod val="115000"/>
              </a:srgbClr>
            </a:gs>
            <a:gs pos="100000">
              <a:srgbClr val="F8F43C">
                <a:shade val="100000"/>
                <a:satMod val="115000"/>
              </a:srgbClr>
            </a:gs>
          </a:gsLst>
          <a:lin ang="2700000" scaled="1"/>
          <a:tileRect/>
        </a:gradFill>
      </dgm:spPr>
      <dgm:t>
        <a:bodyPr/>
        <a:lstStyle/>
        <a:p>
          <a:r>
            <a:rPr lang="en-US" sz="1100"/>
            <a:t>Commute Efficiency :172</a:t>
          </a:r>
        </a:p>
      </dgm:t>
    </dgm:pt>
    <dgm:pt modelId="{644E1163-678F-4349-A974-29E9E519A08C}" type="parTrans" cxnId="{134759C3-F50B-4AEA-8073-26B9162BE5AC}">
      <dgm:prSet/>
      <dgm:spPr/>
      <dgm:t>
        <a:bodyPr/>
        <a:lstStyle/>
        <a:p>
          <a:endParaRPr lang="en-US"/>
        </a:p>
      </dgm:t>
    </dgm:pt>
    <dgm:pt modelId="{8E94CE4C-A622-4356-9309-AF1D59918642}" type="sibTrans" cxnId="{134759C3-F50B-4AEA-8073-26B9162BE5AC}">
      <dgm:prSet/>
      <dgm:spPr/>
      <dgm:t>
        <a:bodyPr/>
        <a:lstStyle/>
        <a:p>
          <a:endParaRPr lang="en-US"/>
        </a:p>
      </dgm:t>
    </dgm:pt>
    <dgm:pt modelId="{BF6E2D97-2525-4D8E-999F-C8A8B4C9DE8F}">
      <dgm:prSet phldrT="[Text]" custT="1"/>
      <dgm:spPr>
        <a:gradFill flip="none" rotWithShape="0">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2700000" scaled="1"/>
          <a:tileRect/>
        </a:gradFill>
      </dgm:spPr>
      <dgm:t>
        <a:bodyPr/>
        <a:lstStyle/>
        <a:p>
          <a:r>
            <a:rPr lang="en-US" sz="1100"/>
            <a:t>Working Day Advantage :+41% vol.</a:t>
          </a:r>
        </a:p>
      </dgm:t>
    </dgm:pt>
    <dgm:pt modelId="{565DBBFB-B0DB-42A8-B881-2DCE23A610F2}" type="parTrans" cxnId="{F875ED7C-D685-4946-940D-524FB304B23C}">
      <dgm:prSet/>
      <dgm:spPr/>
      <dgm:t>
        <a:bodyPr/>
        <a:lstStyle/>
        <a:p>
          <a:endParaRPr lang="en-US"/>
        </a:p>
      </dgm:t>
    </dgm:pt>
    <dgm:pt modelId="{0213FE11-01AA-4B47-AFFF-BDF737C26CE3}" type="sibTrans" cxnId="{F875ED7C-D685-4946-940D-524FB304B23C}">
      <dgm:prSet/>
      <dgm:spPr/>
      <dgm:t>
        <a:bodyPr/>
        <a:lstStyle/>
        <a:p>
          <a:endParaRPr lang="en-US"/>
        </a:p>
      </dgm:t>
    </dgm:pt>
    <dgm:pt modelId="{A9514BBA-56E5-4D05-A72E-2783E007EF17}">
      <dgm:prSet phldrT="[Text]" custT="1"/>
      <dgm:spPr>
        <a:gradFill flip="none" rotWithShape="0">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2700000" scaled="1"/>
          <a:tileRect/>
        </a:gradFill>
      </dgm:spPr>
      <dgm:t>
        <a:bodyPr/>
        <a:lstStyle/>
        <a:p>
          <a:r>
            <a:rPr lang="en-US" sz="1100"/>
            <a:t>Max Hourly Load : 249 bike</a:t>
          </a:r>
        </a:p>
      </dgm:t>
    </dgm:pt>
    <dgm:pt modelId="{495B09B0-1368-4E10-AE95-B8B156A4B7C4}" type="parTrans" cxnId="{5784C677-5607-40A1-BAD3-FF15AE01E7BD}">
      <dgm:prSet/>
      <dgm:spPr/>
      <dgm:t>
        <a:bodyPr/>
        <a:lstStyle/>
        <a:p>
          <a:endParaRPr lang="en-US"/>
        </a:p>
      </dgm:t>
    </dgm:pt>
    <dgm:pt modelId="{89F02ACF-BE94-4062-9FB5-AB9349ADB321}" type="sibTrans" cxnId="{5784C677-5607-40A1-BAD3-FF15AE01E7BD}">
      <dgm:prSet/>
      <dgm:spPr/>
      <dgm:t>
        <a:bodyPr/>
        <a:lstStyle/>
        <a:p>
          <a:endParaRPr lang="en-US"/>
        </a:p>
      </dgm:t>
    </dgm:pt>
    <dgm:pt modelId="{C847AEB1-2230-4EF3-88F3-6C45AB69F604}">
      <dgm:prSet phldrT="[Text]" custT="1"/>
      <dgm:spPr>
        <a:gradFill flip="none" rotWithShape="0">
          <a:gsLst>
            <a:gs pos="0">
              <a:schemeClr val="accent1">
                <a:lumMod val="75000"/>
                <a:tint val="66000"/>
                <a:satMod val="160000"/>
              </a:schemeClr>
            </a:gs>
            <a:gs pos="50000">
              <a:schemeClr val="accent1">
                <a:lumMod val="75000"/>
                <a:tint val="44500"/>
                <a:satMod val="160000"/>
              </a:schemeClr>
            </a:gs>
            <a:gs pos="100000">
              <a:schemeClr val="accent1">
                <a:lumMod val="75000"/>
                <a:tint val="23500"/>
                <a:satMod val="160000"/>
              </a:schemeClr>
            </a:gs>
          </a:gsLst>
          <a:lin ang="18900000" scaled="1"/>
          <a:tileRect/>
        </a:gradFill>
      </dgm:spPr>
      <dgm:t>
        <a:bodyPr/>
        <a:lstStyle/>
        <a:p>
          <a:r>
            <a:rPr lang="en-US" sz="1100"/>
            <a:t>Member Loyalty Rate :91.60%</a:t>
          </a:r>
        </a:p>
      </dgm:t>
    </dgm:pt>
    <dgm:pt modelId="{7A326DB9-38C6-4915-B484-04691977EDC9}" type="parTrans" cxnId="{524FD561-6991-4CC3-BEDC-0496122B3A4C}">
      <dgm:prSet/>
      <dgm:spPr/>
      <dgm:t>
        <a:bodyPr/>
        <a:lstStyle/>
        <a:p>
          <a:endParaRPr lang="en-US"/>
        </a:p>
      </dgm:t>
    </dgm:pt>
    <dgm:pt modelId="{EA64584C-B7BF-4671-BD16-6960BB314E97}" type="sibTrans" cxnId="{524FD561-6991-4CC3-BEDC-0496122B3A4C}">
      <dgm:prSet/>
      <dgm:spPr/>
      <dgm:t>
        <a:bodyPr/>
        <a:lstStyle/>
        <a:p>
          <a:endParaRPr lang="en-US"/>
        </a:p>
      </dgm:t>
    </dgm:pt>
    <dgm:pt modelId="{F038ED67-36B4-4769-B790-C52EF2ED99D9}">
      <dgm:prSet phldrT="[Text]" custT="1"/>
      <dgm:spPr>
        <a:gradFill flip="none" rotWithShape="0">
          <a:gsLst>
            <a:gs pos="0">
              <a:schemeClr val="accent3">
                <a:lumMod val="75000"/>
                <a:shade val="30000"/>
                <a:satMod val="115000"/>
              </a:schemeClr>
            </a:gs>
            <a:gs pos="50000">
              <a:schemeClr val="accent3">
                <a:lumMod val="75000"/>
                <a:shade val="67500"/>
                <a:satMod val="115000"/>
              </a:schemeClr>
            </a:gs>
            <a:gs pos="100000">
              <a:schemeClr val="accent3">
                <a:lumMod val="75000"/>
                <a:shade val="100000"/>
                <a:satMod val="115000"/>
              </a:schemeClr>
            </a:gs>
          </a:gsLst>
          <a:lin ang="2700000" scaled="1"/>
          <a:tileRect/>
        </a:gradFill>
      </dgm:spPr>
      <dgm:t>
        <a:bodyPr/>
        <a:lstStyle/>
        <a:p>
          <a:r>
            <a:rPr lang="en-US" sz="1100"/>
            <a:t>Weekend Tourism Growth :1350 casuals/day</a:t>
          </a:r>
        </a:p>
      </dgm:t>
    </dgm:pt>
    <dgm:pt modelId="{DDA3451F-7492-457F-8E85-FECA50F06093}" type="parTrans" cxnId="{32874730-23EC-49BF-81E3-D32FE009C977}">
      <dgm:prSet/>
      <dgm:spPr/>
      <dgm:t>
        <a:bodyPr/>
        <a:lstStyle/>
        <a:p>
          <a:endParaRPr lang="en-US"/>
        </a:p>
      </dgm:t>
    </dgm:pt>
    <dgm:pt modelId="{69FF01E6-861B-40FF-AF7D-36C3FA1EE0D4}" type="sibTrans" cxnId="{32874730-23EC-49BF-81E3-D32FE009C977}">
      <dgm:prSet/>
      <dgm:spPr/>
      <dgm:t>
        <a:bodyPr/>
        <a:lstStyle/>
        <a:p>
          <a:endParaRPr lang="en-US"/>
        </a:p>
      </dgm:t>
    </dgm:pt>
    <dgm:pt modelId="{EA0846E3-962C-4673-B3C8-FB39F69CB65A}">
      <dgm:prSet phldrT="[Text]" custT="1"/>
      <dgm:spPr>
        <a:gradFill flip="none" rotWithShape="0">
          <a:gsLst>
            <a:gs pos="0">
              <a:srgbClr val="92D050">
                <a:shade val="30000"/>
                <a:satMod val="115000"/>
              </a:srgbClr>
            </a:gs>
            <a:gs pos="50000">
              <a:srgbClr val="92D050">
                <a:shade val="67500"/>
                <a:satMod val="115000"/>
              </a:srgbClr>
            </a:gs>
            <a:gs pos="100000">
              <a:srgbClr val="92D050">
                <a:shade val="100000"/>
                <a:satMod val="115000"/>
              </a:srgbClr>
            </a:gs>
          </a:gsLst>
          <a:lin ang="2700000" scaled="1"/>
          <a:tileRect/>
        </a:gradFill>
      </dgm:spPr>
      <dgm:t>
        <a:bodyPr/>
        <a:lstStyle/>
        <a:p>
          <a:r>
            <a:rPr lang="en-US" sz="1100"/>
            <a:t>Rain Sensivity : -46% Demand</a:t>
          </a:r>
        </a:p>
      </dgm:t>
    </dgm:pt>
    <dgm:pt modelId="{860D8CE1-914D-4570-B539-7F117EF8578A}" type="parTrans" cxnId="{00B0EBF9-2911-4DFD-8881-1C4EA8D01F5F}">
      <dgm:prSet/>
      <dgm:spPr/>
      <dgm:t>
        <a:bodyPr/>
        <a:lstStyle/>
        <a:p>
          <a:endParaRPr lang="en-US"/>
        </a:p>
      </dgm:t>
    </dgm:pt>
    <dgm:pt modelId="{549C8B6B-01FE-4095-BD2A-C89871C59500}" type="sibTrans" cxnId="{00B0EBF9-2911-4DFD-8881-1C4EA8D01F5F}">
      <dgm:prSet/>
      <dgm:spPr/>
      <dgm:t>
        <a:bodyPr/>
        <a:lstStyle/>
        <a:p>
          <a:endParaRPr lang="en-US"/>
        </a:p>
      </dgm:t>
    </dgm:pt>
    <dgm:pt modelId="{2CCEFBF0-5425-48DA-8E99-BBAFA809F3C4}">
      <dgm:prSet phldrT="[Text]" custT="1"/>
      <dgm:spPr>
        <a:gradFill flip="none" rotWithShape="0">
          <a:gsLst>
            <a:gs pos="0">
              <a:schemeClr val="accent2">
                <a:lumMod val="75000"/>
                <a:shade val="30000"/>
                <a:satMod val="115000"/>
              </a:schemeClr>
            </a:gs>
            <a:gs pos="50000">
              <a:schemeClr val="accent2">
                <a:lumMod val="75000"/>
                <a:shade val="67500"/>
                <a:satMod val="115000"/>
              </a:schemeClr>
            </a:gs>
            <a:gs pos="100000">
              <a:schemeClr val="accent2">
                <a:lumMod val="75000"/>
                <a:shade val="100000"/>
                <a:satMod val="115000"/>
              </a:schemeClr>
            </a:gs>
          </a:gsLst>
          <a:lin ang="2700000" scaled="1"/>
          <a:tileRect/>
        </a:gradFill>
      </dgm:spPr>
      <dgm:t>
        <a:bodyPr/>
        <a:lstStyle/>
        <a:p>
          <a:r>
            <a:rPr lang="en-US" sz="1100"/>
            <a:t>Humidity Impact :-34% Demand</a:t>
          </a:r>
        </a:p>
      </dgm:t>
    </dgm:pt>
    <dgm:pt modelId="{284993B8-151F-4847-A8D6-FA2A7364E26B}" type="parTrans" cxnId="{4A543495-7FFA-46EC-9FBD-E287B08A340C}">
      <dgm:prSet/>
      <dgm:spPr/>
      <dgm:t>
        <a:bodyPr/>
        <a:lstStyle/>
        <a:p>
          <a:endParaRPr lang="en-US"/>
        </a:p>
      </dgm:t>
    </dgm:pt>
    <dgm:pt modelId="{15DFFD6B-5A6F-4E43-82BD-B45C9967FAF0}" type="sibTrans" cxnId="{4A543495-7FFA-46EC-9FBD-E287B08A340C}">
      <dgm:prSet/>
      <dgm:spPr/>
      <dgm:t>
        <a:bodyPr/>
        <a:lstStyle/>
        <a:p>
          <a:endParaRPr lang="en-US"/>
        </a:p>
      </dgm:t>
    </dgm:pt>
    <dgm:pt modelId="{71B5F97F-14A1-4D2A-B397-EFA17E1867C3}" type="pres">
      <dgm:prSet presAssocID="{1C1BDBB1-7BCD-463A-BC9E-33B29D85166A}" presName="linear" presStyleCnt="0">
        <dgm:presLayoutVars>
          <dgm:dir/>
          <dgm:animLvl val="lvl"/>
          <dgm:resizeHandles val="exact"/>
        </dgm:presLayoutVars>
      </dgm:prSet>
      <dgm:spPr/>
      <dgm:t>
        <a:bodyPr/>
        <a:lstStyle/>
        <a:p>
          <a:endParaRPr lang="en-US"/>
        </a:p>
      </dgm:t>
    </dgm:pt>
    <dgm:pt modelId="{52E7724F-9EC1-4A21-8708-0B5F586BE245}" type="pres">
      <dgm:prSet presAssocID="{286BD066-F2BA-4CD4-B5D8-86219E675B78}" presName="parentLin" presStyleCnt="0"/>
      <dgm:spPr/>
    </dgm:pt>
    <dgm:pt modelId="{899E2F2C-FCAB-4643-B6CE-3AA119D46298}" type="pres">
      <dgm:prSet presAssocID="{286BD066-F2BA-4CD4-B5D8-86219E675B78}" presName="parentLeftMargin" presStyleLbl="node1" presStyleIdx="0" presStyleCnt="8"/>
      <dgm:spPr/>
      <dgm:t>
        <a:bodyPr/>
        <a:lstStyle/>
        <a:p>
          <a:endParaRPr lang="en-US"/>
        </a:p>
      </dgm:t>
    </dgm:pt>
    <dgm:pt modelId="{A6AEB04C-0D27-4B7A-B512-569B692E48E3}" type="pres">
      <dgm:prSet presAssocID="{286BD066-F2BA-4CD4-B5D8-86219E675B78}" presName="parentText" presStyleLbl="node1" presStyleIdx="0" presStyleCnt="8">
        <dgm:presLayoutVars>
          <dgm:chMax val="0"/>
          <dgm:bulletEnabled val="1"/>
        </dgm:presLayoutVars>
      </dgm:prSet>
      <dgm:spPr/>
      <dgm:t>
        <a:bodyPr/>
        <a:lstStyle/>
        <a:p>
          <a:endParaRPr lang="en-US"/>
        </a:p>
      </dgm:t>
    </dgm:pt>
    <dgm:pt modelId="{2F2788BE-B801-4143-9295-6D92DB2AD425}" type="pres">
      <dgm:prSet presAssocID="{286BD066-F2BA-4CD4-B5D8-86219E675B78}" presName="negativeSpace" presStyleCnt="0"/>
      <dgm:spPr/>
    </dgm:pt>
    <dgm:pt modelId="{88E6179D-2CC6-463D-A69A-AB70539349BC}" type="pres">
      <dgm:prSet presAssocID="{286BD066-F2BA-4CD4-B5D8-86219E675B78}" presName="childText" presStyleLbl="conFgAcc1" presStyleIdx="0" presStyleCnt="8">
        <dgm:presLayoutVars>
          <dgm:bulletEnabled val="1"/>
        </dgm:presLayoutVars>
      </dgm:prSet>
      <dgm:spPr/>
      <dgm:t>
        <a:bodyPr/>
        <a:lstStyle/>
        <a:p>
          <a:endParaRPr lang="en-US"/>
        </a:p>
      </dgm:t>
    </dgm:pt>
    <dgm:pt modelId="{BA5D7DB7-4D4D-4A97-A971-E32E96C88988}" type="pres">
      <dgm:prSet presAssocID="{68F9D5CD-327E-491F-BB51-298BD152605D}" presName="spaceBetweenRectangles" presStyleCnt="0"/>
      <dgm:spPr/>
    </dgm:pt>
    <dgm:pt modelId="{4D7A051C-DB37-49C9-A033-B77F7337350A}" type="pres">
      <dgm:prSet presAssocID="{A9514BBA-56E5-4D05-A72E-2783E007EF17}" presName="parentLin" presStyleCnt="0"/>
      <dgm:spPr/>
    </dgm:pt>
    <dgm:pt modelId="{69DC1B39-C5A4-4261-828F-CA1F76D6A38D}" type="pres">
      <dgm:prSet presAssocID="{A9514BBA-56E5-4D05-A72E-2783E007EF17}" presName="parentLeftMargin" presStyleLbl="node1" presStyleIdx="0" presStyleCnt="8"/>
      <dgm:spPr/>
      <dgm:t>
        <a:bodyPr/>
        <a:lstStyle/>
        <a:p>
          <a:endParaRPr lang="en-US"/>
        </a:p>
      </dgm:t>
    </dgm:pt>
    <dgm:pt modelId="{34C2ABBE-5DBF-4000-978F-7A6716F1B9CF}" type="pres">
      <dgm:prSet presAssocID="{A9514BBA-56E5-4D05-A72E-2783E007EF17}" presName="parentText" presStyleLbl="node1" presStyleIdx="1" presStyleCnt="8">
        <dgm:presLayoutVars>
          <dgm:chMax val="0"/>
          <dgm:bulletEnabled val="1"/>
        </dgm:presLayoutVars>
      </dgm:prSet>
      <dgm:spPr/>
      <dgm:t>
        <a:bodyPr/>
        <a:lstStyle/>
        <a:p>
          <a:endParaRPr lang="en-US"/>
        </a:p>
      </dgm:t>
    </dgm:pt>
    <dgm:pt modelId="{69F7346E-DF35-4B8C-9B7F-B09D2ADF2C02}" type="pres">
      <dgm:prSet presAssocID="{A9514BBA-56E5-4D05-A72E-2783E007EF17}" presName="negativeSpace" presStyleCnt="0"/>
      <dgm:spPr/>
    </dgm:pt>
    <dgm:pt modelId="{ECCF724C-06EC-4598-8136-2DA28A6F586D}" type="pres">
      <dgm:prSet presAssocID="{A9514BBA-56E5-4D05-A72E-2783E007EF17}" presName="childText" presStyleLbl="conFgAcc1" presStyleIdx="1" presStyleCnt="8">
        <dgm:presLayoutVars>
          <dgm:bulletEnabled val="1"/>
        </dgm:presLayoutVars>
      </dgm:prSet>
      <dgm:spPr/>
    </dgm:pt>
    <dgm:pt modelId="{A7FF73F8-7F5F-494B-9B58-BDE6EE7C1B90}" type="pres">
      <dgm:prSet presAssocID="{89F02ACF-BE94-4062-9FB5-AB9349ADB321}" presName="spaceBetweenRectangles" presStyleCnt="0"/>
      <dgm:spPr/>
    </dgm:pt>
    <dgm:pt modelId="{0B7080C0-53E7-42B5-910A-C2B0D3A49205}" type="pres">
      <dgm:prSet presAssocID="{D8772F5C-522D-47A0-9C3D-66A92BB58D71}" presName="parentLin" presStyleCnt="0"/>
      <dgm:spPr/>
    </dgm:pt>
    <dgm:pt modelId="{46050D7E-5FF2-4ACD-9C14-97B6D2D019F0}" type="pres">
      <dgm:prSet presAssocID="{D8772F5C-522D-47A0-9C3D-66A92BB58D71}" presName="parentLeftMargin" presStyleLbl="node1" presStyleIdx="1" presStyleCnt="8"/>
      <dgm:spPr/>
      <dgm:t>
        <a:bodyPr/>
        <a:lstStyle/>
        <a:p>
          <a:endParaRPr lang="en-US"/>
        </a:p>
      </dgm:t>
    </dgm:pt>
    <dgm:pt modelId="{8A5CF0BA-B5ED-4552-B445-6B3BD2FC396F}" type="pres">
      <dgm:prSet presAssocID="{D8772F5C-522D-47A0-9C3D-66A92BB58D71}" presName="parentText" presStyleLbl="node1" presStyleIdx="2" presStyleCnt="8">
        <dgm:presLayoutVars>
          <dgm:chMax val="0"/>
          <dgm:bulletEnabled val="1"/>
        </dgm:presLayoutVars>
      </dgm:prSet>
      <dgm:spPr/>
      <dgm:t>
        <a:bodyPr/>
        <a:lstStyle/>
        <a:p>
          <a:endParaRPr lang="en-US"/>
        </a:p>
      </dgm:t>
    </dgm:pt>
    <dgm:pt modelId="{2D474F40-5F42-422C-9FC3-8316A7F40A81}" type="pres">
      <dgm:prSet presAssocID="{D8772F5C-522D-47A0-9C3D-66A92BB58D71}" presName="negativeSpace" presStyleCnt="0"/>
      <dgm:spPr/>
    </dgm:pt>
    <dgm:pt modelId="{4AF51B7C-3600-49F9-A4B2-CA2EDE9D02A0}" type="pres">
      <dgm:prSet presAssocID="{D8772F5C-522D-47A0-9C3D-66A92BB58D71}" presName="childText" presStyleLbl="conFgAcc1" presStyleIdx="2" presStyleCnt="8">
        <dgm:presLayoutVars>
          <dgm:bulletEnabled val="1"/>
        </dgm:presLayoutVars>
      </dgm:prSet>
      <dgm:spPr/>
    </dgm:pt>
    <dgm:pt modelId="{FED9DE50-3A84-4FE6-9B96-D19BA6BB821D}" type="pres">
      <dgm:prSet presAssocID="{8E94CE4C-A622-4356-9309-AF1D59918642}" presName="spaceBetweenRectangles" presStyleCnt="0"/>
      <dgm:spPr/>
    </dgm:pt>
    <dgm:pt modelId="{0387543D-C845-4156-806F-E376DC83AB81}" type="pres">
      <dgm:prSet presAssocID="{BF6E2D97-2525-4D8E-999F-C8A8B4C9DE8F}" presName="parentLin" presStyleCnt="0"/>
      <dgm:spPr/>
    </dgm:pt>
    <dgm:pt modelId="{52F5A27C-7351-4837-8BD7-2CB4749BB3A5}" type="pres">
      <dgm:prSet presAssocID="{BF6E2D97-2525-4D8E-999F-C8A8B4C9DE8F}" presName="parentLeftMargin" presStyleLbl="node1" presStyleIdx="2" presStyleCnt="8"/>
      <dgm:spPr/>
      <dgm:t>
        <a:bodyPr/>
        <a:lstStyle/>
        <a:p>
          <a:endParaRPr lang="en-US"/>
        </a:p>
      </dgm:t>
    </dgm:pt>
    <dgm:pt modelId="{7F0B00CD-B474-4638-A673-BAECBAC610B0}" type="pres">
      <dgm:prSet presAssocID="{BF6E2D97-2525-4D8E-999F-C8A8B4C9DE8F}" presName="parentText" presStyleLbl="node1" presStyleIdx="3" presStyleCnt="8">
        <dgm:presLayoutVars>
          <dgm:chMax val="0"/>
          <dgm:bulletEnabled val="1"/>
        </dgm:presLayoutVars>
      </dgm:prSet>
      <dgm:spPr/>
      <dgm:t>
        <a:bodyPr/>
        <a:lstStyle/>
        <a:p>
          <a:endParaRPr lang="en-US"/>
        </a:p>
      </dgm:t>
    </dgm:pt>
    <dgm:pt modelId="{001C6BC5-FC47-4013-B810-34588213B86F}" type="pres">
      <dgm:prSet presAssocID="{BF6E2D97-2525-4D8E-999F-C8A8B4C9DE8F}" presName="negativeSpace" presStyleCnt="0"/>
      <dgm:spPr/>
    </dgm:pt>
    <dgm:pt modelId="{BCD9304B-DA4E-4A6F-8D4D-AE60014F117E}" type="pres">
      <dgm:prSet presAssocID="{BF6E2D97-2525-4D8E-999F-C8A8B4C9DE8F}" presName="childText" presStyleLbl="conFgAcc1" presStyleIdx="3" presStyleCnt="8">
        <dgm:presLayoutVars>
          <dgm:bulletEnabled val="1"/>
        </dgm:presLayoutVars>
      </dgm:prSet>
      <dgm:spPr/>
    </dgm:pt>
    <dgm:pt modelId="{72FCAF05-4C2F-44CB-92A9-37E18A280F3F}" type="pres">
      <dgm:prSet presAssocID="{0213FE11-01AA-4B47-AFFF-BDF737C26CE3}" presName="spaceBetweenRectangles" presStyleCnt="0"/>
      <dgm:spPr/>
    </dgm:pt>
    <dgm:pt modelId="{B5388448-E4AF-40EC-BD69-EEDDC1F4F78A}" type="pres">
      <dgm:prSet presAssocID="{C847AEB1-2230-4EF3-88F3-6C45AB69F604}" presName="parentLin" presStyleCnt="0"/>
      <dgm:spPr/>
    </dgm:pt>
    <dgm:pt modelId="{B8778667-E6FD-43D5-ABC6-56F4672C35A6}" type="pres">
      <dgm:prSet presAssocID="{C847AEB1-2230-4EF3-88F3-6C45AB69F604}" presName="parentLeftMargin" presStyleLbl="node1" presStyleIdx="3" presStyleCnt="8"/>
      <dgm:spPr/>
      <dgm:t>
        <a:bodyPr/>
        <a:lstStyle/>
        <a:p>
          <a:endParaRPr lang="en-US"/>
        </a:p>
      </dgm:t>
    </dgm:pt>
    <dgm:pt modelId="{678A8432-9E15-43E7-BBCE-1D97CCF6D008}" type="pres">
      <dgm:prSet presAssocID="{C847AEB1-2230-4EF3-88F3-6C45AB69F604}" presName="parentText" presStyleLbl="node1" presStyleIdx="4" presStyleCnt="8">
        <dgm:presLayoutVars>
          <dgm:chMax val="0"/>
          <dgm:bulletEnabled val="1"/>
        </dgm:presLayoutVars>
      </dgm:prSet>
      <dgm:spPr/>
      <dgm:t>
        <a:bodyPr/>
        <a:lstStyle/>
        <a:p>
          <a:endParaRPr lang="en-US"/>
        </a:p>
      </dgm:t>
    </dgm:pt>
    <dgm:pt modelId="{82725355-777A-4917-8867-CE79F6FFBFC5}" type="pres">
      <dgm:prSet presAssocID="{C847AEB1-2230-4EF3-88F3-6C45AB69F604}" presName="negativeSpace" presStyleCnt="0"/>
      <dgm:spPr/>
    </dgm:pt>
    <dgm:pt modelId="{693283FB-3444-46C9-94A0-64BE2B9703F0}" type="pres">
      <dgm:prSet presAssocID="{C847AEB1-2230-4EF3-88F3-6C45AB69F604}" presName="childText" presStyleLbl="conFgAcc1" presStyleIdx="4" presStyleCnt="8">
        <dgm:presLayoutVars>
          <dgm:bulletEnabled val="1"/>
        </dgm:presLayoutVars>
      </dgm:prSet>
      <dgm:spPr/>
    </dgm:pt>
    <dgm:pt modelId="{80FA32EF-3F75-43EC-B759-98F0AC44626A}" type="pres">
      <dgm:prSet presAssocID="{EA64584C-B7BF-4671-BD16-6960BB314E97}" presName="spaceBetweenRectangles" presStyleCnt="0"/>
      <dgm:spPr/>
    </dgm:pt>
    <dgm:pt modelId="{D0FF4802-25F5-4D5B-83C2-1FD117BD3C15}" type="pres">
      <dgm:prSet presAssocID="{F038ED67-36B4-4769-B790-C52EF2ED99D9}" presName="parentLin" presStyleCnt="0"/>
      <dgm:spPr/>
    </dgm:pt>
    <dgm:pt modelId="{32F38DD5-B35A-4EF9-AB1A-69A2CB08A108}" type="pres">
      <dgm:prSet presAssocID="{F038ED67-36B4-4769-B790-C52EF2ED99D9}" presName="parentLeftMargin" presStyleLbl="node1" presStyleIdx="4" presStyleCnt="8"/>
      <dgm:spPr/>
      <dgm:t>
        <a:bodyPr/>
        <a:lstStyle/>
        <a:p>
          <a:endParaRPr lang="en-US"/>
        </a:p>
      </dgm:t>
    </dgm:pt>
    <dgm:pt modelId="{AA25B7B0-5DB7-40DE-889D-FF4F0B5E7E19}" type="pres">
      <dgm:prSet presAssocID="{F038ED67-36B4-4769-B790-C52EF2ED99D9}" presName="parentText" presStyleLbl="node1" presStyleIdx="5" presStyleCnt="8">
        <dgm:presLayoutVars>
          <dgm:chMax val="0"/>
          <dgm:bulletEnabled val="1"/>
        </dgm:presLayoutVars>
      </dgm:prSet>
      <dgm:spPr/>
      <dgm:t>
        <a:bodyPr/>
        <a:lstStyle/>
        <a:p>
          <a:endParaRPr lang="en-US"/>
        </a:p>
      </dgm:t>
    </dgm:pt>
    <dgm:pt modelId="{948FC9DF-22C0-48E9-8C49-6B9C18812355}" type="pres">
      <dgm:prSet presAssocID="{F038ED67-36B4-4769-B790-C52EF2ED99D9}" presName="negativeSpace" presStyleCnt="0"/>
      <dgm:spPr/>
    </dgm:pt>
    <dgm:pt modelId="{7738A2E4-9F56-40EE-A1FF-11305E974745}" type="pres">
      <dgm:prSet presAssocID="{F038ED67-36B4-4769-B790-C52EF2ED99D9}" presName="childText" presStyleLbl="conFgAcc1" presStyleIdx="5" presStyleCnt="8">
        <dgm:presLayoutVars>
          <dgm:bulletEnabled val="1"/>
        </dgm:presLayoutVars>
      </dgm:prSet>
      <dgm:spPr/>
    </dgm:pt>
    <dgm:pt modelId="{7F2FE3C9-ABA2-4671-A444-136C3612514D}" type="pres">
      <dgm:prSet presAssocID="{69FF01E6-861B-40FF-AF7D-36C3FA1EE0D4}" presName="spaceBetweenRectangles" presStyleCnt="0"/>
      <dgm:spPr/>
    </dgm:pt>
    <dgm:pt modelId="{C558CC55-585E-43F5-934E-1492B1D23BCD}" type="pres">
      <dgm:prSet presAssocID="{EA0846E3-962C-4673-B3C8-FB39F69CB65A}" presName="parentLin" presStyleCnt="0"/>
      <dgm:spPr/>
    </dgm:pt>
    <dgm:pt modelId="{1C3EB31E-FA35-4708-87F1-67047C3D40C3}" type="pres">
      <dgm:prSet presAssocID="{EA0846E3-962C-4673-B3C8-FB39F69CB65A}" presName="parentLeftMargin" presStyleLbl="node1" presStyleIdx="5" presStyleCnt="8"/>
      <dgm:spPr/>
      <dgm:t>
        <a:bodyPr/>
        <a:lstStyle/>
        <a:p>
          <a:endParaRPr lang="en-US"/>
        </a:p>
      </dgm:t>
    </dgm:pt>
    <dgm:pt modelId="{94F04C6D-E21B-441B-BB61-97F7F0031D08}" type="pres">
      <dgm:prSet presAssocID="{EA0846E3-962C-4673-B3C8-FB39F69CB65A}" presName="parentText" presStyleLbl="node1" presStyleIdx="6" presStyleCnt="8">
        <dgm:presLayoutVars>
          <dgm:chMax val="0"/>
          <dgm:bulletEnabled val="1"/>
        </dgm:presLayoutVars>
      </dgm:prSet>
      <dgm:spPr/>
      <dgm:t>
        <a:bodyPr/>
        <a:lstStyle/>
        <a:p>
          <a:endParaRPr lang="en-US"/>
        </a:p>
      </dgm:t>
    </dgm:pt>
    <dgm:pt modelId="{246218CB-4A22-4239-87CD-037FBBFA7845}" type="pres">
      <dgm:prSet presAssocID="{EA0846E3-962C-4673-B3C8-FB39F69CB65A}" presName="negativeSpace" presStyleCnt="0"/>
      <dgm:spPr/>
    </dgm:pt>
    <dgm:pt modelId="{DBA3BE93-82B3-4EA2-81F5-5AD15B841CD8}" type="pres">
      <dgm:prSet presAssocID="{EA0846E3-962C-4673-B3C8-FB39F69CB65A}" presName="childText" presStyleLbl="conFgAcc1" presStyleIdx="6" presStyleCnt="8">
        <dgm:presLayoutVars>
          <dgm:bulletEnabled val="1"/>
        </dgm:presLayoutVars>
      </dgm:prSet>
      <dgm:spPr/>
    </dgm:pt>
    <dgm:pt modelId="{39B327C1-E03D-4E67-B660-3C78BEC74B7C}" type="pres">
      <dgm:prSet presAssocID="{549C8B6B-01FE-4095-BD2A-C89871C59500}" presName="spaceBetweenRectangles" presStyleCnt="0"/>
      <dgm:spPr/>
    </dgm:pt>
    <dgm:pt modelId="{AE982A61-54AB-4EED-A148-675BF3B8DAF7}" type="pres">
      <dgm:prSet presAssocID="{2CCEFBF0-5425-48DA-8E99-BBAFA809F3C4}" presName="parentLin" presStyleCnt="0"/>
      <dgm:spPr/>
    </dgm:pt>
    <dgm:pt modelId="{71B93FC8-3810-49E8-976A-4568C99A71AE}" type="pres">
      <dgm:prSet presAssocID="{2CCEFBF0-5425-48DA-8E99-BBAFA809F3C4}" presName="parentLeftMargin" presStyleLbl="node1" presStyleIdx="6" presStyleCnt="8"/>
      <dgm:spPr/>
      <dgm:t>
        <a:bodyPr/>
        <a:lstStyle/>
        <a:p>
          <a:endParaRPr lang="en-US"/>
        </a:p>
      </dgm:t>
    </dgm:pt>
    <dgm:pt modelId="{6442CE97-F4DE-4F82-B9B4-395352498815}" type="pres">
      <dgm:prSet presAssocID="{2CCEFBF0-5425-48DA-8E99-BBAFA809F3C4}" presName="parentText" presStyleLbl="node1" presStyleIdx="7" presStyleCnt="8">
        <dgm:presLayoutVars>
          <dgm:chMax val="0"/>
          <dgm:bulletEnabled val="1"/>
        </dgm:presLayoutVars>
      </dgm:prSet>
      <dgm:spPr/>
      <dgm:t>
        <a:bodyPr/>
        <a:lstStyle/>
        <a:p>
          <a:endParaRPr lang="en-US"/>
        </a:p>
      </dgm:t>
    </dgm:pt>
    <dgm:pt modelId="{FE5EDDDF-FDDB-4EF0-A05D-14FECA2F13D8}" type="pres">
      <dgm:prSet presAssocID="{2CCEFBF0-5425-48DA-8E99-BBAFA809F3C4}" presName="negativeSpace" presStyleCnt="0"/>
      <dgm:spPr/>
    </dgm:pt>
    <dgm:pt modelId="{62EA88E5-6A1F-4030-8998-42F450C9E84D}" type="pres">
      <dgm:prSet presAssocID="{2CCEFBF0-5425-48DA-8E99-BBAFA809F3C4}" presName="childText" presStyleLbl="conFgAcc1" presStyleIdx="7" presStyleCnt="8">
        <dgm:presLayoutVars>
          <dgm:bulletEnabled val="1"/>
        </dgm:presLayoutVars>
      </dgm:prSet>
      <dgm:spPr/>
    </dgm:pt>
  </dgm:ptLst>
  <dgm:cxnLst>
    <dgm:cxn modelId="{F875ED7C-D685-4946-940D-524FB304B23C}" srcId="{1C1BDBB1-7BCD-463A-BC9E-33B29D85166A}" destId="{BF6E2D97-2525-4D8E-999F-C8A8B4C9DE8F}" srcOrd="3" destOrd="0" parTransId="{565DBBFB-B0DB-42A8-B881-2DCE23A610F2}" sibTransId="{0213FE11-01AA-4B47-AFFF-BDF737C26CE3}"/>
    <dgm:cxn modelId="{4A543495-7FFA-46EC-9FBD-E287B08A340C}" srcId="{1C1BDBB1-7BCD-463A-BC9E-33B29D85166A}" destId="{2CCEFBF0-5425-48DA-8E99-BBAFA809F3C4}" srcOrd="7" destOrd="0" parTransId="{284993B8-151F-4847-A8D6-FA2A7364E26B}" sibTransId="{15DFFD6B-5A6F-4E43-82BD-B45C9967FAF0}"/>
    <dgm:cxn modelId="{134759C3-F50B-4AEA-8073-26B9162BE5AC}" srcId="{1C1BDBB1-7BCD-463A-BC9E-33B29D85166A}" destId="{D8772F5C-522D-47A0-9C3D-66A92BB58D71}" srcOrd="2" destOrd="0" parTransId="{644E1163-678F-4349-A974-29E9E519A08C}" sibTransId="{8E94CE4C-A622-4356-9309-AF1D59918642}"/>
    <dgm:cxn modelId="{8185A32D-AEE4-4281-903B-0929A1754F8A}" type="presOf" srcId="{BF6E2D97-2525-4D8E-999F-C8A8B4C9DE8F}" destId="{52F5A27C-7351-4837-8BD7-2CB4749BB3A5}" srcOrd="0" destOrd="0" presId="urn:microsoft.com/office/officeart/2005/8/layout/list1"/>
    <dgm:cxn modelId="{DCEA03B9-35E2-42F4-BB1C-50EF2C2DF575}" type="presOf" srcId="{1C1BDBB1-7BCD-463A-BC9E-33B29D85166A}" destId="{71B5F97F-14A1-4D2A-B397-EFA17E1867C3}" srcOrd="0" destOrd="0" presId="urn:microsoft.com/office/officeart/2005/8/layout/list1"/>
    <dgm:cxn modelId="{00B0EBF9-2911-4DFD-8881-1C4EA8D01F5F}" srcId="{1C1BDBB1-7BCD-463A-BC9E-33B29D85166A}" destId="{EA0846E3-962C-4673-B3C8-FB39F69CB65A}" srcOrd="6" destOrd="0" parTransId="{860D8CE1-914D-4570-B539-7F117EF8578A}" sibTransId="{549C8B6B-01FE-4095-BD2A-C89871C59500}"/>
    <dgm:cxn modelId="{ED4C762C-92C0-4674-90E8-B8C69DA42C05}" srcId="{1C1BDBB1-7BCD-463A-BC9E-33B29D85166A}" destId="{286BD066-F2BA-4CD4-B5D8-86219E675B78}" srcOrd="0" destOrd="0" parTransId="{F76A9CFF-8B68-4AC7-BE2D-ECA48684098C}" sibTransId="{68F9D5CD-327E-491F-BB51-298BD152605D}"/>
    <dgm:cxn modelId="{5A8BCD78-9391-474E-A51C-9CE75771FA07}" type="presOf" srcId="{C847AEB1-2230-4EF3-88F3-6C45AB69F604}" destId="{B8778667-E6FD-43D5-ABC6-56F4672C35A6}" srcOrd="0" destOrd="0" presId="urn:microsoft.com/office/officeart/2005/8/layout/list1"/>
    <dgm:cxn modelId="{7B65EB8F-8FAC-47DD-80D6-1A1E22797544}" type="presOf" srcId="{A9514BBA-56E5-4D05-A72E-2783E007EF17}" destId="{34C2ABBE-5DBF-4000-978F-7A6716F1B9CF}" srcOrd="1" destOrd="0" presId="urn:microsoft.com/office/officeart/2005/8/layout/list1"/>
    <dgm:cxn modelId="{DB1D9BF3-FB59-48D2-BE72-CB9F81CF28BC}" type="presOf" srcId="{286BD066-F2BA-4CD4-B5D8-86219E675B78}" destId="{899E2F2C-FCAB-4643-B6CE-3AA119D46298}" srcOrd="0" destOrd="0" presId="urn:microsoft.com/office/officeart/2005/8/layout/list1"/>
    <dgm:cxn modelId="{2620D4D3-AFA0-4407-8A56-EAAA5D424199}" type="presOf" srcId="{C847AEB1-2230-4EF3-88F3-6C45AB69F604}" destId="{678A8432-9E15-43E7-BBCE-1D97CCF6D008}" srcOrd="1" destOrd="0" presId="urn:microsoft.com/office/officeart/2005/8/layout/list1"/>
    <dgm:cxn modelId="{C2F89614-A279-4C40-8CC6-0B864F2ABB47}" type="presOf" srcId="{A9514BBA-56E5-4D05-A72E-2783E007EF17}" destId="{69DC1B39-C5A4-4261-828F-CA1F76D6A38D}" srcOrd="0" destOrd="0" presId="urn:microsoft.com/office/officeart/2005/8/layout/list1"/>
    <dgm:cxn modelId="{EC060821-8BA3-4088-B1D5-5716685CE3FB}" type="presOf" srcId="{F038ED67-36B4-4769-B790-C52EF2ED99D9}" destId="{32F38DD5-B35A-4EF9-AB1A-69A2CB08A108}" srcOrd="0" destOrd="0" presId="urn:microsoft.com/office/officeart/2005/8/layout/list1"/>
    <dgm:cxn modelId="{84D3BB1A-D9B3-47CC-B506-D0248510CD2D}" type="presOf" srcId="{D8772F5C-522D-47A0-9C3D-66A92BB58D71}" destId="{46050D7E-5FF2-4ACD-9C14-97B6D2D019F0}" srcOrd="0" destOrd="0" presId="urn:microsoft.com/office/officeart/2005/8/layout/list1"/>
    <dgm:cxn modelId="{32874730-23EC-49BF-81E3-D32FE009C977}" srcId="{1C1BDBB1-7BCD-463A-BC9E-33B29D85166A}" destId="{F038ED67-36B4-4769-B790-C52EF2ED99D9}" srcOrd="5" destOrd="0" parTransId="{DDA3451F-7492-457F-8E85-FECA50F06093}" sibTransId="{69FF01E6-861B-40FF-AF7D-36C3FA1EE0D4}"/>
    <dgm:cxn modelId="{7809C1D7-843F-4448-B55A-C1ADDE29875D}" type="presOf" srcId="{F038ED67-36B4-4769-B790-C52EF2ED99D9}" destId="{AA25B7B0-5DB7-40DE-889D-FF4F0B5E7E19}" srcOrd="1" destOrd="0" presId="urn:microsoft.com/office/officeart/2005/8/layout/list1"/>
    <dgm:cxn modelId="{568B7478-5948-4880-A5C3-3CE3B16A376A}" type="presOf" srcId="{286BD066-F2BA-4CD4-B5D8-86219E675B78}" destId="{A6AEB04C-0D27-4B7A-B512-569B692E48E3}" srcOrd="1" destOrd="0" presId="urn:microsoft.com/office/officeart/2005/8/layout/list1"/>
    <dgm:cxn modelId="{D9D787CC-BC88-462D-9DB2-7B0B0E4578B9}" type="presOf" srcId="{EA0846E3-962C-4673-B3C8-FB39F69CB65A}" destId="{1C3EB31E-FA35-4708-87F1-67047C3D40C3}" srcOrd="0" destOrd="0" presId="urn:microsoft.com/office/officeart/2005/8/layout/list1"/>
    <dgm:cxn modelId="{524FD561-6991-4CC3-BEDC-0496122B3A4C}" srcId="{1C1BDBB1-7BCD-463A-BC9E-33B29D85166A}" destId="{C847AEB1-2230-4EF3-88F3-6C45AB69F604}" srcOrd="4" destOrd="0" parTransId="{7A326DB9-38C6-4915-B484-04691977EDC9}" sibTransId="{EA64584C-B7BF-4671-BD16-6960BB314E97}"/>
    <dgm:cxn modelId="{FBB06879-1876-487F-9D02-1160AB51759B}" type="presOf" srcId="{2CCEFBF0-5425-48DA-8E99-BBAFA809F3C4}" destId="{6442CE97-F4DE-4F82-B9B4-395352498815}" srcOrd="1" destOrd="0" presId="urn:microsoft.com/office/officeart/2005/8/layout/list1"/>
    <dgm:cxn modelId="{58E63AD6-AD83-496F-B9DC-09DE8DDC06F0}" type="presOf" srcId="{2CCEFBF0-5425-48DA-8E99-BBAFA809F3C4}" destId="{71B93FC8-3810-49E8-976A-4568C99A71AE}" srcOrd="0" destOrd="0" presId="urn:microsoft.com/office/officeart/2005/8/layout/list1"/>
    <dgm:cxn modelId="{F287A772-A9A4-43E3-A534-CE4DC839BC0A}" type="presOf" srcId="{EA0846E3-962C-4673-B3C8-FB39F69CB65A}" destId="{94F04C6D-E21B-441B-BB61-97F7F0031D08}" srcOrd="1" destOrd="0" presId="urn:microsoft.com/office/officeart/2005/8/layout/list1"/>
    <dgm:cxn modelId="{5784C677-5607-40A1-BAD3-FF15AE01E7BD}" srcId="{1C1BDBB1-7BCD-463A-BC9E-33B29D85166A}" destId="{A9514BBA-56E5-4D05-A72E-2783E007EF17}" srcOrd="1" destOrd="0" parTransId="{495B09B0-1368-4E10-AE95-B8B156A4B7C4}" sibTransId="{89F02ACF-BE94-4062-9FB5-AB9349ADB321}"/>
    <dgm:cxn modelId="{F4B8DD1F-1414-4488-943B-9C39121D9C28}" type="presOf" srcId="{D8772F5C-522D-47A0-9C3D-66A92BB58D71}" destId="{8A5CF0BA-B5ED-4552-B445-6B3BD2FC396F}" srcOrd="1" destOrd="0" presId="urn:microsoft.com/office/officeart/2005/8/layout/list1"/>
    <dgm:cxn modelId="{1E0818E7-8BF4-4D84-BE33-AA5264D8AB0F}" type="presOf" srcId="{BF6E2D97-2525-4D8E-999F-C8A8B4C9DE8F}" destId="{7F0B00CD-B474-4638-A673-BAECBAC610B0}" srcOrd="1" destOrd="0" presId="urn:microsoft.com/office/officeart/2005/8/layout/list1"/>
    <dgm:cxn modelId="{9B5CB2B5-EFCB-4C0D-AA32-54DD2C497226}" type="presParOf" srcId="{71B5F97F-14A1-4D2A-B397-EFA17E1867C3}" destId="{52E7724F-9EC1-4A21-8708-0B5F586BE245}" srcOrd="0" destOrd="0" presId="urn:microsoft.com/office/officeart/2005/8/layout/list1"/>
    <dgm:cxn modelId="{6D58F27B-8DAB-407D-AD1F-907066F0167F}" type="presParOf" srcId="{52E7724F-9EC1-4A21-8708-0B5F586BE245}" destId="{899E2F2C-FCAB-4643-B6CE-3AA119D46298}" srcOrd="0" destOrd="0" presId="urn:microsoft.com/office/officeart/2005/8/layout/list1"/>
    <dgm:cxn modelId="{7D38CC88-BA0D-46D8-AC07-D05870922715}" type="presParOf" srcId="{52E7724F-9EC1-4A21-8708-0B5F586BE245}" destId="{A6AEB04C-0D27-4B7A-B512-569B692E48E3}" srcOrd="1" destOrd="0" presId="urn:microsoft.com/office/officeart/2005/8/layout/list1"/>
    <dgm:cxn modelId="{B25C91E2-73D2-4B53-91C8-374602D96D0F}" type="presParOf" srcId="{71B5F97F-14A1-4D2A-B397-EFA17E1867C3}" destId="{2F2788BE-B801-4143-9295-6D92DB2AD425}" srcOrd="1" destOrd="0" presId="urn:microsoft.com/office/officeart/2005/8/layout/list1"/>
    <dgm:cxn modelId="{64A87B8B-7866-469B-96D1-12FF03EEDC57}" type="presParOf" srcId="{71B5F97F-14A1-4D2A-B397-EFA17E1867C3}" destId="{88E6179D-2CC6-463D-A69A-AB70539349BC}" srcOrd="2" destOrd="0" presId="urn:microsoft.com/office/officeart/2005/8/layout/list1"/>
    <dgm:cxn modelId="{606285F3-643F-4AA4-8690-5C3A1E9C561E}" type="presParOf" srcId="{71B5F97F-14A1-4D2A-B397-EFA17E1867C3}" destId="{BA5D7DB7-4D4D-4A97-A971-E32E96C88988}" srcOrd="3" destOrd="0" presId="urn:microsoft.com/office/officeart/2005/8/layout/list1"/>
    <dgm:cxn modelId="{0091730E-EB75-4CD5-BAE5-D2AB1CD7FAC0}" type="presParOf" srcId="{71B5F97F-14A1-4D2A-B397-EFA17E1867C3}" destId="{4D7A051C-DB37-49C9-A033-B77F7337350A}" srcOrd="4" destOrd="0" presId="urn:microsoft.com/office/officeart/2005/8/layout/list1"/>
    <dgm:cxn modelId="{B4D3FD1A-A01E-4F18-BB50-58EC39CEBC36}" type="presParOf" srcId="{4D7A051C-DB37-49C9-A033-B77F7337350A}" destId="{69DC1B39-C5A4-4261-828F-CA1F76D6A38D}" srcOrd="0" destOrd="0" presId="urn:microsoft.com/office/officeart/2005/8/layout/list1"/>
    <dgm:cxn modelId="{205DEEF4-0F37-4581-97C6-A03AECD9DD49}" type="presParOf" srcId="{4D7A051C-DB37-49C9-A033-B77F7337350A}" destId="{34C2ABBE-5DBF-4000-978F-7A6716F1B9CF}" srcOrd="1" destOrd="0" presId="urn:microsoft.com/office/officeart/2005/8/layout/list1"/>
    <dgm:cxn modelId="{6C659D4E-9A12-408D-B925-443CA4CD6B96}" type="presParOf" srcId="{71B5F97F-14A1-4D2A-B397-EFA17E1867C3}" destId="{69F7346E-DF35-4B8C-9B7F-B09D2ADF2C02}" srcOrd="5" destOrd="0" presId="urn:microsoft.com/office/officeart/2005/8/layout/list1"/>
    <dgm:cxn modelId="{1FE3CE2B-D379-4D47-B8CA-A4545DDBA37B}" type="presParOf" srcId="{71B5F97F-14A1-4D2A-B397-EFA17E1867C3}" destId="{ECCF724C-06EC-4598-8136-2DA28A6F586D}" srcOrd="6" destOrd="0" presId="urn:microsoft.com/office/officeart/2005/8/layout/list1"/>
    <dgm:cxn modelId="{7AB51794-963D-4BE2-B4EB-15FC878FA5D4}" type="presParOf" srcId="{71B5F97F-14A1-4D2A-B397-EFA17E1867C3}" destId="{A7FF73F8-7F5F-494B-9B58-BDE6EE7C1B90}" srcOrd="7" destOrd="0" presId="urn:microsoft.com/office/officeart/2005/8/layout/list1"/>
    <dgm:cxn modelId="{22B50528-82BB-40DC-9E16-979AC7D64D0C}" type="presParOf" srcId="{71B5F97F-14A1-4D2A-B397-EFA17E1867C3}" destId="{0B7080C0-53E7-42B5-910A-C2B0D3A49205}" srcOrd="8" destOrd="0" presId="urn:microsoft.com/office/officeart/2005/8/layout/list1"/>
    <dgm:cxn modelId="{53092456-2110-4555-8841-4DBBC23FCC1A}" type="presParOf" srcId="{0B7080C0-53E7-42B5-910A-C2B0D3A49205}" destId="{46050D7E-5FF2-4ACD-9C14-97B6D2D019F0}" srcOrd="0" destOrd="0" presId="urn:microsoft.com/office/officeart/2005/8/layout/list1"/>
    <dgm:cxn modelId="{BE91403D-16F6-4599-8D4C-5537FE6675F0}" type="presParOf" srcId="{0B7080C0-53E7-42B5-910A-C2B0D3A49205}" destId="{8A5CF0BA-B5ED-4552-B445-6B3BD2FC396F}" srcOrd="1" destOrd="0" presId="urn:microsoft.com/office/officeart/2005/8/layout/list1"/>
    <dgm:cxn modelId="{0BD41AB5-88C3-4AF7-AC18-EA3FAB3B4549}" type="presParOf" srcId="{71B5F97F-14A1-4D2A-B397-EFA17E1867C3}" destId="{2D474F40-5F42-422C-9FC3-8316A7F40A81}" srcOrd="9" destOrd="0" presId="urn:microsoft.com/office/officeart/2005/8/layout/list1"/>
    <dgm:cxn modelId="{0D1B863B-CD35-4854-9E32-0B1ED3562072}" type="presParOf" srcId="{71B5F97F-14A1-4D2A-B397-EFA17E1867C3}" destId="{4AF51B7C-3600-49F9-A4B2-CA2EDE9D02A0}" srcOrd="10" destOrd="0" presId="urn:microsoft.com/office/officeart/2005/8/layout/list1"/>
    <dgm:cxn modelId="{9A916EA8-A808-41D5-99EC-B7030F80B6AD}" type="presParOf" srcId="{71B5F97F-14A1-4D2A-B397-EFA17E1867C3}" destId="{FED9DE50-3A84-4FE6-9B96-D19BA6BB821D}" srcOrd="11" destOrd="0" presId="urn:microsoft.com/office/officeart/2005/8/layout/list1"/>
    <dgm:cxn modelId="{F44CB5BE-0D2A-4229-8B81-8FFBD47487B7}" type="presParOf" srcId="{71B5F97F-14A1-4D2A-B397-EFA17E1867C3}" destId="{0387543D-C845-4156-806F-E376DC83AB81}" srcOrd="12" destOrd="0" presId="urn:microsoft.com/office/officeart/2005/8/layout/list1"/>
    <dgm:cxn modelId="{19CC5C59-138E-4BA1-A9E3-D2CC2037BDEA}" type="presParOf" srcId="{0387543D-C845-4156-806F-E376DC83AB81}" destId="{52F5A27C-7351-4837-8BD7-2CB4749BB3A5}" srcOrd="0" destOrd="0" presId="urn:microsoft.com/office/officeart/2005/8/layout/list1"/>
    <dgm:cxn modelId="{DD6554E8-0D9B-4AA4-855A-FAB9C49CCB2C}" type="presParOf" srcId="{0387543D-C845-4156-806F-E376DC83AB81}" destId="{7F0B00CD-B474-4638-A673-BAECBAC610B0}" srcOrd="1" destOrd="0" presId="urn:microsoft.com/office/officeart/2005/8/layout/list1"/>
    <dgm:cxn modelId="{B4284697-8D46-4F41-A060-F3E38432D6E4}" type="presParOf" srcId="{71B5F97F-14A1-4D2A-B397-EFA17E1867C3}" destId="{001C6BC5-FC47-4013-B810-34588213B86F}" srcOrd="13" destOrd="0" presId="urn:microsoft.com/office/officeart/2005/8/layout/list1"/>
    <dgm:cxn modelId="{AB1937A9-5E61-4243-BC76-33E8863A7AC0}" type="presParOf" srcId="{71B5F97F-14A1-4D2A-B397-EFA17E1867C3}" destId="{BCD9304B-DA4E-4A6F-8D4D-AE60014F117E}" srcOrd="14" destOrd="0" presId="urn:microsoft.com/office/officeart/2005/8/layout/list1"/>
    <dgm:cxn modelId="{512ECCF6-ADC7-43D3-97CF-D669B85F67BE}" type="presParOf" srcId="{71B5F97F-14A1-4D2A-B397-EFA17E1867C3}" destId="{72FCAF05-4C2F-44CB-92A9-37E18A280F3F}" srcOrd="15" destOrd="0" presId="urn:microsoft.com/office/officeart/2005/8/layout/list1"/>
    <dgm:cxn modelId="{914CACB1-943E-420B-9948-A4B1B072B821}" type="presParOf" srcId="{71B5F97F-14A1-4D2A-B397-EFA17E1867C3}" destId="{B5388448-E4AF-40EC-BD69-EEDDC1F4F78A}" srcOrd="16" destOrd="0" presId="urn:microsoft.com/office/officeart/2005/8/layout/list1"/>
    <dgm:cxn modelId="{9C0F23D3-1AB7-4E8E-87D7-568C72057578}" type="presParOf" srcId="{B5388448-E4AF-40EC-BD69-EEDDC1F4F78A}" destId="{B8778667-E6FD-43D5-ABC6-56F4672C35A6}" srcOrd="0" destOrd="0" presId="urn:microsoft.com/office/officeart/2005/8/layout/list1"/>
    <dgm:cxn modelId="{AC0D578A-C022-45B0-BDA1-057033CF8202}" type="presParOf" srcId="{B5388448-E4AF-40EC-BD69-EEDDC1F4F78A}" destId="{678A8432-9E15-43E7-BBCE-1D97CCF6D008}" srcOrd="1" destOrd="0" presId="urn:microsoft.com/office/officeart/2005/8/layout/list1"/>
    <dgm:cxn modelId="{7B986F80-81D6-4E7E-BC52-56B91C83A632}" type="presParOf" srcId="{71B5F97F-14A1-4D2A-B397-EFA17E1867C3}" destId="{82725355-777A-4917-8867-CE79F6FFBFC5}" srcOrd="17" destOrd="0" presId="urn:microsoft.com/office/officeart/2005/8/layout/list1"/>
    <dgm:cxn modelId="{9F2C5818-E881-4908-BD35-807D2180EB28}" type="presParOf" srcId="{71B5F97F-14A1-4D2A-B397-EFA17E1867C3}" destId="{693283FB-3444-46C9-94A0-64BE2B9703F0}" srcOrd="18" destOrd="0" presId="urn:microsoft.com/office/officeart/2005/8/layout/list1"/>
    <dgm:cxn modelId="{D8763A1F-0696-4A2F-BB4E-9EE582D8017A}" type="presParOf" srcId="{71B5F97F-14A1-4D2A-B397-EFA17E1867C3}" destId="{80FA32EF-3F75-43EC-B759-98F0AC44626A}" srcOrd="19" destOrd="0" presId="urn:microsoft.com/office/officeart/2005/8/layout/list1"/>
    <dgm:cxn modelId="{809BBA0C-D40E-4E8F-8E32-05B832BE846C}" type="presParOf" srcId="{71B5F97F-14A1-4D2A-B397-EFA17E1867C3}" destId="{D0FF4802-25F5-4D5B-83C2-1FD117BD3C15}" srcOrd="20" destOrd="0" presId="urn:microsoft.com/office/officeart/2005/8/layout/list1"/>
    <dgm:cxn modelId="{861479B2-3B8D-4C54-9F41-EAB2EE283F10}" type="presParOf" srcId="{D0FF4802-25F5-4D5B-83C2-1FD117BD3C15}" destId="{32F38DD5-B35A-4EF9-AB1A-69A2CB08A108}" srcOrd="0" destOrd="0" presId="urn:microsoft.com/office/officeart/2005/8/layout/list1"/>
    <dgm:cxn modelId="{D9065226-697C-4CD7-B16E-D004A2372C16}" type="presParOf" srcId="{D0FF4802-25F5-4D5B-83C2-1FD117BD3C15}" destId="{AA25B7B0-5DB7-40DE-889D-FF4F0B5E7E19}" srcOrd="1" destOrd="0" presId="urn:microsoft.com/office/officeart/2005/8/layout/list1"/>
    <dgm:cxn modelId="{5D51BD17-D31F-49E4-BD75-21742CBE3165}" type="presParOf" srcId="{71B5F97F-14A1-4D2A-B397-EFA17E1867C3}" destId="{948FC9DF-22C0-48E9-8C49-6B9C18812355}" srcOrd="21" destOrd="0" presId="urn:microsoft.com/office/officeart/2005/8/layout/list1"/>
    <dgm:cxn modelId="{6678343A-2287-475D-BCBE-94FC8672CBF2}" type="presParOf" srcId="{71B5F97F-14A1-4D2A-B397-EFA17E1867C3}" destId="{7738A2E4-9F56-40EE-A1FF-11305E974745}" srcOrd="22" destOrd="0" presId="urn:microsoft.com/office/officeart/2005/8/layout/list1"/>
    <dgm:cxn modelId="{38C075DF-DE58-482A-AE3A-C15A73DD51EB}" type="presParOf" srcId="{71B5F97F-14A1-4D2A-B397-EFA17E1867C3}" destId="{7F2FE3C9-ABA2-4671-A444-136C3612514D}" srcOrd="23" destOrd="0" presId="urn:microsoft.com/office/officeart/2005/8/layout/list1"/>
    <dgm:cxn modelId="{CB9CA3F6-5325-485D-9C21-1C55DF89B983}" type="presParOf" srcId="{71B5F97F-14A1-4D2A-B397-EFA17E1867C3}" destId="{C558CC55-585E-43F5-934E-1492B1D23BCD}" srcOrd="24" destOrd="0" presId="urn:microsoft.com/office/officeart/2005/8/layout/list1"/>
    <dgm:cxn modelId="{4BADD417-0C0B-4C4D-A882-2665EB062FF4}" type="presParOf" srcId="{C558CC55-585E-43F5-934E-1492B1D23BCD}" destId="{1C3EB31E-FA35-4708-87F1-67047C3D40C3}" srcOrd="0" destOrd="0" presId="urn:microsoft.com/office/officeart/2005/8/layout/list1"/>
    <dgm:cxn modelId="{E5D05996-DB17-4A7E-B30A-3444E556AA90}" type="presParOf" srcId="{C558CC55-585E-43F5-934E-1492B1D23BCD}" destId="{94F04C6D-E21B-441B-BB61-97F7F0031D08}" srcOrd="1" destOrd="0" presId="urn:microsoft.com/office/officeart/2005/8/layout/list1"/>
    <dgm:cxn modelId="{F7DA46DC-9931-4C4C-9FAB-A8F2925A7127}" type="presParOf" srcId="{71B5F97F-14A1-4D2A-B397-EFA17E1867C3}" destId="{246218CB-4A22-4239-87CD-037FBBFA7845}" srcOrd="25" destOrd="0" presId="urn:microsoft.com/office/officeart/2005/8/layout/list1"/>
    <dgm:cxn modelId="{6D1AD081-25E0-4886-BE98-98300D64AF3A}" type="presParOf" srcId="{71B5F97F-14A1-4D2A-B397-EFA17E1867C3}" destId="{DBA3BE93-82B3-4EA2-81F5-5AD15B841CD8}" srcOrd="26" destOrd="0" presId="urn:microsoft.com/office/officeart/2005/8/layout/list1"/>
    <dgm:cxn modelId="{7077B718-8E89-4645-946F-B257BCB6A3DF}" type="presParOf" srcId="{71B5F97F-14A1-4D2A-B397-EFA17E1867C3}" destId="{39B327C1-E03D-4E67-B660-3C78BEC74B7C}" srcOrd="27" destOrd="0" presId="urn:microsoft.com/office/officeart/2005/8/layout/list1"/>
    <dgm:cxn modelId="{D9E1F2B1-455F-4B07-9490-6215B15718B4}" type="presParOf" srcId="{71B5F97F-14A1-4D2A-B397-EFA17E1867C3}" destId="{AE982A61-54AB-4EED-A148-675BF3B8DAF7}" srcOrd="28" destOrd="0" presId="urn:microsoft.com/office/officeart/2005/8/layout/list1"/>
    <dgm:cxn modelId="{480D421B-E0FF-4311-B79A-94ACFC996ABB}" type="presParOf" srcId="{AE982A61-54AB-4EED-A148-675BF3B8DAF7}" destId="{71B93FC8-3810-49E8-976A-4568C99A71AE}" srcOrd="0" destOrd="0" presId="urn:microsoft.com/office/officeart/2005/8/layout/list1"/>
    <dgm:cxn modelId="{E0BA2096-8A03-49AE-9BC0-0A4066ECDAE5}" type="presParOf" srcId="{AE982A61-54AB-4EED-A148-675BF3B8DAF7}" destId="{6442CE97-F4DE-4F82-B9B4-395352498815}" srcOrd="1" destOrd="0" presId="urn:microsoft.com/office/officeart/2005/8/layout/list1"/>
    <dgm:cxn modelId="{79B971D4-7E2C-4350-AE1A-DC627C81FE52}" type="presParOf" srcId="{71B5F97F-14A1-4D2A-B397-EFA17E1867C3}" destId="{FE5EDDDF-FDDB-4EF0-A05D-14FECA2F13D8}" srcOrd="29" destOrd="0" presId="urn:microsoft.com/office/officeart/2005/8/layout/list1"/>
    <dgm:cxn modelId="{7A57BBF6-15DA-43C2-ACF1-95FB09A1E570}" type="presParOf" srcId="{71B5F97F-14A1-4D2A-B397-EFA17E1867C3}" destId="{62EA88E5-6A1F-4030-8998-42F450C9E84D}" srcOrd="30" destOrd="0" presId="urn:microsoft.com/office/officeart/2005/8/layout/list1"/>
  </dgm:cxnLst>
  <dgm:bg/>
  <dgm:whole/>
  <dgm:extLst>
    <a:ext uri="http://schemas.microsoft.com/office/drawing/2008/diagram">
      <dsp:dataModelExt xmlns:dsp="http://schemas.microsoft.com/office/drawing/2008/diagram" relId="rId5" minVer="http://schemas.openxmlformats.org/drawingml/2006/diagram"/>
    </a:ext>
    <a:ext uri="{C62137D5-CB1D-491B-B009-E17868A290BF}">
      <dgm14:recolorImg xmlns:dgm14="http://schemas.microsoft.com/office/drawing/2010/diagram" val="1"/>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88E6179D-2CC6-463D-A69A-AB70539349BC}">
      <dsp:nvSpPr>
        <dsp:cNvPr id="0" name=""/>
        <dsp:cNvSpPr/>
      </dsp:nvSpPr>
      <dsp:spPr>
        <a:xfrm>
          <a:off x="0" y="25296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A6AEB04C-0D27-4B7A-B512-569B692E48E3}">
      <dsp:nvSpPr>
        <dsp:cNvPr id="0" name=""/>
        <dsp:cNvSpPr/>
      </dsp:nvSpPr>
      <dsp:spPr>
        <a:xfrm>
          <a:off x="156686" y="120127"/>
          <a:ext cx="2193608" cy="265680"/>
        </a:xfrm>
        <a:prstGeom prst="roundRect">
          <a:avLst/>
        </a:prstGeom>
        <a:gradFill flip="none" rotWithShape="0">
          <a:gsLst>
            <a:gs pos="0">
              <a:srgbClr val="FF0066">
                <a:tint val="66000"/>
                <a:satMod val="160000"/>
              </a:srgbClr>
            </a:gs>
            <a:gs pos="50000">
              <a:srgbClr val="FF0066">
                <a:tint val="44500"/>
                <a:satMod val="160000"/>
              </a:srgbClr>
            </a:gs>
            <a:gs pos="100000">
              <a:srgbClr val="FF0066">
                <a:tint val="23500"/>
                <a:satMod val="160000"/>
              </a:srgbClr>
            </a:gs>
          </a:gsLst>
          <a:lin ang="189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Total Rentals  :58304</a:t>
          </a:r>
        </a:p>
      </dsp:txBody>
      <dsp:txXfrm>
        <a:off x="169655" y="133096"/>
        <a:ext cx="2167670" cy="239742"/>
      </dsp:txXfrm>
    </dsp:sp>
    <dsp:sp modelId="{ECCF724C-06EC-4598-8136-2DA28A6F586D}">
      <dsp:nvSpPr>
        <dsp:cNvPr id="0" name=""/>
        <dsp:cNvSpPr/>
      </dsp:nvSpPr>
      <dsp:spPr>
        <a:xfrm>
          <a:off x="0" y="66120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34C2ABBE-5DBF-4000-978F-7A6716F1B9CF}">
      <dsp:nvSpPr>
        <dsp:cNvPr id="0" name=""/>
        <dsp:cNvSpPr/>
      </dsp:nvSpPr>
      <dsp:spPr>
        <a:xfrm>
          <a:off x="156686" y="528367"/>
          <a:ext cx="2193608" cy="265680"/>
        </a:xfrm>
        <a:prstGeom prst="roundRect">
          <a:avLst/>
        </a:prstGeom>
        <a:gradFill flip="none" rotWithShape="0">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Max Hourly Load : 249 bike</a:t>
          </a:r>
        </a:p>
      </dsp:txBody>
      <dsp:txXfrm>
        <a:off x="169655" y="541336"/>
        <a:ext cx="2167670" cy="239742"/>
      </dsp:txXfrm>
    </dsp:sp>
    <dsp:sp modelId="{4AF51B7C-3600-49F9-A4B2-CA2EDE9D02A0}">
      <dsp:nvSpPr>
        <dsp:cNvPr id="0" name=""/>
        <dsp:cNvSpPr/>
      </dsp:nvSpPr>
      <dsp:spPr>
        <a:xfrm>
          <a:off x="0" y="106944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8A5CF0BA-B5ED-4552-B445-6B3BD2FC396F}">
      <dsp:nvSpPr>
        <dsp:cNvPr id="0" name=""/>
        <dsp:cNvSpPr/>
      </dsp:nvSpPr>
      <dsp:spPr>
        <a:xfrm>
          <a:off x="156686" y="936607"/>
          <a:ext cx="2193608" cy="265680"/>
        </a:xfrm>
        <a:prstGeom prst="roundRect">
          <a:avLst/>
        </a:prstGeom>
        <a:gradFill flip="none" rotWithShape="0">
          <a:gsLst>
            <a:gs pos="0">
              <a:srgbClr val="F8F43C">
                <a:shade val="30000"/>
                <a:satMod val="115000"/>
              </a:srgbClr>
            </a:gs>
            <a:gs pos="50000">
              <a:srgbClr val="F8F43C">
                <a:shade val="67500"/>
                <a:satMod val="115000"/>
              </a:srgbClr>
            </a:gs>
            <a:gs pos="100000">
              <a:srgbClr val="F8F43C">
                <a:shade val="100000"/>
                <a:satMod val="115000"/>
              </a:srgb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Commute Efficiency :172</a:t>
          </a:r>
        </a:p>
      </dsp:txBody>
      <dsp:txXfrm>
        <a:off x="169655" y="949576"/>
        <a:ext cx="2167670" cy="239742"/>
      </dsp:txXfrm>
    </dsp:sp>
    <dsp:sp modelId="{BCD9304B-DA4E-4A6F-8D4D-AE60014F117E}">
      <dsp:nvSpPr>
        <dsp:cNvPr id="0" name=""/>
        <dsp:cNvSpPr/>
      </dsp:nvSpPr>
      <dsp:spPr>
        <a:xfrm>
          <a:off x="0" y="147768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7F0B00CD-B474-4638-A673-BAECBAC610B0}">
      <dsp:nvSpPr>
        <dsp:cNvPr id="0" name=""/>
        <dsp:cNvSpPr/>
      </dsp:nvSpPr>
      <dsp:spPr>
        <a:xfrm>
          <a:off x="156686" y="1344847"/>
          <a:ext cx="2193608" cy="265680"/>
        </a:xfrm>
        <a:prstGeom prst="roundRect">
          <a:avLst/>
        </a:prstGeom>
        <a:gradFill flip="none" rotWithShape="0">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Working Day Advantage :+41% vol.</a:t>
          </a:r>
        </a:p>
      </dsp:txBody>
      <dsp:txXfrm>
        <a:off x="169655" y="1357816"/>
        <a:ext cx="2167670" cy="239742"/>
      </dsp:txXfrm>
    </dsp:sp>
    <dsp:sp modelId="{693283FB-3444-46C9-94A0-64BE2B9703F0}">
      <dsp:nvSpPr>
        <dsp:cNvPr id="0" name=""/>
        <dsp:cNvSpPr/>
      </dsp:nvSpPr>
      <dsp:spPr>
        <a:xfrm>
          <a:off x="0" y="188592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678A8432-9E15-43E7-BBCE-1D97CCF6D008}">
      <dsp:nvSpPr>
        <dsp:cNvPr id="0" name=""/>
        <dsp:cNvSpPr/>
      </dsp:nvSpPr>
      <dsp:spPr>
        <a:xfrm>
          <a:off x="156686" y="1753087"/>
          <a:ext cx="2193608" cy="265680"/>
        </a:xfrm>
        <a:prstGeom prst="roundRect">
          <a:avLst/>
        </a:prstGeom>
        <a:gradFill flip="none" rotWithShape="0">
          <a:gsLst>
            <a:gs pos="0">
              <a:schemeClr val="accent1">
                <a:lumMod val="75000"/>
                <a:tint val="66000"/>
                <a:satMod val="160000"/>
              </a:schemeClr>
            </a:gs>
            <a:gs pos="50000">
              <a:schemeClr val="accent1">
                <a:lumMod val="75000"/>
                <a:tint val="44500"/>
                <a:satMod val="160000"/>
              </a:schemeClr>
            </a:gs>
            <a:gs pos="100000">
              <a:schemeClr val="accent1">
                <a:lumMod val="75000"/>
                <a:tint val="23500"/>
                <a:satMod val="160000"/>
              </a:schemeClr>
            </a:gs>
          </a:gsLst>
          <a:lin ang="189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Member Loyalty Rate :91.60%</a:t>
          </a:r>
        </a:p>
      </dsp:txBody>
      <dsp:txXfrm>
        <a:off x="169655" y="1766056"/>
        <a:ext cx="2167670" cy="239742"/>
      </dsp:txXfrm>
    </dsp:sp>
    <dsp:sp modelId="{7738A2E4-9F56-40EE-A1FF-11305E974745}">
      <dsp:nvSpPr>
        <dsp:cNvPr id="0" name=""/>
        <dsp:cNvSpPr/>
      </dsp:nvSpPr>
      <dsp:spPr>
        <a:xfrm>
          <a:off x="0" y="229416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AA25B7B0-5DB7-40DE-889D-FF4F0B5E7E19}">
      <dsp:nvSpPr>
        <dsp:cNvPr id="0" name=""/>
        <dsp:cNvSpPr/>
      </dsp:nvSpPr>
      <dsp:spPr>
        <a:xfrm>
          <a:off x="156686" y="2161327"/>
          <a:ext cx="2193608" cy="265680"/>
        </a:xfrm>
        <a:prstGeom prst="roundRect">
          <a:avLst/>
        </a:prstGeom>
        <a:gradFill flip="none" rotWithShape="0">
          <a:gsLst>
            <a:gs pos="0">
              <a:schemeClr val="accent3">
                <a:lumMod val="75000"/>
                <a:shade val="30000"/>
                <a:satMod val="115000"/>
              </a:schemeClr>
            </a:gs>
            <a:gs pos="50000">
              <a:schemeClr val="accent3">
                <a:lumMod val="75000"/>
                <a:shade val="67500"/>
                <a:satMod val="115000"/>
              </a:schemeClr>
            </a:gs>
            <a:gs pos="100000">
              <a:schemeClr val="accent3">
                <a:lumMod val="75000"/>
                <a:shade val="100000"/>
                <a:satMod val="115000"/>
              </a:scheme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Weekend Tourism Growth :1350 casuals/day</a:t>
          </a:r>
        </a:p>
      </dsp:txBody>
      <dsp:txXfrm>
        <a:off x="169655" y="2174296"/>
        <a:ext cx="2167670" cy="239742"/>
      </dsp:txXfrm>
    </dsp:sp>
    <dsp:sp modelId="{DBA3BE93-82B3-4EA2-81F5-5AD15B841CD8}">
      <dsp:nvSpPr>
        <dsp:cNvPr id="0" name=""/>
        <dsp:cNvSpPr/>
      </dsp:nvSpPr>
      <dsp:spPr>
        <a:xfrm>
          <a:off x="0" y="270240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94F04C6D-E21B-441B-BB61-97F7F0031D08}">
      <dsp:nvSpPr>
        <dsp:cNvPr id="0" name=""/>
        <dsp:cNvSpPr/>
      </dsp:nvSpPr>
      <dsp:spPr>
        <a:xfrm>
          <a:off x="156686" y="2569567"/>
          <a:ext cx="2193608" cy="265680"/>
        </a:xfrm>
        <a:prstGeom prst="roundRect">
          <a:avLst/>
        </a:prstGeom>
        <a:gradFill flip="none" rotWithShape="0">
          <a:gsLst>
            <a:gs pos="0">
              <a:srgbClr val="92D050">
                <a:shade val="30000"/>
                <a:satMod val="115000"/>
              </a:srgbClr>
            </a:gs>
            <a:gs pos="50000">
              <a:srgbClr val="92D050">
                <a:shade val="67500"/>
                <a:satMod val="115000"/>
              </a:srgbClr>
            </a:gs>
            <a:gs pos="100000">
              <a:srgbClr val="92D050">
                <a:shade val="100000"/>
                <a:satMod val="115000"/>
              </a:srgb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Rain Sensivity : -46% Demand</a:t>
          </a:r>
        </a:p>
      </dsp:txBody>
      <dsp:txXfrm>
        <a:off x="169655" y="2582536"/>
        <a:ext cx="2167670" cy="239742"/>
      </dsp:txXfrm>
    </dsp:sp>
    <dsp:sp modelId="{62EA88E5-6A1F-4030-8998-42F450C9E84D}">
      <dsp:nvSpPr>
        <dsp:cNvPr id="0" name=""/>
        <dsp:cNvSpPr/>
      </dsp:nvSpPr>
      <dsp:spPr>
        <a:xfrm>
          <a:off x="0" y="311064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6442CE97-F4DE-4F82-B9B4-395352498815}">
      <dsp:nvSpPr>
        <dsp:cNvPr id="0" name=""/>
        <dsp:cNvSpPr/>
      </dsp:nvSpPr>
      <dsp:spPr>
        <a:xfrm>
          <a:off x="156686" y="2977807"/>
          <a:ext cx="2193608" cy="265680"/>
        </a:xfrm>
        <a:prstGeom prst="roundRect">
          <a:avLst/>
        </a:prstGeom>
        <a:gradFill flip="none" rotWithShape="0">
          <a:gsLst>
            <a:gs pos="0">
              <a:schemeClr val="accent2">
                <a:lumMod val="75000"/>
                <a:shade val="30000"/>
                <a:satMod val="115000"/>
              </a:schemeClr>
            </a:gs>
            <a:gs pos="50000">
              <a:schemeClr val="accent2">
                <a:lumMod val="75000"/>
                <a:shade val="67500"/>
                <a:satMod val="115000"/>
              </a:schemeClr>
            </a:gs>
            <a:gs pos="100000">
              <a:schemeClr val="accent2">
                <a:lumMod val="75000"/>
                <a:shade val="100000"/>
                <a:satMod val="115000"/>
              </a:scheme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Humidity Impact :-34% Demand</a:t>
          </a:r>
        </a:p>
      </dsp:txBody>
      <dsp:txXfrm>
        <a:off x="169655" y="2990776"/>
        <a:ext cx="2167670" cy="239742"/>
      </dsp:txXfrm>
    </dsp:sp>
  </dsp:spTree>
</dsp:drawing>
</file>

<file path=xl/diagrams/layout1.xml><?xml version="1.0" encoding="utf-8"?>
<dgm:layoutDef xmlns:dgm="http://schemas.openxmlformats.org/drawingml/2006/diagram" xmlns:a="http://schemas.openxmlformats.org/drawingml/2006/main" uniqueId="urn:microsoft.com/office/officeart/2005/8/layout/list1">
  <dgm:title val=""/>
  <dgm:desc val=""/>
  <dgm:catLst>
    <dgm:cat type="list" pri="4000"/>
  </dgm:catLst>
  <dgm:sampData>
    <dgm:dataModel>
      <dgm:ptLst>
        <dgm:pt modelId="0" type="doc"/>
        <dgm:pt modelId="1">
          <dgm:prSet phldr="1"/>
        </dgm:pt>
        <dgm:pt modelId="2">
          <dgm:prSet phldr="1"/>
        </dgm:pt>
        <dgm:pt modelId="3">
          <dgm:prSet phldr="1"/>
        </dgm:pt>
      </dgm:ptLst>
      <dgm:cxnLst>
        <dgm:cxn modelId="4" srcId="0" destId="1" srcOrd="0" destOrd="0"/>
        <dgm:cxn modelId="5" srcId="0" destId="2" srcOrd="1" destOrd="0"/>
        <dgm:cxn modelId="6" srcId="0" destId="3" srcOrd="2" destOrd="0"/>
      </dgm:cxnLst>
      <dgm:bg/>
      <dgm:whole/>
    </dgm:dataModel>
  </dgm:sampData>
  <dgm:styleData>
    <dgm:dataModel>
      <dgm:ptLst>
        <dgm:pt modelId="0" type="doc"/>
        <dgm:pt modelId="1"/>
        <dgm:pt modelId="2"/>
      </dgm:ptLst>
      <dgm:cxnLst>
        <dgm:cxn modelId="4" srcId="0" destId="1" srcOrd="0" destOrd="0"/>
        <dgm:cxn modelId="5"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linear">
    <dgm:varLst>
      <dgm:dir/>
      <dgm:animLvl val="lvl"/>
      <dgm:resizeHandles val="exact"/>
    </dgm:varLst>
    <dgm:choose name="Name0">
      <dgm:if name="Name1" func="var" arg="dir" op="equ" val="norm">
        <dgm:alg type="lin">
          <dgm:param type="linDir" val="fromT"/>
          <dgm:param type="vertAlign" val="mid"/>
          <dgm:param type="horzAlign" val="l"/>
          <dgm:param type="nodeHorzAlign" val="l"/>
        </dgm:alg>
      </dgm:if>
      <dgm:else name="Name2">
        <dgm:alg type="lin">
          <dgm:param type="linDir" val="fromT"/>
          <dgm:param type="vertAlign" val="mid"/>
          <dgm:param type="horzAlign" val="r"/>
          <dgm:param type="nodeHorzAlign" val="r"/>
        </dgm:alg>
      </dgm:else>
    </dgm:choose>
    <dgm:shape xmlns:r="http://schemas.openxmlformats.org/officeDocument/2006/relationships" r:blip="">
      <dgm:adjLst/>
    </dgm:shape>
    <dgm:presOf/>
    <dgm:constrLst>
      <dgm:constr type="w" for="ch" forName="parentLin" refType="w"/>
      <dgm:constr type="h" for="ch" forName="parentLin" val="INF"/>
      <dgm:constr type="w" for="des" forName="parentLeftMargin" refType="w" fact="0.05"/>
      <dgm:constr type="w" for="des" forName="parentText" refType="w" fact="0.7"/>
      <dgm:constr type="h" for="des" forName="parentText" refType="primFontSz" refFor="des" refForName="parentText" fact="0.82"/>
      <dgm:constr type="h" for="ch" forName="negativeSpace" refType="primFontSz" refFor="des" refForName="parentText" fact="-0.41"/>
      <dgm:constr type="h" for="ch" forName="negativeSpace" refType="h" refFor="des" refForName="parentText" op="lte" fact="-0.82"/>
      <dgm:constr type="h" for="ch" forName="negativeSpace" refType="h" refFor="des" refForName="parentText" op="gte" fact="-0.82"/>
      <dgm:constr type="w" for="ch" forName="childText" refType="w"/>
      <dgm:constr type="h" for="ch" forName="childText" refType="primFontSz" refFor="des" refForName="parentText" fact="0.7"/>
      <dgm:constr type="primFontSz" for="des" forName="parentText" val="65"/>
      <dgm:constr type="primFontSz" for="ch" forName="childText" refType="primFontSz" refFor="des" refForName="parentText"/>
      <dgm:constr type="tMarg" for="ch" forName="childText" refType="primFontSz" refFor="des" refForName="parentText" fact="1.64"/>
      <dgm:constr type="tMarg" for="ch" forName="childText" refType="h" refFor="des" refForName="parentText" op="lte" fact="3.28"/>
      <dgm:constr type="tMarg" for="ch" forName="childText" refType="h" refFor="des" refForName="parentText" op="gte" fact="3.28"/>
      <dgm:constr type="lMarg" for="ch" forName="childText" refType="w" fact="0.22"/>
      <dgm:constr type="rMarg" for="ch" forName="childText" refType="lMarg" refFor="ch" refForName="childText"/>
      <dgm:constr type="lMarg" for="des" forName="parentText" refType="w" fact="0.075"/>
      <dgm:constr type="rMarg" for="des" forName="parentText" refType="lMarg" refFor="des" refForName="parentText"/>
      <dgm:constr type="h" for="ch" forName="spaceBetweenRectangles" refType="primFontSz" refFor="des" refForName="parentText" fact="0.15"/>
    </dgm:constrLst>
    <dgm:ruleLst>
      <dgm:rule type="primFontSz" for="des" forName="parentText" val="5" fact="NaN" max="NaN"/>
    </dgm:ruleLst>
    <dgm:forEach name="Name3" axis="ch" ptType="node">
      <dgm:layoutNode name="parentLin">
        <dgm:choose name="Name4">
          <dgm:if name="Name5" func="var" arg="dir" op="equ" val="norm">
            <dgm:alg type="lin">
              <dgm:param type="linDir" val="fromL"/>
              <dgm:param type="horzAlign" val="l"/>
              <dgm:param type="nodeHorzAlign" val="l"/>
            </dgm:alg>
          </dgm:if>
          <dgm:else name="Name6">
            <dgm:alg type="lin">
              <dgm:param type="linDir" val="fromR"/>
              <dgm:param type="horzAlign" val="r"/>
              <dgm:param type="nodeHorzAlign" val="r"/>
            </dgm:alg>
          </dgm:else>
        </dgm:choose>
        <dgm:shape xmlns:r="http://schemas.openxmlformats.org/officeDocument/2006/relationships" r:blip="">
          <dgm:adjLst/>
        </dgm:shape>
        <dgm:presOf/>
        <dgm:constrLst/>
        <dgm:ruleLst/>
        <dgm:layoutNode name="parentLeftMargin">
          <dgm:alg type="sp"/>
          <dgm:shape xmlns:r="http://schemas.openxmlformats.org/officeDocument/2006/relationships" type="rect" r:blip="" hideGeom="1">
            <dgm:adjLst/>
          </dgm:shape>
          <dgm:presOf axis="self"/>
          <dgm:constrLst>
            <dgm:constr type="h"/>
          </dgm:constrLst>
          <dgm:ruleLst/>
        </dgm:layoutNode>
        <dgm:layoutNode name="parentText" styleLbl="node1">
          <dgm:varLst>
            <dgm:chMax val="0"/>
            <dgm:bulletEnabled val="1"/>
          </dgm:varLst>
          <dgm:choose name="Name7">
            <dgm:if name="Name8" func="var" arg="dir" op="equ" val="norm">
              <dgm:alg type="tx">
                <dgm:param type="parTxLTRAlign" val="l"/>
                <dgm:param type="parTxRTLAlign" val="l"/>
              </dgm:alg>
            </dgm:if>
            <dgm:else name="Name9">
              <dgm:alg type="tx">
                <dgm:param type="parTxLTRAlign" val="r"/>
                <dgm:param type="parTxRTLAlign" val="r"/>
              </dgm:alg>
            </dgm:else>
          </dgm:choose>
          <dgm:shape xmlns:r="http://schemas.openxmlformats.org/officeDocument/2006/relationships" type="roundRect" r:blip="">
            <dgm:adjLst/>
          </dgm:shape>
          <dgm:presOf axis="self" ptType="node"/>
          <dgm:constrLst>
            <dgm:constr type="tMarg"/>
            <dgm:constr type="bMarg"/>
          </dgm:constrLst>
          <dgm:ruleLst/>
        </dgm:layoutNode>
      </dgm:layoutNode>
      <dgm:layoutNode name="negativeSpace">
        <dgm:alg type="sp"/>
        <dgm:shape xmlns:r="http://schemas.openxmlformats.org/officeDocument/2006/relationships" r:blip="">
          <dgm:adjLst/>
        </dgm:shape>
        <dgm:presOf/>
        <dgm:constrLst/>
        <dgm:ruleLst/>
      </dgm:layoutNode>
      <dgm:layoutNode name="childText" styleLbl="conFgAcc1">
        <dgm:varLst>
          <dgm:bulletEnabled val="1"/>
        </dgm:varLst>
        <dgm:alg type="tx">
          <dgm:param type="stBulletLvl" val="1"/>
        </dgm:alg>
        <dgm:shape xmlns:r="http://schemas.openxmlformats.org/officeDocument/2006/relationships" type="rect" r:blip="" zOrderOff="-2">
          <dgm:adjLst/>
        </dgm:shape>
        <dgm:presOf axis="des" ptType="node"/>
        <dgm:constrLst>
          <dgm:constr type="secFontSz" refType="primFontSz"/>
        </dgm:constrLst>
        <dgm:ruleLst>
          <dgm:rule type="h" val="INF" fact="NaN" max="NaN"/>
        </dgm:ruleLst>
      </dgm:layoutNode>
      <dgm:forEach name="Name10" axis="followSib" ptType="sibTrans" cnt="1">
        <dgm:layoutNode name="spaceBetweenRectangles">
          <dgm:alg type="sp"/>
          <dgm:shape xmlns:r="http://schemas.openxmlformats.org/officeDocument/2006/relationships" r:blip="">
            <dgm:adjLst/>
          </dgm:shape>
          <dgm:presOf/>
          <dgm:constrLst/>
          <dgm:ruleLst/>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385762</xdr:colOff>
      <xdr:row>13</xdr:row>
      <xdr:rowOff>133350</xdr:rowOff>
    </xdr:from>
    <xdr:to>
      <xdr:col>5</xdr:col>
      <xdr:colOff>319087</xdr:colOff>
      <xdr:row>28</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400050</xdr:colOff>
      <xdr:row>12</xdr:row>
      <xdr:rowOff>133350</xdr:rowOff>
    </xdr:from>
    <xdr:to>
      <xdr:col>8</xdr:col>
      <xdr:colOff>257175</xdr:colOff>
      <xdr:row>25</xdr:row>
      <xdr:rowOff>180975</xdr:rowOff>
    </xdr:to>
    <mc:AlternateContent xmlns:mc="http://schemas.openxmlformats.org/markup-compatibility/2006" xmlns:a14="http://schemas.microsoft.com/office/drawing/2010/main">
      <mc:Choice Requires="a14">
        <xdr:graphicFrame macro="">
          <xdr:nvGraphicFramePr>
            <xdr:cNvPr id="3" name="Holiday/workingday 1"/>
            <xdr:cNvGraphicFramePr/>
          </xdr:nvGraphicFramePr>
          <xdr:xfrm>
            <a:off x="0" y="0"/>
            <a:ext cx="0" cy="0"/>
          </xdr:xfrm>
          <a:graphic>
            <a:graphicData uri="http://schemas.microsoft.com/office/drawing/2010/slicer">
              <sle:slicer xmlns:sle="http://schemas.microsoft.com/office/drawing/2010/slicer" name="Holiday/workingday 1"/>
            </a:graphicData>
          </a:graphic>
        </xdr:graphicFrame>
      </mc:Choice>
      <mc:Fallback xmlns="">
        <xdr:sp macro="" textlink="">
          <xdr:nvSpPr>
            <xdr:cNvPr id="0" name=""/>
            <xdr:cNvSpPr>
              <a:spLocks noTextEdit="1"/>
            </xdr:cNvSpPr>
          </xdr:nvSpPr>
          <xdr:spPr>
            <a:xfrm>
              <a:off x="5038725" y="2419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361950</xdr:colOff>
      <xdr:row>0</xdr:row>
      <xdr:rowOff>171450</xdr:rowOff>
    </xdr:from>
    <xdr:to>
      <xdr:col>11</xdr:col>
      <xdr:colOff>361950</xdr:colOff>
      <xdr:row>14</xdr:row>
      <xdr:rowOff>28575</xdr:rowOff>
    </xdr:to>
    <mc:AlternateContent xmlns:mc="http://schemas.openxmlformats.org/markup-compatibility/2006" xmlns:a14="http://schemas.microsoft.com/office/drawing/2010/main">
      <mc:Choice Requires="a14">
        <xdr:graphicFrame macro="">
          <xdr:nvGraphicFramePr>
            <xdr:cNvPr id="4" name="week name 2"/>
            <xdr:cNvGraphicFramePr/>
          </xdr:nvGraphicFramePr>
          <xdr:xfrm>
            <a:off x="0" y="0"/>
            <a:ext cx="0" cy="0"/>
          </xdr:xfrm>
          <a:graphic>
            <a:graphicData uri="http://schemas.microsoft.com/office/drawing/2010/slicer">
              <sle:slicer xmlns:sle="http://schemas.microsoft.com/office/drawing/2010/slicer" name="week name 2"/>
            </a:graphicData>
          </a:graphic>
        </xdr:graphicFrame>
      </mc:Choice>
      <mc:Fallback xmlns="">
        <xdr:sp macro="" textlink="">
          <xdr:nvSpPr>
            <xdr:cNvPr id="0" name=""/>
            <xdr:cNvSpPr>
              <a:spLocks noTextEdit="1"/>
            </xdr:cNvSpPr>
          </xdr:nvSpPr>
          <xdr:spPr>
            <a:xfrm>
              <a:off x="6972300" y="171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314325</xdr:colOff>
      <xdr:row>12</xdr:row>
      <xdr:rowOff>0</xdr:rowOff>
    </xdr:from>
    <xdr:to>
      <xdr:col>11</xdr:col>
      <xdr:colOff>314325</xdr:colOff>
      <xdr:row>25</xdr:row>
      <xdr:rowOff>47625</xdr:rowOff>
    </xdr:to>
    <mc:AlternateContent xmlns:mc="http://schemas.openxmlformats.org/markup-compatibility/2006" xmlns:a14="http://schemas.microsoft.com/office/drawing/2010/main">
      <mc:Choice Requires="a14">
        <xdr:graphicFrame macro="">
          <xdr:nvGraphicFramePr>
            <xdr:cNvPr id="5" name="weather condition 1"/>
            <xdr:cNvGraphicFramePr/>
          </xdr:nvGraphicFramePr>
          <xdr:xfrm>
            <a:off x="0" y="0"/>
            <a:ext cx="0" cy="0"/>
          </xdr:xfrm>
          <a:graphic>
            <a:graphicData uri="http://schemas.microsoft.com/office/drawing/2010/slicer">
              <sle:slicer xmlns:sle="http://schemas.microsoft.com/office/drawing/2010/slicer" name="weather condition 1"/>
            </a:graphicData>
          </a:graphic>
        </xdr:graphicFrame>
      </mc:Choice>
      <mc:Fallback xmlns="">
        <xdr:sp macro="" textlink="">
          <xdr:nvSpPr>
            <xdr:cNvPr id="0" name=""/>
            <xdr:cNvSpPr>
              <a:spLocks noTextEdit="1"/>
            </xdr:cNvSpPr>
          </xdr:nvSpPr>
          <xdr:spPr>
            <a:xfrm>
              <a:off x="6924675" y="2286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123825</xdr:colOff>
      <xdr:row>1</xdr:row>
      <xdr:rowOff>47626</xdr:rowOff>
    </xdr:from>
    <xdr:to>
      <xdr:col>31</xdr:col>
      <xdr:colOff>171450</xdr:colOff>
      <xdr:row>14</xdr:row>
      <xdr:rowOff>142876</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9525</xdr:colOff>
      <xdr:row>15</xdr:row>
      <xdr:rowOff>114300</xdr:rowOff>
    </xdr:from>
    <xdr:to>
      <xdr:col>30</xdr:col>
      <xdr:colOff>38100</xdr:colOff>
      <xdr:row>28</xdr:row>
      <xdr:rowOff>161925</xdr:rowOff>
    </xdr:to>
    <mc:AlternateContent xmlns:mc="http://schemas.openxmlformats.org/markup-compatibility/2006" xmlns:a14="http://schemas.microsoft.com/office/drawing/2010/main">
      <mc:Choice Requires="a14">
        <xdr:graphicFrame macro="">
          <xdr:nvGraphicFramePr>
            <xdr:cNvPr id="6" name="week name 1"/>
            <xdr:cNvGraphicFramePr/>
          </xdr:nvGraphicFramePr>
          <xdr:xfrm>
            <a:off x="0" y="0"/>
            <a:ext cx="0" cy="0"/>
          </xdr:xfrm>
          <a:graphic>
            <a:graphicData uri="http://schemas.microsoft.com/office/drawing/2010/slicer">
              <sle:slicer xmlns:sle="http://schemas.microsoft.com/office/drawing/2010/slicer" name="week name 1"/>
            </a:graphicData>
          </a:graphic>
        </xdr:graphicFrame>
      </mc:Choice>
      <mc:Fallback xmlns="">
        <xdr:sp macro="" textlink="">
          <xdr:nvSpPr>
            <xdr:cNvPr id="0" name=""/>
            <xdr:cNvSpPr>
              <a:spLocks noTextEdit="1"/>
            </xdr:cNvSpPr>
          </xdr:nvSpPr>
          <xdr:spPr>
            <a:xfrm>
              <a:off x="7734300" y="29718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47625</xdr:colOff>
      <xdr:row>15</xdr:row>
      <xdr:rowOff>114300</xdr:rowOff>
    </xdr:from>
    <xdr:to>
      <xdr:col>20</xdr:col>
      <xdr:colOff>76200</xdr:colOff>
      <xdr:row>28</xdr:row>
      <xdr:rowOff>161925</xdr:rowOff>
    </xdr:to>
    <mc:AlternateContent xmlns:mc="http://schemas.openxmlformats.org/markup-compatibility/2006" xmlns:a14="http://schemas.microsoft.com/office/drawing/2010/main">
      <mc:Choice Requires="a14">
        <xdr:graphicFrame macro="">
          <xdr:nvGraphicFramePr>
            <xdr:cNvPr id="9" name="hr 1"/>
            <xdr:cNvGraphicFramePr/>
          </xdr:nvGraphicFramePr>
          <xdr:xfrm>
            <a:off x="0" y="0"/>
            <a:ext cx="0" cy="0"/>
          </xdr:xfrm>
          <a:graphic>
            <a:graphicData uri="http://schemas.microsoft.com/office/drawing/2010/slicer">
              <sle:slicer xmlns:sle="http://schemas.microsoft.com/office/drawing/2010/slicer" name="hr 1"/>
            </a:graphicData>
          </a:graphic>
        </xdr:graphicFrame>
      </mc:Choice>
      <mc:Fallback xmlns="">
        <xdr:sp macro="" textlink="">
          <xdr:nvSpPr>
            <xdr:cNvPr id="0" name=""/>
            <xdr:cNvSpPr>
              <a:spLocks noTextEdit="1"/>
            </xdr:cNvSpPr>
          </xdr:nvSpPr>
          <xdr:spPr>
            <a:xfrm>
              <a:off x="5772150" y="29718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595312</xdr:colOff>
      <xdr:row>1</xdr:row>
      <xdr:rowOff>180975</xdr:rowOff>
    </xdr:from>
    <xdr:to>
      <xdr:col>9</xdr:col>
      <xdr:colOff>0</xdr:colOff>
      <xdr:row>15</xdr:row>
      <xdr:rowOff>180975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114300</xdr:colOff>
      <xdr:row>2</xdr:row>
      <xdr:rowOff>47626</xdr:rowOff>
    </xdr:from>
    <xdr:to>
      <xdr:col>12</xdr:col>
      <xdr:colOff>114300</xdr:colOff>
      <xdr:row>7</xdr:row>
      <xdr:rowOff>85726</xdr:rowOff>
    </xdr:to>
    <mc:AlternateContent xmlns:mc="http://schemas.openxmlformats.org/markup-compatibility/2006" xmlns:a14="http://schemas.microsoft.com/office/drawing/2010/main">
      <mc:Choice Requires="a14">
        <xdr:graphicFrame macro="">
          <xdr:nvGraphicFramePr>
            <xdr:cNvPr id="3" name="Holiday/workingday"/>
            <xdr:cNvGraphicFramePr/>
          </xdr:nvGraphicFramePr>
          <xdr:xfrm>
            <a:off x="0" y="0"/>
            <a:ext cx="0" cy="0"/>
          </xdr:xfrm>
          <a:graphic>
            <a:graphicData uri="http://schemas.microsoft.com/office/drawing/2010/slicer">
              <sle:slicer xmlns:sle="http://schemas.microsoft.com/office/drawing/2010/slicer" name="Holiday/workingday"/>
            </a:graphicData>
          </a:graphic>
        </xdr:graphicFrame>
      </mc:Choice>
      <mc:Fallback xmlns="">
        <xdr:sp macro="" textlink="">
          <xdr:nvSpPr>
            <xdr:cNvPr id="0" name=""/>
            <xdr:cNvSpPr>
              <a:spLocks noTextEdit="1"/>
            </xdr:cNvSpPr>
          </xdr:nvSpPr>
          <xdr:spPr>
            <a:xfrm>
              <a:off x="5905500" y="428626"/>
              <a:ext cx="1828800"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447675</xdr:colOff>
      <xdr:row>2</xdr:row>
      <xdr:rowOff>9525</xdr:rowOff>
    </xdr:from>
    <xdr:to>
      <xdr:col>10</xdr:col>
      <xdr:colOff>142875</xdr:colOff>
      <xdr:row>16</xdr:row>
      <xdr:rowOff>85725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1</xdr:row>
      <xdr:rowOff>95250</xdr:rowOff>
    </xdr:from>
    <xdr:to>
      <xdr:col>16</xdr:col>
      <xdr:colOff>228600</xdr:colOff>
      <xdr:row>14</xdr:row>
      <xdr:rowOff>142875</xdr:rowOff>
    </xdr:to>
    <mc:AlternateContent xmlns:mc="http://schemas.openxmlformats.org/markup-compatibility/2006" xmlns:a14="http://schemas.microsoft.com/office/drawing/2010/main">
      <mc:Choice Requires="a14">
        <xdr:graphicFrame macro="">
          <xdr:nvGraphicFramePr>
            <xdr:cNvPr id="3" name="dteday 2"/>
            <xdr:cNvGraphicFramePr/>
          </xdr:nvGraphicFramePr>
          <xdr:xfrm>
            <a:off x="0" y="0"/>
            <a:ext cx="0" cy="0"/>
          </xdr:xfrm>
          <a:graphic>
            <a:graphicData uri="http://schemas.microsoft.com/office/drawing/2010/slicer">
              <sle:slicer xmlns:sle="http://schemas.microsoft.com/office/drawing/2010/slicer" name="dteday 2"/>
            </a:graphicData>
          </a:graphic>
        </xdr:graphicFrame>
      </mc:Choice>
      <mc:Fallback xmlns="">
        <xdr:sp macro="" textlink="">
          <xdr:nvSpPr>
            <xdr:cNvPr id="0" name=""/>
            <xdr:cNvSpPr>
              <a:spLocks noTextEdit="1"/>
            </xdr:cNvSpPr>
          </xdr:nvSpPr>
          <xdr:spPr>
            <a:xfrm>
              <a:off x="8896350" y="285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266700</xdr:colOff>
      <xdr:row>1</xdr:row>
      <xdr:rowOff>76200</xdr:rowOff>
    </xdr:from>
    <xdr:to>
      <xdr:col>13</xdr:col>
      <xdr:colOff>266700</xdr:colOff>
      <xdr:row>14</xdr:row>
      <xdr:rowOff>123825</xdr:rowOff>
    </xdr:to>
    <mc:AlternateContent xmlns:mc="http://schemas.openxmlformats.org/markup-compatibility/2006" xmlns:a14="http://schemas.microsoft.com/office/drawing/2010/main">
      <mc:Choice Requires="a14">
        <xdr:graphicFrame macro="">
          <xdr:nvGraphicFramePr>
            <xdr:cNvPr id="4" name="hr"/>
            <xdr:cNvGraphicFramePr/>
          </xdr:nvGraphicFramePr>
          <xdr:xfrm>
            <a:off x="0" y="0"/>
            <a:ext cx="0" cy="0"/>
          </xdr:xfrm>
          <a:graphic>
            <a:graphicData uri="http://schemas.microsoft.com/office/drawing/2010/slicer">
              <sle:slicer xmlns:sle="http://schemas.microsoft.com/office/drawing/2010/slicer" name="hr"/>
            </a:graphicData>
          </a:graphic>
        </xdr:graphicFrame>
      </mc:Choice>
      <mc:Fallback xmlns="">
        <xdr:sp macro="" textlink="">
          <xdr:nvSpPr>
            <xdr:cNvPr id="0" name=""/>
            <xdr:cNvSpPr>
              <a:spLocks noTextEdit="1"/>
            </xdr:cNvSpPr>
          </xdr:nvSpPr>
          <xdr:spPr>
            <a:xfrm>
              <a:off x="7105650" y="266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209550</xdr:colOff>
      <xdr:row>1</xdr:row>
      <xdr:rowOff>95250</xdr:rowOff>
    </xdr:from>
    <xdr:to>
      <xdr:col>19</xdr:col>
      <xdr:colOff>209550</xdr:colOff>
      <xdr:row>14</xdr:row>
      <xdr:rowOff>142875</xdr:rowOff>
    </xdr:to>
    <mc:AlternateContent xmlns:mc="http://schemas.openxmlformats.org/markup-compatibility/2006" xmlns:a14="http://schemas.microsoft.com/office/drawing/2010/main">
      <mc:Choice Requires="a14">
        <xdr:graphicFrame macro="">
          <xdr:nvGraphicFramePr>
            <xdr:cNvPr id="5" name="week name"/>
            <xdr:cNvGraphicFramePr/>
          </xdr:nvGraphicFramePr>
          <xdr:xfrm>
            <a:off x="0" y="0"/>
            <a:ext cx="0" cy="0"/>
          </xdr:xfrm>
          <a:graphic>
            <a:graphicData uri="http://schemas.microsoft.com/office/drawing/2010/slicer">
              <sle:slicer xmlns:sle="http://schemas.microsoft.com/office/drawing/2010/slicer" name="week name"/>
            </a:graphicData>
          </a:graphic>
        </xdr:graphicFrame>
      </mc:Choice>
      <mc:Fallback xmlns="">
        <xdr:sp macro="" textlink="">
          <xdr:nvSpPr>
            <xdr:cNvPr id="0" name=""/>
            <xdr:cNvSpPr>
              <a:spLocks noTextEdit="1"/>
            </xdr:cNvSpPr>
          </xdr:nvSpPr>
          <xdr:spPr>
            <a:xfrm>
              <a:off x="10706100" y="285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157162</xdr:colOff>
      <xdr:row>11</xdr:row>
      <xdr:rowOff>66674</xdr:rowOff>
    </xdr:from>
    <xdr:to>
      <xdr:col>5</xdr:col>
      <xdr:colOff>28575</xdr:colOff>
      <xdr:row>26</xdr:row>
      <xdr:rowOff>38099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171450</xdr:colOff>
      <xdr:row>0</xdr:row>
      <xdr:rowOff>104775</xdr:rowOff>
    </xdr:from>
    <xdr:to>
      <xdr:col>6</xdr:col>
      <xdr:colOff>914400</xdr:colOff>
      <xdr:row>13</xdr:row>
      <xdr:rowOff>152400</xdr:rowOff>
    </xdr:to>
    <mc:AlternateContent xmlns:mc="http://schemas.openxmlformats.org/markup-compatibility/2006" xmlns:a14="http://schemas.microsoft.com/office/drawing/2010/main">
      <mc:Choice Requires="a14">
        <xdr:graphicFrame macro="">
          <xdr:nvGraphicFramePr>
            <xdr:cNvPr id="3" name="week name 3"/>
            <xdr:cNvGraphicFramePr/>
          </xdr:nvGraphicFramePr>
          <xdr:xfrm>
            <a:off x="0" y="0"/>
            <a:ext cx="0" cy="0"/>
          </xdr:xfrm>
          <a:graphic>
            <a:graphicData uri="http://schemas.microsoft.com/office/drawing/2010/slicer">
              <sle:slicer xmlns:sle="http://schemas.microsoft.com/office/drawing/2010/slicer" name="week name 3"/>
            </a:graphicData>
          </a:graphic>
        </xdr:graphicFrame>
      </mc:Choice>
      <mc:Fallback xmlns="">
        <xdr:sp macro="" textlink="">
          <xdr:nvSpPr>
            <xdr:cNvPr id="0" name=""/>
            <xdr:cNvSpPr>
              <a:spLocks noTextEdit="1"/>
            </xdr:cNvSpPr>
          </xdr:nvSpPr>
          <xdr:spPr>
            <a:xfrm>
              <a:off x="5400675" y="1047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1028700</xdr:colOff>
      <xdr:row>0</xdr:row>
      <xdr:rowOff>123825</xdr:rowOff>
    </xdr:from>
    <xdr:to>
      <xdr:col>8</xdr:col>
      <xdr:colOff>685800</xdr:colOff>
      <xdr:row>13</xdr:row>
      <xdr:rowOff>171450</xdr:rowOff>
    </xdr:to>
    <mc:AlternateContent xmlns:mc="http://schemas.openxmlformats.org/markup-compatibility/2006" xmlns:a14="http://schemas.microsoft.com/office/drawing/2010/main">
      <mc:Choice Requires="a14">
        <xdr:graphicFrame macro="">
          <xdr:nvGraphicFramePr>
            <xdr:cNvPr id="4" name="temp"/>
            <xdr:cNvGraphicFramePr/>
          </xdr:nvGraphicFramePr>
          <xdr:xfrm>
            <a:off x="0" y="0"/>
            <a:ext cx="0" cy="0"/>
          </xdr:xfrm>
          <a:graphic>
            <a:graphicData uri="http://schemas.microsoft.com/office/drawing/2010/slicer">
              <sle:slicer xmlns:sle="http://schemas.microsoft.com/office/drawing/2010/slicer" name="temp"/>
            </a:graphicData>
          </a:graphic>
        </xdr:graphicFrame>
      </mc:Choice>
      <mc:Fallback xmlns="">
        <xdr:sp macro="" textlink="">
          <xdr:nvSpPr>
            <xdr:cNvPr id="0" name=""/>
            <xdr:cNvSpPr>
              <a:spLocks noTextEdit="1"/>
            </xdr:cNvSpPr>
          </xdr:nvSpPr>
          <xdr:spPr>
            <a:xfrm>
              <a:off x="7343775" y="1238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819150</xdr:colOff>
      <xdr:row>0</xdr:row>
      <xdr:rowOff>66675</xdr:rowOff>
    </xdr:from>
    <xdr:to>
      <xdr:col>10</xdr:col>
      <xdr:colOff>476250</xdr:colOff>
      <xdr:row>13</xdr:row>
      <xdr:rowOff>114300</xdr:rowOff>
    </xdr:to>
    <mc:AlternateContent xmlns:mc="http://schemas.openxmlformats.org/markup-compatibility/2006" xmlns:a14="http://schemas.microsoft.com/office/drawing/2010/main">
      <mc:Choice Requires="a14">
        <xdr:graphicFrame macro="">
          <xdr:nvGraphicFramePr>
            <xdr:cNvPr id="5" name="atemp"/>
            <xdr:cNvGraphicFramePr/>
          </xdr:nvGraphicFramePr>
          <xdr:xfrm>
            <a:off x="0" y="0"/>
            <a:ext cx="0" cy="0"/>
          </xdr:xfrm>
          <a:graphic>
            <a:graphicData uri="http://schemas.microsoft.com/office/drawing/2010/slicer">
              <sle:slicer xmlns:sle="http://schemas.microsoft.com/office/drawing/2010/slicer" name="atemp"/>
            </a:graphicData>
          </a:graphic>
        </xdr:graphicFrame>
      </mc:Choice>
      <mc:Fallback xmlns="">
        <xdr:sp macro="" textlink="">
          <xdr:nvSpPr>
            <xdr:cNvPr id="0" name=""/>
            <xdr:cNvSpPr>
              <a:spLocks noTextEdit="1"/>
            </xdr:cNvSpPr>
          </xdr:nvSpPr>
          <xdr:spPr>
            <a:xfrm>
              <a:off x="9305925" y="66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395287</xdr:colOff>
      <xdr:row>1</xdr:row>
      <xdr:rowOff>180975</xdr:rowOff>
    </xdr:from>
    <xdr:to>
      <xdr:col>8</xdr:col>
      <xdr:colOff>309562</xdr:colOff>
      <xdr:row>16</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304800</xdr:colOff>
      <xdr:row>1</xdr:row>
      <xdr:rowOff>171450</xdr:rowOff>
    </xdr:from>
    <xdr:to>
      <xdr:col>14</xdr:col>
      <xdr:colOff>266700</xdr:colOff>
      <xdr:row>15</xdr:row>
      <xdr:rowOff>28575</xdr:rowOff>
    </xdr:to>
    <mc:AlternateContent xmlns:mc="http://schemas.openxmlformats.org/markup-compatibility/2006" xmlns:a14="http://schemas.microsoft.com/office/drawing/2010/main">
      <mc:Choice Requires="a14">
        <xdr:graphicFrame macro="">
          <xdr:nvGraphicFramePr>
            <xdr:cNvPr id="2" name="Holiday/workingday 2"/>
            <xdr:cNvGraphicFramePr/>
          </xdr:nvGraphicFramePr>
          <xdr:xfrm>
            <a:off x="0" y="0"/>
            <a:ext cx="0" cy="0"/>
          </xdr:xfrm>
          <a:graphic>
            <a:graphicData uri="http://schemas.microsoft.com/office/drawing/2010/slicer">
              <sle:slicer xmlns:sle="http://schemas.microsoft.com/office/drawing/2010/slicer" name="Holiday/workingday 2"/>
            </a:graphicData>
          </a:graphic>
        </xdr:graphicFrame>
      </mc:Choice>
      <mc:Fallback xmlns="">
        <xdr:sp macro="" textlink="">
          <xdr:nvSpPr>
            <xdr:cNvPr id="0" name=""/>
            <xdr:cNvSpPr>
              <a:spLocks noTextEdit="1"/>
            </xdr:cNvSpPr>
          </xdr:nvSpPr>
          <xdr:spPr>
            <a:xfrm>
              <a:off x="9163050" y="361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666750</xdr:colOff>
      <xdr:row>2</xdr:row>
      <xdr:rowOff>38100</xdr:rowOff>
    </xdr:from>
    <xdr:to>
      <xdr:col>11</xdr:col>
      <xdr:colOff>95250</xdr:colOff>
      <xdr:row>15</xdr:row>
      <xdr:rowOff>85725</xdr:rowOff>
    </xdr:to>
    <mc:AlternateContent xmlns:mc="http://schemas.openxmlformats.org/markup-compatibility/2006" xmlns:a14="http://schemas.microsoft.com/office/drawing/2010/main">
      <mc:Choice Requires="a14">
        <xdr:graphicFrame macro="">
          <xdr:nvGraphicFramePr>
            <xdr:cNvPr id="4" name="temp 1"/>
            <xdr:cNvGraphicFramePr/>
          </xdr:nvGraphicFramePr>
          <xdr:xfrm>
            <a:off x="0" y="0"/>
            <a:ext cx="0" cy="0"/>
          </xdr:xfrm>
          <a:graphic>
            <a:graphicData uri="http://schemas.microsoft.com/office/drawing/2010/slicer">
              <sle:slicer xmlns:sle="http://schemas.microsoft.com/office/drawing/2010/slicer" name="temp 1"/>
            </a:graphicData>
          </a:graphic>
        </xdr:graphicFrame>
      </mc:Choice>
      <mc:Fallback xmlns="">
        <xdr:sp macro="" textlink="">
          <xdr:nvSpPr>
            <xdr:cNvPr id="0" name=""/>
            <xdr:cNvSpPr>
              <a:spLocks noTextEdit="1"/>
            </xdr:cNvSpPr>
          </xdr:nvSpPr>
          <xdr:spPr>
            <a:xfrm>
              <a:off x="7124700" y="4191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7</xdr:col>
      <xdr:colOff>290512</xdr:colOff>
      <xdr:row>6</xdr:row>
      <xdr:rowOff>47624</xdr:rowOff>
    </xdr:from>
    <xdr:to>
      <xdr:col>15</xdr:col>
      <xdr:colOff>119062</xdr:colOff>
      <xdr:row>21</xdr:row>
      <xdr:rowOff>190499</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323850</xdr:colOff>
      <xdr:row>6</xdr:row>
      <xdr:rowOff>9525</xdr:rowOff>
    </xdr:from>
    <xdr:to>
      <xdr:col>4</xdr:col>
      <xdr:colOff>657225</xdr:colOff>
      <xdr:row>18</xdr:row>
      <xdr:rowOff>57150</xdr:rowOff>
    </xdr:to>
    <mc:AlternateContent xmlns:mc="http://schemas.openxmlformats.org/markup-compatibility/2006" xmlns:a14="http://schemas.microsoft.com/office/drawing/2010/main">
      <mc:Choice Requires="a14">
        <xdr:graphicFrame macro="">
          <xdr:nvGraphicFramePr>
            <xdr:cNvPr id="5" name="weekday"/>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mlns="">
        <xdr:sp macro="" textlink="">
          <xdr:nvSpPr>
            <xdr:cNvPr id="0" name=""/>
            <xdr:cNvSpPr>
              <a:spLocks noTextEdit="1"/>
            </xdr:cNvSpPr>
          </xdr:nvSpPr>
          <xdr:spPr>
            <a:xfrm>
              <a:off x="2914650" y="1152525"/>
              <a:ext cx="666750" cy="2333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638175</xdr:colOff>
      <xdr:row>6</xdr:row>
      <xdr:rowOff>38101</xdr:rowOff>
    </xdr:from>
    <xdr:to>
      <xdr:col>6</xdr:col>
      <xdr:colOff>361950</xdr:colOff>
      <xdr:row>17</xdr:row>
      <xdr:rowOff>171451</xdr:rowOff>
    </xdr:to>
    <mc:AlternateContent xmlns:mc="http://schemas.openxmlformats.org/markup-compatibility/2006" xmlns:a14="http://schemas.microsoft.com/office/drawing/2010/main">
      <mc:Choice Requires="a14">
        <xdr:graphicFrame macro="">
          <xdr:nvGraphicFramePr>
            <xdr:cNvPr id="6" name="week name 5"/>
            <xdr:cNvGraphicFramePr/>
          </xdr:nvGraphicFramePr>
          <xdr:xfrm>
            <a:off x="0" y="0"/>
            <a:ext cx="0" cy="0"/>
          </xdr:xfrm>
          <a:graphic>
            <a:graphicData uri="http://schemas.microsoft.com/office/drawing/2010/slicer">
              <sle:slicer xmlns:sle="http://schemas.microsoft.com/office/drawing/2010/slicer" name="week name 5"/>
            </a:graphicData>
          </a:graphic>
        </xdr:graphicFrame>
      </mc:Choice>
      <mc:Fallback xmlns="">
        <xdr:sp macro="" textlink="">
          <xdr:nvSpPr>
            <xdr:cNvPr id="0" name=""/>
            <xdr:cNvSpPr>
              <a:spLocks noTextEdit="1"/>
            </xdr:cNvSpPr>
          </xdr:nvSpPr>
          <xdr:spPr>
            <a:xfrm>
              <a:off x="3562350" y="1181101"/>
              <a:ext cx="733425" cy="2228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361950</xdr:colOff>
      <xdr:row>5</xdr:row>
      <xdr:rowOff>152400</xdr:rowOff>
    </xdr:from>
    <xdr:to>
      <xdr:col>4</xdr:col>
      <xdr:colOff>9525</xdr:colOff>
      <xdr:row>19</xdr:row>
      <xdr:rowOff>9525</xdr:rowOff>
    </xdr:to>
    <mc:AlternateContent xmlns:mc="http://schemas.openxmlformats.org/markup-compatibility/2006" xmlns:a14="http://schemas.microsoft.com/office/drawing/2010/main">
      <mc:Choice Requires="a14">
        <xdr:graphicFrame macro="">
          <xdr:nvGraphicFramePr>
            <xdr:cNvPr id="8" name="hr 3"/>
            <xdr:cNvGraphicFramePr/>
          </xdr:nvGraphicFramePr>
          <xdr:xfrm>
            <a:off x="0" y="0"/>
            <a:ext cx="0" cy="0"/>
          </xdr:xfrm>
          <a:graphic>
            <a:graphicData uri="http://schemas.microsoft.com/office/drawing/2010/slicer">
              <sle:slicer xmlns:sle="http://schemas.microsoft.com/office/drawing/2010/slicer" name="hr 3"/>
            </a:graphicData>
          </a:graphic>
        </xdr:graphicFrame>
      </mc:Choice>
      <mc:Fallback xmlns="">
        <xdr:sp macro="" textlink="">
          <xdr:nvSpPr>
            <xdr:cNvPr id="0" name=""/>
            <xdr:cNvSpPr>
              <a:spLocks noTextEdit="1"/>
            </xdr:cNvSpPr>
          </xdr:nvSpPr>
          <xdr:spPr>
            <a:xfrm>
              <a:off x="2228850" y="1104900"/>
              <a:ext cx="70485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7</xdr:col>
      <xdr:colOff>600074</xdr:colOff>
      <xdr:row>1</xdr:row>
      <xdr:rowOff>19049</xdr:rowOff>
    </xdr:from>
    <xdr:to>
      <xdr:col>13</xdr:col>
      <xdr:colOff>76200</xdr:colOff>
      <xdr:row>9</xdr:row>
      <xdr:rowOff>190499</xdr:rowOff>
    </xdr:to>
    <xdr:graphicFrame macro="">
      <xdr:nvGraphicFramePr>
        <xdr:cNvPr id="4" name="Diagram 3"/>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3</xdr:row>
      <xdr:rowOff>9523</xdr:rowOff>
    </xdr:from>
    <xdr:to>
      <xdr:col>3</xdr:col>
      <xdr:colOff>13607</xdr:colOff>
      <xdr:row>63</xdr:row>
      <xdr:rowOff>40820</xdr:rowOff>
    </xdr:to>
    <xdr:sp macro="" textlink="">
      <xdr:nvSpPr>
        <xdr:cNvPr id="2" name="Rectangle 1"/>
        <xdr:cNvSpPr/>
      </xdr:nvSpPr>
      <xdr:spPr>
        <a:xfrm>
          <a:off x="0" y="581023"/>
          <a:ext cx="1850571" cy="11461297"/>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0</xdr:col>
      <xdr:colOff>95250</xdr:colOff>
      <xdr:row>0</xdr:row>
      <xdr:rowOff>104047</xdr:rowOff>
    </xdr:from>
    <xdr:ext cx="1850571" cy="405432"/>
    <xdr:sp macro="" textlink="">
      <xdr:nvSpPr>
        <xdr:cNvPr id="3" name="Rectangle 2"/>
        <xdr:cNvSpPr/>
      </xdr:nvSpPr>
      <xdr:spPr>
        <a:xfrm>
          <a:off x="95250" y="104047"/>
          <a:ext cx="1850571" cy="405432"/>
        </a:xfrm>
        <a:prstGeom prst="rect">
          <a:avLst/>
        </a:prstGeom>
        <a:noFill/>
      </xdr:spPr>
      <xdr:txBody>
        <a:bodyPr wrap="square" lIns="91440" tIns="45720" rIns="91440" bIns="45720">
          <a:spAutoFit/>
        </a:bodyPr>
        <a:lstStyle/>
        <a:p>
          <a:pPr algn="ctr"/>
          <a:r>
            <a:rPr lang="en-US" sz="2000" b="0" cap="none" spc="0">
              <a:ln w="0"/>
              <a:solidFill>
                <a:schemeClr val="accent1"/>
              </a:solidFill>
              <a:effectLst>
                <a:outerShdw blurRad="38100" dist="19050" dir="2700000" algn="tl" rotWithShape="0">
                  <a:schemeClr val="dk1">
                    <a:alpha val="40000"/>
                  </a:schemeClr>
                </a:outerShdw>
              </a:effectLst>
            </a:rPr>
            <a:t>DASHBOARD</a:t>
          </a:r>
        </a:p>
      </xdr:txBody>
    </xdr:sp>
    <xdr:clientData/>
  </xdr:oneCellAnchor>
  <xdr:oneCellAnchor>
    <xdr:from>
      <xdr:col>8</xdr:col>
      <xdr:colOff>21222</xdr:colOff>
      <xdr:row>0</xdr:row>
      <xdr:rowOff>41452</xdr:rowOff>
    </xdr:from>
    <xdr:ext cx="7122529" cy="433645"/>
    <xdr:sp macro="" textlink="">
      <xdr:nvSpPr>
        <xdr:cNvPr id="4" name="Rectangle 3"/>
        <xdr:cNvSpPr/>
      </xdr:nvSpPr>
      <xdr:spPr>
        <a:xfrm>
          <a:off x="4919793" y="41452"/>
          <a:ext cx="7122529" cy="433645"/>
        </a:xfrm>
        <a:prstGeom prst="rect">
          <a:avLst/>
        </a:prstGeom>
        <a:noFill/>
      </xdr:spPr>
      <xdr:txBody>
        <a:bodyPr wrap="square" lIns="91440" tIns="45720" rIns="91440" bIns="45720">
          <a:spAutoFit/>
          <a:scene3d>
            <a:camera prst="orthographicFront"/>
            <a:lightRig rig="soft" dir="t">
              <a:rot lat="0" lon="0" rev="15600000"/>
            </a:lightRig>
          </a:scene3d>
          <a:sp3d extrusionH="57150" prstMaterial="softEdge">
            <a:bevelT w="25400" h="38100"/>
          </a:sp3d>
        </a:bodyPr>
        <a:lstStyle/>
        <a:p>
          <a:pPr algn="ctr"/>
          <a:r>
            <a:rPr lang="en-US" sz="2300" b="1" i="0" u="sng">
              <a:solidFill>
                <a:schemeClr val="accent5">
                  <a:lumMod val="75000"/>
                </a:schemeClr>
              </a:solidFill>
              <a:effectLst/>
              <a:latin typeface="Arial Rounded MT Bold" panose="020F0704030504030204" pitchFamily="34" charset="0"/>
              <a:ea typeface="+mn-ea"/>
              <a:cs typeface="+mn-cs"/>
            </a:rPr>
            <a:t>Bike Sharing Data Analysis and Visualization</a:t>
          </a:r>
          <a:endParaRPr lang="en-US" sz="2300" b="1" u="sng" cap="none" spc="0">
            <a:ln/>
            <a:solidFill>
              <a:schemeClr val="accent5">
                <a:lumMod val="75000"/>
              </a:schemeClr>
            </a:solidFill>
            <a:effectLst/>
            <a:latin typeface="Arial Rounded MT Bold" panose="020F0704030504030204" pitchFamily="34" charset="0"/>
          </a:endParaRPr>
        </a:p>
      </xdr:txBody>
    </xdr:sp>
    <xdr:clientData/>
  </xdr:oneCellAnchor>
  <xdr:oneCellAnchor>
    <xdr:from>
      <xdr:col>0</xdr:col>
      <xdr:colOff>0</xdr:colOff>
      <xdr:row>3</xdr:row>
      <xdr:rowOff>125817</xdr:rowOff>
    </xdr:from>
    <xdr:ext cx="1768928" cy="436723"/>
    <xdr:sp macro="" textlink="">
      <xdr:nvSpPr>
        <xdr:cNvPr id="10" name="Rectangle 9"/>
        <xdr:cNvSpPr/>
      </xdr:nvSpPr>
      <xdr:spPr>
        <a:xfrm>
          <a:off x="0" y="697317"/>
          <a:ext cx="1768928" cy="436723"/>
        </a:xfrm>
        <a:prstGeom prst="rect">
          <a:avLst/>
        </a:prstGeom>
        <a:solidFill>
          <a:schemeClr val="accent5">
            <a:lumMod val="75000"/>
          </a:schemeClr>
        </a:solidFill>
        <a:ln>
          <a:noFill/>
        </a:ln>
      </xdr:spPr>
      <xdr:style>
        <a:lnRef idx="2">
          <a:schemeClr val="accent1"/>
        </a:lnRef>
        <a:fillRef idx="1">
          <a:schemeClr val="lt1"/>
        </a:fillRef>
        <a:effectRef idx="0">
          <a:schemeClr val="accent1"/>
        </a:effectRef>
        <a:fontRef idx="minor">
          <a:schemeClr val="dk1"/>
        </a:fontRef>
      </xdr:style>
      <xdr:txBody>
        <a:bodyPr wrap="square" lIns="91440" tIns="45720" rIns="91440" bIns="45720">
          <a:spAutoFit/>
        </a:bodyPr>
        <a:lstStyle/>
        <a:p>
          <a:pPr algn="ctr"/>
          <a:r>
            <a:rPr lang="en-US" sz="2200" b="0" cap="none" spc="0">
              <a:ln w="0"/>
              <a:solidFill>
                <a:schemeClr val="bg1"/>
              </a:solidFill>
              <a:effectLst>
                <a:outerShdw blurRad="38100" dist="19050" dir="2700000" algn="tl" rotWithShape="0">
                  <a:schemeClr val="dk1">
                    <a:alpha val="40000"/>
                  </a:schemeClr>
                </a:outerShdw>
              </a:effectLst>
            </a:rPr>
            <a:t>FILTER</a:t>
          </a:r>
        </a:p>
      </xdr:txBody>
    </xdr:sp>
    <xdr:clientData/>
  </xdr:oneCellAnchor>
  <xdr:twoCellAnchor>
    <xdr:from>
      <xdr:col>14</xdr:col>
      <xdr:colOff>489857</xdr:colOff>
      <xdr:row>10</xdr:row>
      <xdr:rowOff>176894</xdr:rowOff>
    </xdr:from>
    <xdr:to>
      <xdr:col>26</xdr:col>
      <xdr:colOff>557893</xdr:colOff>
      <xdr:row>28</xdr:row>
      <xdr:rowOff>16008</xdr:rowOff>
    </xdr:to>
    <xdr:graphicFrame macro="">
      <xdr:nvGraphicFramePr>
        <xdr:cNvPr id="112" name="Chart 1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132869</xdr:colOff>
      <xdr:row>28</xdr:row>
      <xdr:rowOff>81643</xdr:rowOff>
    </xdr:from>
    <xdr:to>
      <xdr:col>11</xdr:col>
      <xdr:colOff>517070</xdr:colOff>
      <xdr:row>44</xdr:row>
      <xdr:rowOff>13606</xdr:rowOff>
    </xdr:to>
    <xdr:graphicFrame macro="">
      <xdr:nvGraphicFramePr>
        <xdr:cNvPr id="119" name="Chart 1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571500</xdr:colOff>
      <xdr:row>28</xdr:row>
      <xdr:rowOff>62433</xdr:rowOff>
    </xdr:from>
    <xdr:to>
      <xdr:col>20</xdr:col>
      <xdr:colOff>81642</xdr:colOff>
      <xdr:row>44</xdr:row>
      <xdr:rowOff>54428</xdr:rowOff>
    </xdr:to>
    <xdr:graphicFrame macro="">
      <xdr:nvGraphicFramePr>
        <xdr:cNvPr id="121" name="Chart 12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598714</xdr:colOff>
      <xdr:row>44</xdr:row>
      <xdr:rowOff>122464</xdr:rowOff>
    </xdr:from>
    <xdr:to>
      <xdr:col>26</xdr:col>
      <xdr:colOff>531193</xdr:colOff>
      <xdr:row>62</xdr:row>
      <xdr:rowOff>163285</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27213</xdr:colOff>
      <xdr:row>2</xdr:row>
      <xdr:rowOff>190499</xdr:rowOff>
    </xdr:from>
    <xdr:to>
      <xdr:col>30</xdr:col>
      <xdr:colOff>27214</xdr:colOff>
      <xdr:row>63</xdr:row>
      <xdr:rowOff>13606</xdr:rowOff>
    </xdr:to>
    <xdr:sp macro="" textlink="">
      <xdr:nvSpPr>
        <xdr:cNvPr id="6" name="Rectangle 5"/>
        <xdr:cNvSpPr/>
      </xdr:nvSpPr>
      <xdr:spPr>
        <a:xfrm>
          <a:off x="16559892" y="571499"/>
          <a:ext cx="1836965" cy="11443607"/>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27214</xdr:colOff>
      <xdr:row>6</xdr:row>
      <xdr:rowOff>95250</xdr:rowOff>
    </xdr:from>
    <xdr:to>
      <xdr:col>2</xdr:col>
      <xdr:colOff>598714</xdr:colOff>
      <xdr:row>6</xdr:row>
      <xdr:rowOff>95250</xdr:rowOff>
    </xdr:to>
    <xdr:cxnSp macro="">
      <xdr:nvCxnSpPr>
        <xdr:cNvPr id="13" name="Straight Connector 12"/>
        <xdr:cNvCxnSpPr/>
      </xdr:nvCxnSpPr>
      <xdr:spPr>
        <a:xfrm>
          <a:off x="27214" y="1238250"/>
          <a:ext cx="1796143" cy="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108858</xdr:colOff>
      <xdr:row>11</xdr:row>
      <xdr:rowOff>0</xdr:rowOff>
    </xdr:from>
    <xdr:to>
      <xdr:col>14</xdr:col>
      <xdr:colOff>421821</xdr:colOff>
      <xdr:row>28</xdr:row>
      <xdr:rowOff>54428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2723</xdr:colOff>
      <xdr:row>6</xdr:row>
      <xdr:rowOff>136071</xdr:rowOff>
    </xdr:from>
    <xdr:to>
      <xdr:col>3</xdr:col>
      <xdr:colOff>35380</xdr:colOff>
      <xdr:row>18</xdr:row>
      <xdr:rowOff>163286</xdr:rowOff>
    </xdr:to>
    <mc:AlternateContent xmlns:mc="http://schemas.openxmlformats.org/markup-compatibility/2006" xmlns:a14="http://schemas.microsoft.com/office/drawing/2010/main">
      <mc:Choice Requires="a14">
        <xdr:graphicFrame macro="">
          <xdr:nvGraphicFramePr>
            <xdr:cNvPr id="15" name="week name 4"/>
            <xdr:cNvGraphicFramePr/>
          </xdr:nvGraphicFramePr>
          <xdr:xfrm>
            <a:off x="0" y="0"/>
            <a:ext cx="0" cy="0"/>
          </xdr:xfrm>
          <a:graphic>
            <a:graphicData uri="http://schemas.microsoft.com/office/drawing/2010/slicer">
              <sle:slicer xmlns:sle="http://schemas.microsoft.com/office/drawing/2010/slicer" name="week name 4"/>
            </a:graphicData>
          </a:graphic>
        </xdr:graphicFrame>
      </mc:Choice>
      <mc:Fallback xmlns="">
        <xdr:sp macro="" textlink="">
          <xdr:nvSpPr>
            <xdr:cNvPr id="0" name=""/>
            <xdr:cNvSpPr>
              <a:spLocks noTextEdit="1"/>
            </xdr:cNvSpPr>
          </xdr:nvSpPr>
          <xdr:spPr>
            <a:xfrm>
              <a:off x="2723" y="1279071"/>
              <a:ext cx="1828800" cy="23132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40823</xdr:colOff>
      <xdr:row>19</xdr:row>
      <xdr:rowOff>54428</xdr:rowOff>
    </xdr:from>
    <xdr:to>
      <xdr:col>3</xdr:col>
      <xdr:colOff>32659</xdr:colOff>
      <xdr:row>36</xdr:row>
      <xdr:rowOff>0</xdr:rowOff>
    </xdr:to>
    <mc:AlternateContent xmlns:mc="http://schemas.openxmlformats.org/markup-compatibility/2006" xmlns:a14="http://schemas.microsoft.com/office/drawing/2010/main">
      <mc:Choice Requires="a14">
        <xdr:graphicFrame macro="">
          <xdr:nvGraphicFramePr>
            <xdr:cNvPr id="16" name="hr 2"/>
            <xdr:cNvGraphicFramePr/>
          </xdr:nvGraphicFramePr>
          <xdr:xfrm>
            <a:off x="0" y="0"/>
            <a:ext cx="0" cy="0"/>
          </xdr:xfrm>
          <a:graphic>
            <a:graphicData uri="http://schemas.microsoft.com/office/drawing/2010/slicer">
              <sle:slicer xmlns:sle="http://schemas.microsoft.com/office/drawing/2010/slicer" name="hr 2"/>
            </a:graphicData>
          </a:graphic>
        </xdr:graphicFrame>
      </mc:Choice>
      <mc:Fallback xmlns="">
        <xdr:sp macro="" textlink="">
          <xdr:nvSpPr>
            <xdr:cNvPr id="0" name=""/>
            <xdr:cNvSpPr>
              <a:spLocks noTextEdit="1"/>
            </xdr:cNvSpPr>
          </xdr:nvSpPr>
          <xdr:spPr>
            <a:xfrm>
              <a:off x="40823" y="3673928"/>
              <a:ext cx="1828800" cy="31840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54428</xdr:colOff>
      <xdr:row>26</xdr:row>
      <xdr:rowOff>54428</xdr:rowOff>
    </xdr:from>
    <xdr:to>
      <xdr:col>30</xdr:col>
      <xdr:colOff>32657</xdr:colOff>
      <xdr:row>32</xdr:row>
      <xdr:rowOff>163285</xdr:rowOff>
    </xdr:to>
    <mc:AlternateContent xmlns:mc="http://schemas.openxmlformats.org/markup-compatibility/2006" xmlns:a14="http://schemas.microsoft.com/office/drawing/2010/main">
      <mc:Choice Requires="a14">
        <xdr:graphicFrame macro="">
          <xdr:nvGraphicFramePr>
            <xdr:cNvPr id="17" name="Holiday/workingday 3"/>
            <xdr:cNvGraphicFramePr/>
          </xdr:nvGraphicFramePr>
          <xdr:xfrm>
            <a:off x="0" y="0"/>
            <a:ext cx="0" cy="0"/>
          </xdr:xfrm>
          <a:graphic>
            <a:graphicData uri="http://schemas.microsoft.com/office/drawing/2010/slicer">
              <sle:slicer xmlns:sle="http://schemas.microsoft.com/office/drawing/2010/slicer" name="Holiday/workingday 3"/>
            </a:graphicData>
          </a:graphic>
        </xdr:graphicFrame>
      </mc:Choice>
      <mc:Fallback xmlns="">
        <xdr:sp macro="" textlink="">
          <xdr:nvSpPr>
            <xdr:cNvPr id="0" name=""/>
            <xdr:cNvSpPr>
              <a:spLocks noTextEdit="1"/>
            </xdr:cNvSpPr>
          </xdr:nvSpPr>
          <xdr:spPr>
            <a:xfrm>
              <a:off x="16587107" y="5007428"/>
              <a:ext cx="1815193" cy="12518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81641</xdr:colOff>
      <xdr:row>7</xdr:row>
      <xdr:rowOff>83005</xdr:rowOff>
    </xdr:from>
    <xdr:to>
      <xdr:col>30</xdr:col>
      <xdr:colOff>73477</xdr:colOff>
      <xdr:row>26</xdr:row>
      <xdr:rowOff>1</xdr:rowOff>
    </xdr:to>
    <mc:AlternateContent xmlns:mc="http://schemas.openxmlformats.org/markup-compatibility/2006" xmlns:a14="http://schemas.microsoft.com/office/drawing/2010/main">
      <mc:Choice Requires="a14">
        <xdr:graphicFrame macro="">
          <xdr:nvGraphicFramePr>
            <xdr:cNvPr id="19" name="dteday 3"/>
            <xdr:cNvGraphicFramePr/>
          </xdr:nvGraphicFramePr>
          <xdr:xfrm>
            <a:off x="0" y="0"/>
            <a:ext cx="0" cy="0"/>
          </xdr:xfrm>
          <a:graphic>
            <a:graphicData uri="http://schemas.microsoft.com/office/drawing/2010/slicer">
              <sle:slicer xmlns:sle="http://schemas.microsoft.com/office/drawing/2010/slicer" name="dteday 3"/>
            </a:graphicData>
          </a:graphic>
        </xdr:graphicFrame>
      </mc:Choice>
      <mc:Fallback xmlns="">
        <xdr:sp macro="" textlink="">
          <xdr:nvSpPr>
            <xdr:cNvPr id="0" name=""/>
            <xdr:cNvSpPr>
              <a:spLocks noTextEdit="1"/>
            </xdr:cNvSpPr>
          </xdr:nvSpPr>
          <xdr:spPr>
            <a:xfrm>
              <a:off x="16614320" y="1416505"/>
              <a:ext cx="1828800" cy="35364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36</xdr:row>
      <xdr:rowOff>95250</xdr:rowOff>
    </xdr:from>
    <xdr:to>
      <xdr:col>3</xdr:col>
      <xdr:colOff>32657</xdr:colOff>
      <xdr:row>44</xdr:row>
      <xdr:rowOff>108857</xdr:rowOff>
    </xdr:to>
    <mc:AlternateContent xmlns:mc="http://schemas.openxmlformats.org/markup-compatibility/2006" xmlns:a14="http://schemas.microsoft.com/office/drawing/2010/main">
      <mc:Choice Requires="a14">
        <xdr:graphicFrame macro="">
          <xdr:nvGraphicFramePr>
            <xdr:cNvPr id="22" name="weather condition 2"/>
            <xdr:cNvGraphicFramePr/>
          </xdr:nvGraphicFramePr>
          <xdr:xfrm>
            <a:off x="0" y="0"/>
            <a:ext cx="0" cy="0"/>
          </xdr:xfrm>
          <a:graphic>
            <a:graphicData uri="http://schemas.microsoft.com/office/drawing/2010/slicer">
              <sle:slicer xmlns:sle="http://schemas.microsoft.com/office/drawing/2010/slicer" name="weather condition 2"/>
            </a:graphicData>
          </a:graphic>
        </xdr:graphicFrame>
      </mc:Choice>
      <mc:Fallback xmlns="">
        <xdr:sp macro="" textlink="">
          <xdr:nvSpPr>
            <xdr:cNvPr id="0" name=""/>
            <xdr:cNvSpPr>
              <a:spLocks noTextEdit="1"/>
            </xdr:cNvSpPr>
          </xdr:nvSpPr>
          <xdr:spPr>
            <a:xfrm>
              <a:off x="0" y="6953250"/>
              <a:ext cx="1869621" cy="15376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149678</xdr:colOff>
      <xdr:row>28</xdr:row>
      <xdr:rowOff>40822</xdr:rowOff>
    </xdr:from>
    <xdr:to>
      <xdr:col>26</xdr:col>
      <xdr:colOff>489858</xdr:colOff>
      <xdr:row>44</xdr:row>
      <xdr:rowOff>54429</xdr:rowOff>
    </xdr:to>
    <xdr:graphicFrame macro="">
      <xdr:nvGraphicFramePr>
        <xdr:cNvPr id="23" name="Chart 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136071</xdr:colOff>
      <xdr:row>3</xdr:row>
      <xdr:rowOff>54428</xdr:rowOff>
    </xdr:from>
    <xdr:to>
      <xdr:col>7</xdr:col>
      <xdr:colOff>612036</xdr:colOff>
      <xdr:row>6</xdr:row>
      <xdr:rowOff>95249</xdr:rowOff>
    </xdr:to>
    <xdr:grpSp>
      <xdr:nvGrpSpPr>
        <xdr:cNvPr id="24" name="Group 23"/>
        <xdr:cNvGrpSpPr/>
      </xdr:nvGrpSpPr>
      <xdr:grpSpPr>
        <a:xfrm>
          <a:off x="1973035" y="625928"/>
          <a:ext cx="2925251" cy="612321"/>
          <a:chOff x="156686" y="120127"/>
          <a:chExt cx="2264923" cy="265680"/>
        </a:xfrm>
      </xdr:grpSpPr>
      <xdr:sp macro="" textlink="">
        <xdr:nvSpPr>
          <xdr:cNvPr id="25" name="Rounded Rectangle 24"/>
          <xdr:cNvSpPr/>
        </xdr:nvSpPr>
        <xdr:spPr>
          <a:xfrm>
            <a:off x="156686" y="120127"/>
            <a:ext cx="2193608" cy="265680"/>
          </a:xfrm>
          <a:prstGeom prst="roundRect">
            <a:avLst/>
          </a:prstGeom>
          <a:gradFill flip="none" rotWithShape="0">
            <a:gsLst>
              <a:gs pos="0">
                <a:srgbClr val="FF0066">
                  <a:tint val="66000"/>
                  <a:satMod val="160000"/>
                </a:srgbClr>
              </a:gs>
              <a:gs pos="50000">
                <a:srgbClr val="FF0066">
                  <a:tint val="44500"/>
                  <a:satMod val="160000"/>
                </a:srgbClr>
              </a:gs>
              <a:gs pos="100000">
                <a:srgbClr val="FF0066">
                  <a:tint val="23500"/>
                  <a:satMod val="160000"/>
                </a:srgbClr>
              </a:gs>
            </a:gsLst>
            <a:lin ang="189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26" name="Rounded Rectangle 4"/>
          <xdr:cNvSpPr txBox="1"/>
        </xdr:nvSpPr>
        <xdr:spPr>
          <a:xfrm>
            <a:off x="253939" y="139000"/>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200" kern="1200"/>
              <a:t>Total Rentals  :58304</a:t>
            </a:r>
          </a:p>
        </xdr:txBody>
      </xdr:sp>
    </xdr:grpSp>
    <xdr:clientData/>
  </xdr:twoCellAnchor>
  <xdr:twoCellAnchor>
    <xdr:from>
      <xdr:col>3</xdr:col>
      <xdr:colOff>122465</xdr:colOff>
      <xdr:row>6</xdr:row>
      <xdr:rowOff>149679</xdr:rowOff>
    </xdr:from>
    <xdr:to>
      <xdr:col>7</xdr:col>
      <xdr:colOff>557893</xdr:colOff>
      <xdr:row>10</xdr:row>
      <xdr:rowOff>108858</xdr:rowOff>
    </xdr:to>
    <xdr:grpSp>
      <xdr:nvGrpSpPr>
        <xdr:cNvPr id="27" name="Group 26"/>
        <xdr:cNvGrpSpPr/>
      </xdr:nvGrpSpPr>
      <xdr:grpSpPr>
        <a:xfrm>
          <a:off x="1959429" y="1292679"/>
          <a:ext cx="2884714" cy="721179"/>
          <a:chOff x="156686" y="528367"/>
          <a:chExt cx="2193608" cy="265680"/>
        </a:xfrm>
      </xdr:grpSpPr>
      <xdr:sp macro="" textlink="">
        <xdr:nvSpPr>
          <xdr:cNvPr id="28" name="Rounded Rectangle 27"/>
          <xdr:cNvSpPr/>
        </xdr:nvSpPr>
        <xdr:spPr>
          <a:xfrm>
            <a:off x="156686" y="528367"/>
            <a:ext cx="2193608" cy="265680"/>
          </a:xfrm>
          <a:prstGeom prst="roundRect">
            <a:avLst/>
          </a:prstGeom>
          <a:gradFill flip="none" rotWithShape="0">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29" name="Rounded Rectangle 4"/>
          <xdr:cNvSpPr txBox="1"/>
        </xdr:nvSpPr>
        <xdr:spPr>
          <a:xfrm>
            <a:off x="169655" y="54133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800" kern="1200"/>
              <a:t>Max Hourly Load : 249 bike</a:t>
            </a:r>
          </a:p>
        </xdr:txBody>
      </xdr:sp>
    </xdr:grpSp>
    <xdr:clientData/>
  </xdr:twoCellAnchor>
  <xdr:twoCellAnchor>
    <xdr:from>
      <xdr:col>7</xdr:col>
      <xdr:colOff>612320</xdr:colOff>
      <xdr:row>7</xdr:row>
      <xdr:rowOff>0</xdr:rowOff>
    </xdr:from>
    <xdr:to>
      <xdr:col>12</xdr:col>
      <xdr:colOff>598714</xdr:colOff>
      <xdr:row>10</xdr:row>
      <xdr:rowOff>149679</xdr:rowOff>
    </xdr:to>
    <xdr:grpSp>
      <xdr:nvGrpSpPr>
        <xdr:cNvPr id="33" name="Group 32"/>
        <xdr:cNvGrpSpPr/>
      </xdr:nvGrpSpPr>
      <xdr:grpSpPr>
        <a:xfrm>
          <a:off x="4898570" y="1333500"/>
          <a:ext cx="3048001" cy="721179"/>
          <a:chOff x="156686" y="936607"/>
          <a:chExt cx="2193608" cy="265680"/>
        </a:xfrm>
      </xdr:grpSpPr>
      <xdr:sp macro="" textlink="">
        <xdr:nvSpPr>
          <xdr:cNvPr id="34" name="Rounded Rectangle 33"/>
          <xdr:cNvSpPr/>
        </xdr:nvSpPr>
        <xdr:spPr>
          <a:xfrm>
            <a:off x="156686" y="936607"/>
            <a:ext cx="2193608" cy="265680"/>
          </a:xfrm>
          <a:prstGeom prst="roundRect">
            <a:avLst/>
          </a:prstGeom>
          <a:gradFill flip="none" rotWithShape="0">
            <a:gsLst>
              <a:gs pos="0">
                <a:srgbClr val="F8F43C">
                  <a:shade val="30000"/>
                  <a:satMod val="115000"/>
                </a:srgbClr>
              </a:gs>
              <a:gs pos="50000">
                <a:srgbClr val="F8F43C">
                  <a:shade val="67500"/>
                  <a:satMod val="115000"/>
                </a:srgbClr>
              </a:gs>
              <a:gs pos="100000">
                <a:srgbClr val="F8F43C">
                  <a:shade val="100000"/>
                  <a:satMod val="115000"/>
                </a:srgb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35" name="Rounded Rectangle 4"/>
          <xdr:cNvSpPr txBox="1"/>
        </xdr:nvSpPr>
        <xdr:spPr>
          <a:xfrm>
            <a:off x="169655" y="94957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Commute Efficiency :172</a:t>
            </a:r>
          </a:p>
        </xdr:txBody>
      </xdr:sp>
    </xdr:grpSp>
    <xdr:clientData/>
  </xdr:twoCellAnchor>
  <xdr:twoCellAnchor>
    <xdr:from>
      <xdr:col>15</xdr:col>
      <xdr:colOff>244928</xdr:colOff>
      <xdr:row>3</xdr:row>
      <xdr:rowOff>27213</xdr:rowOff>
    </xdr:from>
    <xdr:to>
      <xdr:col>21</xdr:col>
      <xdr:colOff>18296</xdr:colOff>
      <xdr:row>6</xdr:row>
      <xdr:rowOff>163286</xdr:rowOff>
    </xdr:to>
    <xdr:grpSp>
      <xdr:nvGrpSpPr>
        <xdr:cNvPr id="39" name="Group 38"/>
        <xdr:cNvGrpSpPr/>
      </xdr:nvGrpSpPr>
      <xdr:grpSpPr>
        <a:xfrm>
          <a:off x="9429749" y="598713"/>
          <a:ext cx="3447297" cy="707573"/>
          <a:chOff x="156686" y="1344847"/>
          <a:chExt cx="2204142" cy="265680"/>
        </a:xfrm>
      </xdr:grpSpPr>
      <xdr:sp macro="" textlink="">
        <xdr:nvSpPr>
          <xdr:cNvPr id="40" name="Rounded Rectangle 39"/>
          <xdr:cNvSpPr/>
        </xdr:nvSpPr>
        <xdr:spPr>
          <a:xfrm>
            <a:off x="156686" y="1344847"/>
            <a:ext cx="2193608" cy="265680"/>
          </a:xfrm>
          <a:prstGeom prst="roundRect">
            <a:avLst/>
          </a:prstGeom>
          <a:gradFill flip="none" rotWithShape="0">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41" name="Rounded Rectangle 4"/>
          <xdr:cNvSpPr txBox="1"/>
        </xdr:nvSpPr>
        <xdr:spPr>
          <a:xfrm>
            <a:off x="193158" y="1368661"/>
            <a:ext cx="2167670" cy="241866"/>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Working Day Advantage :+41% vol.</a:t>
            </a:r>
          </a:p>
        </xdr:txBody>
      </xdr:sp>
    </xdr:grpSp>
    <xdr:clientData/>
  </xdr:twoCellAnchor>
  <xdr:twoCellAnchor>
    <xdr:from>
      <xdr:col>15</xdr:col>
      <xdr:colOff>258537</xdr:colOff>
      <xdr:row>7</xdr:row>
      <xdr:rowOff>27214</xdr:rowOff>
    </xdr:from>
    <xdr:to>
      <xdr:col>21</xdr:col>
      <xdr:colOff>68037</xdr:colOff>
      <xdr:row>10</xdr:row>
      <xdr:rowOff>122464</xdr:rowOff>
    </xdr:to>
    <xdr:grpSp>
      <xdr:nvGrpSpPr>
        <xdr:cNvPr id="42" name="Group 41"/>
        <xdr:cNvGrpSpPr/>
      </xdr:nvGrpSpPr>
      <xdr:grpSpPr>
        <a:xfrm>
          <a:off x="9443358" y="1360714"/>
          <a:ext cx="3483429" cy="666750"/>
          <a:chOff x="156686" y="1753087"/>
          <a:chExt cx="2209506" cy="265680"/>
        </a:xfrm>
      </xdr:grpSpPr>
      <xdr:sp macro="" textlink="">
        <xdr:nvSpPr>
          <xdr:cNvPr id="43" name="Rounded Rectangle 42"/>
          <xdr:cNvSpPr/>
        </xdr:nvSpPr>
        <xdr:spPr>
          <a:xfrm>
            <a:off x="156686" y="1753087"/>
            <a:ext cx="2193608" cy="265680"/>
          </a:xfrm>
          <a:prstGeom prst="roundRect">
            <a:avLst/>
          </a:prstGeom>
          <a:gradFill flip="none" rotWithShape="0">
            <a:gsLst>
              <a:gs pos="0">
                <a:schemeClr val="accent1">
                  <a:lumMod val="75000"/>
                  <a:tint val="66000"/>
                  <a:satMod val="160000"/>
                </a:schemeClr>
              </a:gs>
              <a:gs pos="50000">
                <a:schemeClr val="accent1">
                  <a:lumMod val="75000"/>
                  <a:tint val="44500"/>
                  <a:satMod val="160000"/>
                </a:schemeClr>
              </a:gs>
              <a:gs pos="100000">
                <a:schemeClr val="accent1">
                  <a:lumMod val="75000"/>
                  <a:tint val="23500"/>
                  <a:satMod val="160000"/>
                </a:schemeClr>
              </a:gs>
            </a:gsLst>
            <a:lin ang="189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44" name="Rounded Rectangle 4"/>
          <xdr:cNvSpPr txBox="1"/>
        </xdr:nvSpPr>
        <xdr:spPr>
          <a:xfrm>
            <a:off x="169655" y="1766055"/>
            <a:ext cx="2196537"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Member Loyalty Rate :91.60%</a:t>
            </a:r>
          </a:p>
        </xdr:txBody>
      </xdr:sp>
    </xdr:grpSp>
    <xdr:clientData/>
  </xdr:twoCellAnchor>
  <xdr:twoCellAnchor>
    <xdr:from>
      <xdr:col>21</xdr:col>
      <xdr:colOff>68037</xdr:colOff>
      <xdr:row>3</xdr:row>
      <xdr:rowOff>40821</xdr:rowOff>
    </xdr:from>
    <xdr:to>
      <xdr:col>26</xdr:col>
      <xdr:colOff>435429</xdr:colOff>
      <xdr:row>6</xdr:row>
      <xdr:rowOff>54429</xdr:rowOff>
    </xdr:to>
    <xdr:grpSp>
      <xdr:nvGrpSpPr>
        <xdr:cNvPr id="45" name="Group 44"/>
        <xdr:cNvGrpSpPr/>
      </xdr:nvGrpSpPr>
      <xdr:grpSpPr>
        <a:xfrm>
          <a:off x="12926787" y="612321"/>
          <a:ext cx="3428999" cy="585108"/>
          <a:chOff x="156686" y="2569567"/>
          <a:chExt cx="2193608" cy="265680"/>
        </a:xfrm>
      </xdr:grpSpPr>
      <xdr:sp macro="" textlink="">
        <xdr:nvSpPr>
          <xdr:cNvPr id="46" name="Rounded Rectangle 45"/>
          <xdr:cNvSpPr/>
        </xdr:nvSpPr>
        <xdr:spPr>
          <a:xfrm>
            <a:off x="156686" y="2569567"/>
            <a:ext cx="2193608" cy="265680"/>
          </a:xfrm>
          <a:prstGeom prst="roundRect">
            <a:avLst/>
          </a:prstGeom>
          <a:gradFill flip="none" rotWithShape="0">
            <a:gsLst>
              <a:gs pos="0">
                <a:srgbClr val="92D050">
                  <a:shade val="30000"/>
                  <a:satMod val="115000"/>
                </a:srgbClr>
              </a:gs>
              <a:gs pos="50000">
                <a:srgbClr val="92D050">
                  <a:shade val="67500"/>
                  <a:satMod val="115000"/>
                </a:srgbClr>
              </a:gs>
              <a:gs pos="100000">
                <a:srgbClr val="92D050">
                  <a:shade val="100000"/>
                  <a:satMod val="115000"/>
                </a:srgb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47" name="Rounded Rectangle 4"/>
          <xdr:cNvSpPr txBox="1"/>
        </xdr:nvSpPr>
        <xdr:spPr>
          <a:xfrm>
            <a:off x="169655" y="258253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Rain Sensivity : -46% Demand</a:t>
            </a:r>
          </a:p>
        </xdr:txBody>
      </xdr:sp>
    </xdr:grpSp>
    <xdr:clientData/>
  </xdr:twoCellAnchor>
  <xdr:twoCellAnchor>
    <xdr:from>
      <xdr:col>21</xdr:col>
      <xdr:colOff>95250</xdr:colOff>
      <xdr:row>6</xdr:row>
      <xdr:rowOff>122464</xdr:rowOff>
    </xdr:from>
    <xdr:to>
      <xdr:col>26</xdr:col>
      <xdr:colOff>408214</xdr:colOff>
      <xdr:row>10</xdr:row>
      <xdr:rowOff>95250</xdr:rowOff>
    </xdr:to>
    <xdr:grpSp>
      <xdr:nvGrpSpPr>
        <xdr:cNvPr id="48" name="Group 47"/>
        <xdr:cNvGrpSpPr/>
      </xdr:nvGrpSpPr>
      <xdr:grpSpPr>
        <a:xfrm>
          <a:off x="12954000" y="1265464"/>
          <a:ext cx="3374571" cy="734786"/>
          <a:chOff x="156686" y="2977807"/>
          <a:chExt cx="2193608" cy="265680"/>
        </a:xfrm>
      </xdr:grpSpPr>
      <xdr:sp macro="" textlink="">
        <xdr:nvSpPr>
          <xdr:cNvPr id="49" name="Rounded Rectangle 48"/>
          <xdr:cNvSpPr/>
        </xdr:nvSpPr>
        <xdr:spPr>
          <a:xfrm>
            <a:off x="156686" y="2977807"/>
            <a:ext cx="2193608" cy="265680"/>
          </a:xfrm>
          <a:prstGeom prst="roundRect">
            <a:avLst/>
          </a:prstGeom>
          <a:gradFill flip="none" rotWithShape="0">
            <a:gsLst>
              <a:gs pos="0">
                <a:schemeClr val="accent2">
                  <a:lumMod val="75000"/>
                  <a:shade val="30000"/>
                  <a:satMod val="115000"/>
                </a:schemeClr>
              </a:gs>
              <a:gs pos="50000">
                <a:schemeClr val="accent2">
                  <a:lumMod val="75000"/>
                  <a:shade val="67500"/>
                  <a:satMod val="115000"/>
                </a:schemeClr>
              </a:gs>
              <a:gs pos="100000">
                <a:schemeClr val="accent2">
                  <a:lumMod val="75000"/>
                  <a:shade val="100000"/>
                  <a:satMod val="115000"/>
                </a:scheme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50" name="Rounded Rectangle 4"/>
          <xdr:cNvSpPr txBox="1"/>
        </xdr:nvSpPr>
        <xdr:spPr>
          <a:xfrm>
            <a:off x="169655" y="299077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Humidity Impact :-34% Demand</a:t>
            </a:r>
          </a:p>
        </xdr:txBody>
      </xdr:sp>
    </xdr:grpSp>
    <xdr:clientData/>
  </xdr:twoCellAnchor>
  <xdr:twoCellAnchor>
    <xdr:from>
      <xdr:col>8</xdr:col>
      <xdr:colOff>0</xdr:colOff>
      <xdr:row>3</xdr:row>
      <xdr:rowOff>27213</xdr:rowOff>
    </xdr:from>
    <xdr:to>
      <xdr:col>13</xdr:col>
      <xdr:colOff>22881</xdr:colOff>
      <xdr:row>6</xdr:row>
      <xdr:rowOff>163284</xdr:rowOff>
    </xdr:to>
    <xdr:grpSp>
      <xdr:nvGrpSpPr>
        <xdr:cNvPr id="60" name="Group 59"/>
        <xdr:cNvGrpSpPr/>
      </xdr:nvGrpSpPr>
      <xdr:grpSpPr>
        <a:xfrm>
          <a:off x="4898571" y="598713"/>
          <a:ext cx="3084489" cy="707571"/>
          <a:chOff x="156686" y="2161327"/>
          <a:chExt cx="2229823" cy="265680"/>
        </a:xfrm>
      </xdr:grpSpPr>
      <xdr:sp macro="" textlink="">
        <xdr:nvSpPr>
          <xdr:cNvPr id="61" name="Rounded Rectangle 60"/>
          <xdr:cNvSpPr/>
        </xdr:nvSpPr>
        <xdr:spPr>
          <a:xfrm>
            <a:off x="156686" y="2161327"/>
            <a:ext cx="2193608" cy="265680"/>
          </a:xfrm>
          <a:prstGeom prst="roundRect">
            <a:avLst/>
          </a:prstGeom>
          <a:gradFill flip="none" rotWithShape="0">
            <a:gsLst>
              <a:gs pos="0">
                <a:schemeClr val="accent3">
                  <a:lumMod val="75000"/>
                  <a:shade val="30000"/>
                  <a:satMod val="115000"/>
                </a:schemeClr>
              </a:gs>
              <a:gs pos="50000">
                <a:schemeClr val="accent3">
                  <a:lumMod val="75000"/>
                  <a:shade val="67500"/>
                  <a:satMod val="115000"/>
                </a:schemeClr>
              </a:gs>
              <a:gs pos="100000">
                <a:schemeClr val="accent3">
                  <a:lumMod val="75000"/>
                  <a:shade val="100000"/>
                  <a:satMod val="115000"/>
                </a:scheme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62" name="Rounded Rectangle 4"/>
          <xdr:cNvSpPr txBox="1"/>
        </xdr:nvSpPr>
        <xdr:spPr>
          <a:xfrm>
            <a:off x="218839" y="217429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800" kern="1200"/>
              <a:t>Weekend Tourism Growth :1350 casuals/day</a:t>
            </a:r>
          </a:p>
        </xdr:txBody>
      </xdr:sp>
    </xdr:grpSp>
    <xdr:clientData/>
  </xdr:twoCellAnchor>
  <xdr:twoCellAnchor>
    <xdr:from>
      <xdr:col>13</xdr:col>
      <xdr:colOff>54428</xdr:colOff>
      <xdr:row>3</xdr:row>
      <xdr:rowOff>27214</xdr:rowOff>
    </xdr:from>
    <xdr:to>
      <xdr:col>15</xdr:col>
      <xdr:colOff>190500</xdr:colOff>
      <xdr:row>10</xdr:row>
      <xdr:rowOff>122464</xdr:rowOff>
    </xdr:to>
    <xdr:sp macro="" textlink="">
      <xdr:nvSpPr>
        <xdr:cNvPr id="8" name="Rounded Rectangle 7"/>
        <xdr:cNvSpPr/>
      </xdr:nvSpPr>
      <xdr:spPr>
        <a:xfrm>
          <a:off x="8014607" y="598714"/>
          <a:ext cx="1360714" cy="14287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500"/>
            <a:t>RIDES</a:t>
          </a:r>
        </a:p>
        <a:p>
          <a:pPr algn="ctr"/>
          <a:r>
            <a:rPr lang="en-US" sz="1500"/>
            <a:t>WEEKDAYS: 42435</a:t>
          </a:r>
        </a:p>
        <a:p>
          <a:pPr algn="ctr"/>
          <a:r>
            <a:rPr lang="en-US" sz="1500"/>
            <a:t>WEEKENDS:</a:t>
          </a:r>
          <a:r>
            <a:rPr lang="en-US" sz="1500" baseline="0"/>
            <a:t> </a:t>
          </a:r>
          <a:r>
            <a:rPr lang="en-US" sz="1500"/>
            <a:t>15869</a:t>
          </a:r>
        </a:p>
      </xdr:txBody>
    </xdr:sp>
    <xdr:clientData/>
  </xdr:twoCellAnchor>
  <xdr:twoCellAnchor>
    <xdr:from>
      <xdr:col>3</xdr:col>
      <xdr:colOff>176891</xdr:colOff>
      <xdr:row>44</xdr:row>
      <xdr:rowOff>68036</xdr:rowOff>
    </xdr:from>
    <xdr:to>
      <xdr:col>14</xdr:col>
      <xdr:colOff>462643</xdr:colOff>
      <xdr:row>62</xdr:row>
      <xdr:rowOff>108857</xdr:rowOff>
    </xdr:to>
    <xdr:graphicFrame macro="">
      <xdr:nvGraphicFramePr>
        <xdr:cNvPr id="51" name="Chart 5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13606</xdr:colOff>
      <xdr:row>33</xdr:row>
      <xdr:rowOff>13608</xdr:rowOff>
    </xdr:from>
    <xdr:to>
      <xdr:col>30</xdr:col>
      <xdr:colOff>5442</xdr:colOff>
      <xdr:row>47</xdr:row>
      <xdr:rowOff>136072</xdr:rowOff>
    </xdr:to>
    <mc:AlternateContent xmlns:mc="http://schemas.openxmlformats.org/markup-compatibility/2006" xmlns:a14="http://schemas.microsoft.com/office/drawing/2010/main">
      <mc:Choice Requires="a14">
        <xdr:graphicFrame macro="">
          <xdr:nvGraphicFramePr>
            <xdr:cNvPr id="52" name="weekday 1"/>
            <xdr:cNvGraphicFramePr/>
          </xdr:nvGraphicFramePr>
          <xdr:xfrm>
            <a:off x="0" y="0"/>
            <a:ext cx="0" cy="0"/>
          </xdr:xfrm>
          <a:graphic>
            <a:graphicData uri="http://schemas.microsoft.com/office/drawing/2010/slicer">
              <sle:slicer xmlns:sle="http://schemas.microsoft.com/office/drawing/2010/slicer" name="weekday 1"/>
            </a:graphicData>
          </a:graphic>
        </xdr:graphicFrame>
      </mc:Choice>
      <mc:Fallback xmlns="">
        <xdr:sp macro="" textlink="">
          <xdr:nvSpPr>
            <xdr:cNvPr id="0" name=""/>
            <xdr:cNvSpPr>
              <a:spLocks noTextEdit="1"/>
            </xdr:cNvSpPr>
          </xdr:nvSpPr>
          <xdr:spPr>
            <a:xfrm>
              <a:off x="16546285" y="6300108"/>
              <a:ext cx="1828800" cy="27894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27</xdr:col>
      <xdr:colOff>68034</xdr:colOff>
      <xdr:row>4</xdr:row>
      <xdr:rowOff>27214</xdr:rowOff>
    </xdr:from>
    <xdr:ext cx="1768928" cy="436723"/>
    <xdr:sp macro="" textlink="">
      <xdr:nvSpPr>
        <xdr:cNvPr id="53" name="Rectangle 52"/>
        <xdr:cNvSpPr/>
      </xdr:nvSpPr>
      <xdr:spPr>
        <a:xfrm>
          <a:off x="16600713" y="789214"/>
          <a:ext cx="1768928" cy="436723"/>
        </a:xfrm>
        <a:prstGeom prst="rect">
          <a:avLst/>
        </a:prstGeom>
        <a:solidFill>
          <a:schemeClr val="accent5">
            <a:lumMod val="75000"/>
          </a:schemeClr>
        </a:solidFill>
        <a:ln>
          <a:noFill/>
        </a:ln>
      </xdr:spPr>
      <xdr:style>
        <a:lnRef idx="2">
          <a:schemeClr val="accent1"/>
        </a:lnRef>
        <a:fillRef idx="1">
          <a:schemeClr val="lt1"/>
        </a:fillRef>
        <a:effectRef idx="0">
          <a:schemeClr val="accent1"/>
        </a:effectRef>
        <a:fontRef idx="minor">
          <a:schemeClr val="dk1"/>
        </a:fontRef>
      </xdr:style>
      <xdr:txBody>
        <a:bodyPr wrap="square" lIns="91440" tIns="45720" rIns="91440" bIns="45720">
          <a:spAutoFit/>
        </a:bodyPr>
        <a:lstStyle/>
        <a:p>
          <a:pPr algn="ctr"/>
          <a:r>
            <a:rPr lang="en-US" sz="2200" b="0" cap="none" spc="0">
              <a:ln w="0"/>
              <a:solidFill>
                <a:schemeClr val="bg1"/>
              </a:solidFill>
              <a:effectLst>
                <a:outerShdw blurRad="38100" dist="19050" dir="2700000" algn="tl" rotWithShape="0">
                  <a:schemeClr val="dk1">
                    <a:alpha val="40000"/>
                  </a:schemeClr>
                </a:outerShdw>
              </a:effectLst>
            </a:rPr>
            <a:t>FILTER</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098.944416782404" createdVersion="6" refreshedVersion="6" minRefreshableVersion="3" recordCount="1000">
  <cacheSource type="worksheet">
    <worksheetSource ref="A1:P1001" sheet="final_data_set"/>
  </cacheSource>
  <cacheFields count="17">
    <cacheField name="instant" numFmtId="0">
      <sharedItems containsSemiMixedTypes="0" containsString="0" containsNumber="1" containsInteger="1" minValue="1" maxValue="1000"/>
    </cacheField>
    <cacheField name="dteday"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16" base="1">
        <rangePr groupBy="days" startDate="2011-01-01T00:00:00" endDate="2011-02-15T00:00:00"/>
        <groupItems count="368">
          <s v="&lt;01/01/20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2011"/>
        </groupItems>
      </fieldGroup>
    </cacheField>
    <cacheField name="h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ount="2">
        <b v="0"/>
        <b v="1"/>
      </sharedItems>
    </cacheField>
    <cacheField name="Holiday/workingday" numFmtId="0">
      <sharedItems count="2">
        <s v="Working Day"/>
        <s v="Holiday"/>
      </sharedItems>
    </cacheField>
    <cacheField name="weekday" numFmtId="0">
      <sharedItems containsSemiMixedTypes="0" containsString="0" containsNumber="1" containsInteger="1" minValue="0" maxValue="6" count="7">
        <n v="6"/>
        <n v="0"/>
        <n v="1"/>
        <n v="2"/>
        <n v="3"/>
        <n v="4"/>
        <n v="5"/>
      </sharedItems>
    </cacheField>
    <cacheField name="week name" numFmtId="0">
      <sharedItems count="7">
        <s v="Sat"/>
        <s v="Sun"/>
        <s v="Mon"/>
        <s v="Tue"/>
        <s v="Wed"/>
        <s v="Thu"/>
        <s v="Fri"/>
      </sharedItems>
    </cacheField>
    <cacheField name="weathersit" numFmtId="0">
      <sharedItems containsSemiMixedTypes="0" containsString="0" containsNumber="1" containsInteger="1" minValue="1" maxValue="4" count="4">
        <n v="1"/>
        <n v="2"/>
        <n v="3"/>
        <n v="4"/>
      </sharedItems>
    </cacheField>
    <cacheField name="weather condition" numFmtId="0">
      <sharedItems count="4">
        <s v="mist/cloudy"/>
        <s v="light rain"/>
        <s v="heavy rain"/>
        <s v="extreme weather condition"/>
      </sharedItems>
    </cacheField>
    <cacheField name="temp" numFmtId="0">
      <sharedItems containsSemiMixedTypes="0" containsString="0" containsNumber="1" minValue="0.02" maxValue="0.46" count="23">
        <n v="0.24"/>
        <n v="0.22"/>
        <n v="0.2"/>
        <n v="0.32"/>
        <n v="0.38"/>
        <n v="0.36"/>
        <n v="0.42"/>
        <n v="0.46"/>
        <n v="0.44"/>
        <n v="0.4"/>
        <n v="0.34"/>
        <n v="0.3"/>
        <n v="0.26"/>
        <n v="0.16"/>
        <n v="0.14000000000000001"/>
        <n v="0.18"/>
        <n v="0.12"/>
        <n v="0.28000000000000003"/>
        <n v="0.1"/>
        <n v="0.08"/>
        <n v="0.06"/>
        <n v="0.04"/>
        <n v="0.02"/>
      </sharedItems>
    </cacheField>
    <cacheField name="atemp" numFmtId="0">
      <sharedItems containsSemiMixedTypes="0" containsString="0" containsNumber="1" minValue="0" maxValue="0.45450000000000002" count="31">
        <n v="0.28789999999999999"/>
        <n v="0.2727"/>
        <n v="0.2576"/>
        <n v="0.2"/>
        <n v="0.34849999999999998"/>
        <n v="0.39389999999999997"/>
        <n v="0.33329999999999999"/>
        <n v="0.42420000000000002"/>
        <n v="0.45450000000000002"/>
        <n v="0.43940000000000001"/>
        <n v="0.40910000000000002"/>
        <n v="0.2273"/>
        <n v="0.21210000000000001"/>
        <n v="0.19700000000000001"/>
        <n v="0.13639999999999999"/>
        <n v="0.1061"/>
        <n v="0.1212"/>
        <n v="0.16669999999999999"/>
        <n v="0.18179999999999999"/>
        <n v="0.2424"/>
        <n v="0.1515"/>
        <n v="0.31819999999999998"/>
        <n v="6.0600000000000001E-2"/>
        <n v="7.5800000000000006E-2"/>
        <n v="9.0899999999999995E-2"/>
        <n v="0.30299999999999999"/>
        <n v="3.0300000000000001E-2"/>
        <n v="4.5499999999999999E-2"/>
        <n v="0"/>
        <n v="1.52E-2"/>
        <n v="0.36359999999999998"/>
      </sharedItems>
    </cacheField>
    <cacheField name="hum" numFmtId="0">
      <sharedItems containsSemiMixedTypes="0" containsString="0" containsNumber="1" minValue="0.21" maxValue="1" count="64">
        <n v="0.81"/>
        <n v="0.8"/>
        <n v="0.75"/>
        <n v="0.86"/>
        <n v="0.76"/>
        <n v="0.77"/>
        <n v="0.72"/>
        <n v="0.82"/>
        <n v="0.88"/>
        <n v="0.87"/>
        <n v="0.94"/>
        <n v="1"/>
        <n v="0.71"/>
        <n v="0.66"/>
        <n v="0.56999999999999995"/>
        <n v="0.46"/>
        <n v="0.42"/>
        <n v="0.39"/>
        <n v="0.44"/>
        <n v="0.47"/>
        <n v="0.5"/>
        <n v="0.43"/>
        <n v="0.4"/>
        <n v="0.35"/>
        <n v="0.3"/>
        <n v="0.32"/>
        <n v="0.64"/>
        <n v="0.69"/>
        <n v="0.55000000000000004"/>
        <n v="0.59"/>
        <n v="0.63"/>
        <n v="0.68"/>
        <n v="0.74"/>
        <n v="0.51"/>
        <n v="0.56000000000000005"/>
        <n v="0.52"/>
        <n v="0.49"/>
        <n v="0.48"/>
        <n v="0.37"/>
        <n v="0.33"/>
        <n v="0.28000000000000003"/>
        <n v="0.38"/>
        <n v="0.36"/>
        <n v="0.93"/>
        <n v="0.28999999999999998"/>
        <n v="0.53"/>
        <n v="0.34"/>
        <n v="0.54"/>
        <n v="0.41"/>
        <n v="0.45"/>
        <n v="0.92"/>
        <n v="0.62"/>
        <n v="0.57999999999999996"/>
        <n v="0.61"/>
        <n v="0.6"/>
        <n v="0.65"/>
        <n v="0.7"/>
        <n v="0.27"/>
        <n v="0.21"/>
        <n v="0.25"/>
        <n v="0.26"/>
        <n v="0.31"/>
        <n v="0.73"/>
        <n v="0.24"/>
      </sharedItems>
    </cacheField>
    <cacheField name="windspeed" numFmtId="0">
      <sharedItems containsSemiMixedTypes="0" containsString="0" containsNumber="1" minValue="0" maxValue="0.58209999999999995" count="20">
        <n v="0"/>
        <n v="8.9599999999999999E-2"/>
        <n v="0.25369999999999998"/>
        <n v="0.28360000000000002"/>
        <n v="0.29849999999999999"/>
        <n v="0.19400000000000001"/>
        <n v="0.22389999999999999"/>
        <n v="0.1343"/>
        <n v="0.16420000000000001"/>
        <n v="0.32840000000000003"/>
        <n v="0.44779999999999998"/>
        <n v="0.35820000000000002"/>
        <n v="0.41789999999999999"/>
        <n v="0.3881"/>
        <n v="0.1045"/>
        <n v="0.49249999999999999"/>
        <n v="0.55220000000000002"/>
        <n v="0.4627"/>
        <n v="0.52239999999999998"/>
        <n v="0.58209999999999995"/>
      </sharedItems>
    </cacheField>
    <cacheField name="casual" numFmtId="0">
      <sharedItems containsSemiMixedTypes="0" containsString="0" containsNumber="1" containsInteger="1" minValue="0" maxValue="62" count="42">
        <n v="3"/>
        <n v="8"/>
        <n v="5"/>
        <n v="0"/>
        <n v="2"/>
        <n v="1"/>
        <n v="12"/>
        <n v="26"/>
        <n v="29"/>
        <n v="47"/>
        <n v="35"/>
        <n v="40"/>
        <n v="41"/>
        <n v="15"/>
        <n v="9"/>
        <n v="6"/>
        <n v="11"/>
        <n v="4"/>
        <n v="7"/>
        <n v="16"/>
        <n v="20"/>
        <n v="19"/>
        <n v="10"/>
        <n v="13"/>
        <n v="14"/>
        <n v="18"/>
        <n v="17"/>
        <n v="21"/>
        <n v="33"/>
        <n v="23"/>
        <n v="22"/>
        <n v="24"/>
        <n v="28"/>
        <n v="48"/>
        <n v="52"/>
        <n v="42"/>
        <n v="30"/>
        <n v="27"/>
        <n v="32"/>
        <n v="58"/>
        <n v="62"/>
        <n v="51"/>
      </sharedItems>
    </cacheField>
    <cacheField name="registered" numFmtId="0">
      <sharedItems containsSemiMixedTypes="0" containsString="0" containsNumber="1" containsInteger="1" minValue="0" maxValue="247" count="186">
        <n v="13"/>
        <n v="32"/>
        <n v="27"/>
        <n v="10"/>
        <n v="1"/>
        <n v="0"/>
        <n v="2"/>
        <n v="7"/>
        <n v="6"/>
        <n v="24"/>
        <n v="30"/>
        <n v="55"/>
        <n v="47"/>
        <n v="71"/>
        <n v="70"/>
        <n v="52"/>
        <n v="26"/>
        <n v="31"/>
        <n v="25"/>
        <n v="17"/>
        <n v="16"/>
        <n v="8"/>
        <n v="4"/>
        <n v="19"/>
        <n v="46"/>
        <n v="54"/>
        <n v="73"/>
        <n v="64"/>
        <n v="67"/>
        <n v="58"/>
        <n v="43"/>
        <n v="29"/>
        <n v="20"/>
        <n v="9"/>
        <n v="5"/>
        <n v="3"/>
        <n v="63"/>
        <n v="153"/>
        <n v="81"/>
        <n v="33"/>
        <n v="41"/>
        <n v="48"/>
        <n v="53"/>
        <n v="66"/>
        <n v="146"/>
        <n v="148"/>
        <n v="102"/>
        <n v="49"/>
        <n v="11"/>
        <n v="36"/>
        <n v="92"/>
        <n v="177"/>
        <n v="98"/>
        <n v="37"/>
        <n v="50"/>
        <n v="79"/>
        <n v="68"/>
        <n v="202"/>
        <n v="179"/>
        <n v="110"/>
        <n v="34"/>
        <n v="87"/>
        <n v="192"/>
        <n v="109"/>
        <n v="74"/>
        <n v="65"/>
        <n v="85"/>
        <n v="186"/>
        <n v="166"/>
        <n v="127"/>
        <n v="82"/>
        <n v="40"/>
        <n v="18"/>
        <n v="95"/>
        <n v="216"/>
        <n v="116"/>
        <n v="42"/>
        <n v="57"/>
        <n v="78"/>
        <n v="59"/>
        <n v="163"/>
        <n v="158"/>
        <n v="51"/>
        <n v="76"/>
        <n v="190"/>
        <n v="125"/>
        <n v="178"/>
        <n v="39"/>
        <n v="14"/>
        <n v="15"/>
        <n v="56"/>
        <n v="60"/>
        <n v="90"/>
        <n v="83"/>
        <n v="69"/>
        <n v="28"/>
        <n v="35"/>
        <n v="22"/>
        <n v="12"/>
        <n v="77"/>
        <n v="44"/>
        <n v="38"/>
        <n v="75"/>
        <n v="184"/>
        <n v="174"/>
        <n v="154"/>
        <n v="97"/>
        <n v="214"/>
        <n v="45"/>
        <n v="72"/>
        <n v="130"/>
        <n v="94"/>
        <n v="139"/>
        <n v="135"/>
        <n v="197"/>
        <n v="137"/>
        <n v="141"/>
        <n v="156"/>
        <n v="117"/>
        <n v="155"/>
        <n v="134"/>
        <n v="89"/>
        <n v="80"/>
        <n v="108"/>
        <n v="61"/>
        <n v="124"/>
        <n v="132"/>
        <n v="196"/>
        <n v="107"/>
        <n v="100"/>
        <n v="247"/>
        <n v="140"/>
        <n v="86"/>
        <n v="62"/>
        <n v="207"/>
        <n v="210"/>
        <n v="159"/>
        <n v="151"/>
        <n v="119"/>
        <n v="93"/>
        <n v="23"/>
        <n v="171"/>
        <n v="145"/>
        <n v="101"/>
        <n v="21"/>
        <n v="103"/>
        <n v="233"/>
        <n v="208"/>
        <n v="218"/>
        <n v="133"/>
        <n v="147"/>
        <n v="84"/>
        <n v="88"/>
        <n v="104"/>
        <n v="182"/>
        <n v="112"/>
        <n v="114"/>
        <n v="172"/>
        <n v="165"/>
        <n v="105"/>
        <n v="183"/>
        <n v="175"/>
        <n v="170"/>
        <n v="217"/>
        <n v="91"/>
        <n v="195"/>
        <n v="152"/>
        <n v="126"/>
        <n v="115"/>
        <n v="223"/>
        <n v="123"/>
        <n v="236"/>
        <n v="128"/>
        <n v="198"/>
        <n v="157"/>
        <n v="168"/>
        <n v="99"/>
        <n v="173"/>
        <n v="121"/>
        <n v="212"/>
        <n v="111"/>
        <n v="193"/>
        <n v="113"/>
        <n v="122"/>
        <n v="106"/>
        <n v="96"/>
      </sharedItems>
    </cacheField>
    <cacheField name="cnt" numFmtId="0">
      <sharedItems containsSemiMixedTypes="0" containsString="0" containsNumber="1" containsInteger="1" minValue="1" maxValue="249" count="191">
        <n v="16"/>
        <n v="40"/>
        <n v="32"/>
        <n v="13"/>
        <n v="1"/>
        <n v="2"/>
        <n v="3"/>
        <n v="8"/>
        <n v="14"/>
        <n v="36"/>
        <n v="56"/>
        <n v="84"/>
        <n v="94"/>
        <n v="106"/>
        <n v="110"/>
        <n v="93"/>
        <n v="67"/>
        <n v="35"/>
        <n v="37"/>
        <n v="34"/>
        <n v="28"/>
        <n v="39"/>
        <n v="17"/>
        <n v="9"/>
        <n v="6"/>
        <n v="20"/>
        <n v="53"/>
        <n v="70"/>
        <n v="75"/>
        <n v="59"/>
        <n v="74"/>
        <n v="76"/>
        <n v="65"/>
        <n v="30"/>
        <n v="22"/>
        <n v="31"/>
        <n v="5"/>
        <n v="64"/>
        <n v="154"/>
        <n v="88"/>
        <n v="44"/>
        <n v="51"/>
        <n v="61"/>
        <n v="77"/>
        <n v="72"/>
        <n v="157"/>
        <n v="52"/>
        <n v="12"/>
        <n v="4"/>
        <n v="179"/>
        <n v="100"/>
        <n v="42"/>
        <n v="57"/>
        <n v="78"/>
        <n v="97"/>
        <n v="63"/>
        <n v="83"/>
        <n v="212"/>
        <n v="182"/>
        <n v="112"/>
        <n v="54"/>
        <n v="48"/>
        <n v="11"/>
        <n v="33"/>
        <n v="195"/>
        <n v="115"/>
        <n v="46"/>
        <n v="79"/>
        <n v="71"/>
        <n v="62"/>
        <n v="89"/>
        <n v="190"/>
        <n v="169"/>
        <n v="132"/>
        <n v="43"/>
        <n v="19"/>
        <n v="95"/>
        <n v="219"/>
        <n v="122"/>
        <n v="45"/>
        <n v="86"/>
        <n v="172"/>
        <n v="163"/>
        <n v="69"/>
        <n v="23"/>
        <n v="7"/>
        <n v="210"/>
        <n v="134"/>
        <n v="73"/>
        <n v="50"/>
        <n v="87"/>
        <n v="187"/>
        <n v="123"/>
        <n v="15"/>
        <n v="25"/>
        <n v="98"/>
        <n v="102"/>
        <n v="55"/>
        <n v="10"/>
        <n v="49"/>
        <n v="82"/>
        <n v="92"/>
        <n v="41"/>
        <n v="38"/>
        <n v="188"/>
        <n v="47"/>
        <n v="178"/>
        <n v="155"/>
        <n v="24"/>
        <n v="18"/>
        <n v="27"/>
        <n v="99"/>
        <n v="217"/>
        <n v="130"/>
        <n v="136"/>
        <n v="29"/>
        <n v="128"/>
        <n v="81"/>
        <n v="68"/>
        <n v="139"/>
        <n v="137"/>
        <n v="202"/>
        <n v="60"/>
        <n v="162"/>
        <n v="144"/>
        <n v="158"/>
        <n v="117"/>
        <n v="90"/>
        <n v="159"/>
        <n v="101"/>
        <n v="118"/>
        <n v="129"/>
        <n v="26"/>
        <n v="104"/>
        <n v="91"/>
        <n v="113"/>
        <n v="105"/>
        <n v="21"/>
        <n v="80"/>
        <n v="125"/>
        <n v="133"/>
        <n v="197"/>
        <n v="109"/>
        <n v="161"/>
        <n v="249"/>
        <n v="143"/>
        <n v="215"/>
        <n v="185"/>
        <n v="152"/>
        <n v="126"/>
        <n v="166"/>
        <n v="120"/>
        <n v="96"/>
        <n v="103"/>
        <n v="58"/>
        <n v="116"/>
        <n v="177"/>
        <n v="184"/>
        <n v="153"/>
        <n v="108"/>
        <n v="238"/>
        <n v="222"/>
        <n v="225"/>
        <n v="146"/>
        <n v="119"/>
        <n v="149"/>
        <n v="107"/>
        <n v="156"/>
        <n v="111"/>
        <n v="135"/>
        <n v="176"/>
        <n v="168"/>
        <n v="175"/>
        <n v="147"/>
        <n v="220"/>
        <n v="127"/>
        <n v="205"/>
        <n v="174"/>
        <n v="121"/>
        <n v="230"/>
        <n v="66"/>
        <n v="114"/>
        <n v="216"/>
        <n v="243"/>
        <n v="199"/>
        <n v="170"/>
        <n v="165"/>
        <n v="160"/>
        <n v="140"/>
        <n v="211"/>
        <n v="145"/>
      </sharedItems>
    </cacheField>
    <cacheField name="Months" numFmtId="0" databaseField="0">
      <fieldGroup base="1">
        <rangePr groupBy="months" startDate="2011-01-01T00:00:00" endDate="2011-02-15T00:00:00"/>
        <groupItems count="14">
          <s v="&lt;01/01/2011"/>
          <s v="Jan"/>
          <s v="Feb"/>
          <s v="Mar"/>
          <s v="Apr"/>
          <s v="May"/>
          <s v="Jun"/>
          <s v="Jul"/>
          <s v="Aug"/>
          <s v="Sep"/>
          <s v="Oct"/>
          <s v="Nov"/>
          <s v="Dec"/>
          <s v="&gt;15/02/2011"/>
        </groupItems>
      </fieldGroup>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1000">
  <r>
    <n v="1"/>
    <x v="0"/>
    <x v="0"/>
    <x v="0"/>
    <x v="0"/>
    <x v="0"/>
    <x v="0"/>
    <x v="0"/>
    <x v="0"/>
    <x v="0"/>
    <x v="0"/>
    <x v="0"/>
    <x v="0"/>
    <x v="0"/>
    <x v="0"/>
    <x v="0"/>
  </r>
  <r>
    <n v="2"/>
    <x v="0"/>
    <x v="1"/>
    <x v="0"/>
    <x v="0"/>
    <x v="0"/>
    <x v="0"/>
    <x v="0"/>
    <x v="0"/>
    <x v="1"/>
    <x v="1"/>
    <x v="1"/>
    <x v="0"/>
    <x v="1"/>
    <x v="1"/>
    <x v="1"/>
  </r>
  <r>
    <n v="3"/>
    <x v="0"/>
    <x v="2"/>
    <x v="0"/>
    <x v="0"/>
    <x v="0"/>
    <x v="0"/>
    <x v="0"/>
    <x v="0"/>
    <x v="1"/>
    <x v="1"/>
    <x v="1"/>
    <x v="0"/>
    <x v="2"/>
    <x v="2"/>
    <x v="2"/>
  </r>
  <r>
    <n v="4"/>
    <x v="0"/>
    <x v="3"/>
    <x v="0"/>
    <x v="0"/>
    <x v="0"/>
    <x v="0"/>
    <x v="0"/>
    <x v="0"/>
    <x v="0"/>
    <x v="0"/>
    <x v="2"/>
    <x v="0"/>
    <x v="0"/>
    <x v="3"/>
    <x v="3"/>
  </r>
  <r>
    <n v="5"/>
    <x v="0"/>
    <x v="4"/>
    <x v="0"/>
    <x v="0"/>
    <x v="0"/>
    <x v="0"/>
    <x v="0"/>
    <x v="0"/>
    <x v="0"/>
    <x v="0"/>
    <x v="2"/>
    <x v="0"/>
    <x v="3"/>
    <x v="4"/>
    <x v="4"/>
  </r>
  <r>
    <n v="6"/>
    <x v="0"/>
    <x v="5"/>
    <x v="0"/>
    <x v="0"/>
    <x v="0"/>
    <x v="0"/>
    <x v="1"/>
    <x v="1"/>
    <x v="0"/>
    <x v="2"/>
    <x v="2"/>
    <x v="1"/>
    <x v="3"/>
    <x v="4"/>
    <x v="4"/>
  </r>
  <r>
    <n v="7"/>
    <x v="0"/>
    <x v="6"/>
    <x v="0"/>
    <x v="0"/>
    <x v="0"/>
    <x v="0"/>
    <x v="0"/>
    <x v="0"/>
    <x v="1"/>
    <x v="1"/>
    <x v="1"/>
    <x v="0"/>
    <x v="4"/>
    <x v="5"/>
    <x v="5"/>
  </r>
  <r>
    <n v="8"/>
    <x v="0"/>
    <x v="7"/>
    <x v="0"/>
    <x v="0"/>
    <x v="0"/>
    <x v="0"/>
    <x v="0"/>
    <x v="0"/>
    <x v="2"/>
    <x v="2"/>
    <x v="3"/>
    <x v="0"/>
    <x v="5"/>
    <x v="6"/>
    <x v="6"/>
  </r>
  <r>
    <n v="9"/>
    <x v="0"/>
    <x v="8"/>
    <x v="0"/>
    <x v="0"/>
    <x v="0"/>
    <x v="0"/>
    <x v="0"/>
    <x v="0"/>
    <x v="0"/>
    <x v="3"/>
    <x v="2"/>
    <x v="0"/>
    <x v="5"/>
    <x v="7"/>
    <x v="7"/>
  </r>
  <r>
    <n v="10"/>
    <x v="0"/>
    <x v="9"/>
    <x v="0"/>
    <x v="0"/>
    <x v="0"/>
    <x v="0"/>
    <x v="0"/>
    <x v="0"/>
    <x v="3"/>
    <x v="4"/>
    <x v="4"/>
    <x v="0"/>
    <x v="1"/>
    <x v="8"/>
    <x v="8"/>
  </r>
  <r>
    <n v="11"/>
    <x v="0"/>
    <x v="10"/>
    <x v="0"/>
    <x v="0"/>
    <x v="0"/>
    <x v="0"/>
    <x v="0"/>
    <x v="0"/>
    <x v="4"/>
    <x v="5"/>
    <x v="4"/>
    <x v="2"/>
    <x v="6"/>
    <x v="9"/>
    <x v="9"/>
  </r>
  <r>
    <n v="12"/>
    <x v="0"/>
    <x v="11"/>
    <x v="0"/>
    <x v="0"/>
    <x v="0"/>
    <x v="0"/>
    <x v="0"/>
    <x v="0"/>
    <x v="5"/>
    <x v="6"/>
    <x v="0"/>
    <x v="3"/>
    <x v="7"/>
    <x v="10"/>
    <x v="10"/>
  </r>
  <r>
    <n v="13"/>
    <x v="0"/>
    <x v="12"/>
    <x v="0"/>
    <x v="0"/>
    <x v="0"/>
    <x v="0"/>
    <x v="0"/>
    <x v="0"/>
    <x v="6"/>
    <x v="7"/>
    <x v="5"/>
    <x v="3"/>
    <x v="8"/>
    <x v="11"/>
    <x v="11"/>
  </r>
  <r>
    <n v="14"/>
    <x v="0"/>
    <x v="13"/>
    <x v="0"/>
    <x v="0"/>
    <x v="0"/>
    <x v="0"/>
    <x v="1"/>
    <x v="1"/>
    <x v="7"/>
    <x v="8"/>
    <x v="6"/>
    <x v="4"/>
    <x v="9"/>
    <x v="12"/>
    <x v="12"/>
  </r>
  <r>
    <n v="15"/>
    <x v="0"/>
    <x v="14"/>
    <x v="0"/>
    <x v="0"/>
    <x v="0"/>
    <x v="0"/>
    <x v="1"/>
    <x v="1"/>
    <x v="7"/>
    <x v="8"/>
    <x v="6"/>
    <x v="3"/>
    <x v="10"/>
    <x v="13"/>
    <x v="13"/>
  </r>
  <r>
    <n v="16"/>
    <x v="0"/>
    <x v="15"/>
    <x v="0"/>
    <x v="0"/>
    <x v="0"/>
    <x v="0"/>
    <x v="1"/>
    <x v="1"/>
    <x v="8"/>
    <x v="9"/>
    <x v="5"/>
    <x v="4"/>
    <x v="11"/>
    <x v="14"/>
    <x v="14"/>
  </r>
  <r>
    <n v="17"/>
    <x v="0"/>
    <x v="16"/>
    <x v="0"/>
    <x v="0"/>
    <x v="0"/>
    <x v="0"/>
    <x v="1"/>
    <x v="1"/>
    <x v="6"/>
    <x v="7"/>
    <x v="7"/>
    <x v="4"/>
    <x v="12"/>
    <x v="15"/>
    <x v="15"/>
  </r>
  <r>
    <n v="18"/>
    <x v="0"/>
    <x v="17"/>
    <x v="0"/>
    <x v="0"/>
    <x v="0"/>
    <x v="0"/>
    <x v="1"/>
    <x v="1"/>
    <x v="8"/>
    <x v="3"/>
    <x v="7"/>
    <x v="3"/>
    <x v="13"/>
    <x v="15"/>
    <x v="16"/>
  </r>
  <r>
    <n v="19"/>
    <x v="0"/>
    <x v="18"/>
    <x v="0"/>
    <x v="0"/>
    <x v="0"/>
    <x v="0"/>
    <x v="2"/>
    <x v="2"/>
    <x v="6"/>
    <x v="7"/>
    <x v="8"/>
    <x v="2"/>
    <x v="14"/>
    <x v="16"/>
    <x v="17"/>
  </r>
  <r>
    <n v="20"/>
    <x v="0"/>
    <x v="19"/>
    <x v="0"/>
    <x v="0"/>
    <x v="0"/>
    <x v="0"/>
    <x v="2"/>
    <x v="2"/>
    <x v="6"/>
    <x v="7"/>
    <x v="8"/>
    <x v="2"/>
    <x v="15"/>
    <x v="17"/>
    <x v="18"/>
  </r>
  <r>
    <n v="21"/>
    <x v="0"/>
    <x v="20"/>
    <x v="0"/>
    <x v="0"/>
    <x v="0"/>
    <x v="0"/>
    <x v="1"/>
    <x v="1"/>
    <x v="9"/>
    <x v="10"/>
    <x v="9"/>
    <x v="2"/>
    <x v="16"/>
    <x v="18"/>
    <x v="9"/>
  </r>
  <r>
    <n v="22"/>
    <x v="0"/>
    <x v="21"/>
    <x v="0"/>
    <x v="0"/>
    <x v="0"/>
    <x v="0"/>
    <x v="1"/>
    <x v="1"/>
    <x v="9"/>
    <x v="10"/>
    <x v="9"/>
    <x v="5"/>
    <x v="0"/>
    <x v="17"/>
    <x v="19"/>
  </r>
  <r>
    <n v="23"/>
    <x v="0"/>
    <x v="22"/>
    <x v="0"/>
    <x v="0"/>
    <x v="0"/>
    <x v="0"/>
    <x v="1"/>
    <x v="1"/>
    <x v="9"/>
    <x v="10"/>
    <x v="10"/>
    <x v="6"/>
    <x v="16"/>
    <x v="19"/>
    <x v="20"/>
  </r>
  <r>
    <n v="24"/>
    <x v="0"/>
    <x v="23"/>
    <x v="0"/>
    <x v="0"/>
    <x v="0"/>
    <x v="0"/>
    <x v="1"/>
    <x v="1"/>
    <x v="7"/>
    <x v="3"/>
    <x v="8"/>
    <x v="4"/>
    <x v="13"/>
    <x v="9"/>
    <x v="21"/>
  </r>
  <r>
    <n v="25"/>
    <x v="1"/>
    <x v="0"/>
    <x v="0"/>
    <x v="0"/>
    <x v="1"/>
    <x v="1"/>
    <x v="1"/>
    <x v="1"/>
    <x v="7"/>
    <x v="8"/>
    <x v="8"/>
    <x v="4"/>
    <x v="17"/>
    <x v="0"/>
    <x v="22"/>
  </r>
  <r>
    <n v="26"/>
    <x v="1"/>
    <x v="1"/>
    <x v="0"/>
    <x v="0"/>
    <x v="1"/>
    <x v="1"/>
    <x v="1"/>
    <x v="1"/>
    <x v="8"/>
    <x v="9"/>
    <x v="10"/>
    <x v="2"/>
    <x v="5"/>
    <x v="20"/>
    <x v="22"/>
  </r>
  <r>
    <n v="27"/>
    <x v="1"/>
    <x v="2"/>
    <x v="0"/>
    <x v="0"/>
    <x v="1"/>
    <x v="1"/>
    <x v="1"/>
    <x v="1"/>
    <x v="6"/>
    <x v="7"/>
    <x v="11"/>
    <x v="3"/>
    <x v="5"/>
    <x v="21"/>
    <x v="23"/>
  </r>
  <r>
    <n v="28"/>
    <x v="1"/>
    <x v="3"/>
    <x v="0"/>
    <x v="0"/>
    <x v="1"/>
    <x v="1"/>
    <x v="1"/>
    <x v="1"/>
    <x v="7"/>
    <x v="8"/>
    <x v="10"/>
    <x v="5"/>
    <x v="4"/>
    <x v="22"/>
    <x v="24"/>
  </r>
  <r>
    <n v="29"/>
    <x v="1"/>
    <x v="4"/>
    <x v="0"/>
    <x v="0"/>
    <x v="1"/>
    <x v="1"/>
    <x v="1"/>
    <x v="1"/>
    <x v="7"/>
    <x v="3"/>
    <x v="10"/>
    <x v="5"/>
    <x v="4"/>
    <x v="4"/>
    <x v="6"/>
  </r>
  <r>
    <n v="30"/>
    <x v="1"/>
    <x v="6"/>
    <x v="0"/>
    <x v="0"/>
    <x v="1"/>
    <x v="1"/>
    <x v="2"/>
    <x v="2"/>
    <x v="6"/>
    <x v="7"/>
    <x v="5"/>
    <x v="4"/>
    <x v="3"/>
    <x v="6"/>
    <x v="5"/>
  </r>
  <r>
    <n v="31"/>
    <x v="1"/>
    <x v="7"/>
    <x v="0"/>
    <x v="0"/>
    <x v="1"/>
    <x v="1"/>
    <x v="1"/>
    <x v="1"/>
    <x v="9"/>
    <x v="10"/>
    <x v="4"/>
    <x v="5"/>
    <x v="3"/>
    <x v="4"/>
    <x v="4"/>
  </r>
  <r>
    <n v="32"/>
    <x v="1"/>
    <x v="8"/>
    <x v="0"/>
    <x v="0"/>
    <x v="1"/>
    <x v="1"/>
    <x v="2"/>
    <x v="2"/>
    <x v="9"/>
    <x v="10"/>
    <x v="12"/>
    <x v="6"/>
    <x v="3"/>
    <x v="21"/>
    <x v="7"/>
  </r>
  <r>
    <n v="33"/>
    <x v="1"/>
    <x v="9"/>
    <x v="0"/>
    <x v="0"/>
    <x v="1"/>
    <x v="1"/>
    <x v="1"/>
    <x v="1"/>
    <x v="4"/>
    <x v="3"/>
    <x v="4"/>
    <x v="6"/>
    <x v="5"/>
    <x v="23"/>
    <x v="25"/>
  </r>
  <r>
    <n v="34"/>
    <x v="1"/>
    <x v="10"/>
    <x v="0"/>
    <x v="0"/>
    <x v="1"/>
    <x v="1"/>
    <x v="1"/>
    <x v="1"/>
    <x v="5"/>
    <x v="4"/>
    <x v="0"/>
    <x v="6"/>
    <x v="18"/>
    <x v="24"/>
    <x v="26"/>
  </r>
  <r>
    <n v="35"/>
    <x v="1"/>
    <x v="11"/>
    <x v="0"/>
    <x v="0"/>
    <x v="1"/>
    <x v="1"/>
    <x v="1"/>
    <x v="1"/>
    <x v="5"/>
    <x v="6"/>
    <x v="12"/>
    <x v="2"/>
    <x v="19"/>
    <x v="25"/>
    <x v="27"/>
  </r>
  <r>
    <n v="36"/>
    <x v="1"/>
    <x v="12"/>
    <x v="0"/>
    <x v="0"/>
    <x v="1"/>
    <x v="1"/>
    <x v="1"/>
    <x v="1"/>
    <x v="5"/>
    <x v="6"/>
    <x v="13"/>
    <x v="4"/>
    <x v="20"/>
    <x v="26"/>
    <x v="15"/>
  </r>
  <r>
    <n v="37"/>
    <x v="1"/>
    <x v="13"/>
    <x v="0"/>
    <x v="0"/>
    <x v="1"/>
    <x v="1"/>
    <x v="1"/>
    <x v="1"/>
    <x v="5"/>
    <x v="4"/>
    <x v="13"/>
    <x v="7"/>
    <x v="16"/>
    <x v="27"/>
    <x v="28"/>
  </r>
  <r>
    <n v="38"/>
    <x v="1"/>
    <x v="14"/>
    <x v="0"/>
    <x v="0"/>
    <x v="1"/>
    <x v="1"/>
    <x v="2"/>
    <x v="2"/>
    <x v="5"/>
    <x v="3"/>
    <x v="4"/>
    <x v="5"/>
    <x v="17"/>
    <x v="11"/>
    <x v="29"/>
  </r>
  <r>
    <n v="39"/>
    <x v="1"/>
    <x v="15"/>
    <x v="0"/>
    <x v="0"/>
    <x v="1"/>
    <x v="1"/>
    <x v="2"/>
    <x v="2"/>
    <x v="10"/>
    <x v="6"/>
    <x v="0"/>
    <x v="8"/>
    <x v="21"/>
    <x v="11"/>
    <x v="30"/>
  </r>
  <r>
    <n v="40"/>
    <x v="1"/>
    <x v="16"/>
    <x v="0"/>
    <x v="0"/>
    <x v="1"/>
    <x v="1"/>
    <x v="2"/>
    <x v="2"/>
    <x v="10"/>
    <x v="6"/>
    <x v="12"/>
    <x v="8"/>
    <x v="14"/>
    <x v="28"/>
    <x v="31"/>
  </r>
  <r>
    <n v="41"/>
    <x v="1"/>
    <x v="17"/>
    <x v="0"/>
    <x v="0"/>
    <x v="1"/>
    <x v="1"/>
    <x v="0"/>
    <x v="0"/>
    <x v="10"/>
    <x v="6"/>
    <x v="14"/>
    <x v="5"/>
    <x v="18"/>
    <x v="29"/>
    <x v="32"/>
  </r>
  <r>
    <n v="42"/>
    <x v="1"/>
    <x v="18"/>
    <x v="0"/>
    <x v="0"/>
    <x v="1"/>
    <x v="1"/>
    <x v="1"/>
    <x v="1"/>
    <x v="5"/>
    <x v="6"/>
    <x v="15"/>
    <x v="9"/>
    <x v="22"/>
    <x v="30"/>
    <x v="26"/>
  </r>
  <r>
    <n v="43"/>
    <x v="1"/>
    <x v="19"/>
    <x v="0"/>
    <x v="0"/>
    <x v="1"/>
    <x v="1"/>
    <x v="0"/>
    <x v="0"/>
    <x v="3"/>
    <x v="0"/>
    <x v="16"/>
    <x v="10"/>
    <x v="5"/>
    <x v="31"/>
    <x v="33"/>
  </r>
  <r>
    <n v="44"/>
    <x v="1"/>
    <x v="20"/>
    <x v="0"/>
    <x v="0"/>
    <x v="1"/>
    <x v="1"/>
    <x v="0"/>
    <x v="0"/>
    <x v="11"/>
    <x v="3"/>
    <x v="17"/>
    <x v="11"/>
    <x v="2"/>
    <x v="19"/>
    <x v="34"/>
  </r>
  <r>
    <n v="45"/>
    <x v="1"/>
    <x v="21"/>
    <x v="0"/>
    <x v="0"/>
    <x v="1"/>
    <x v="1"/>
    <x v="0"/>
    <x v="0"/>
    <x v="12"/>
    <x v="11"/>
    <x v="18"/>
    <x v="9"/>
    <x v="16"/>
    <x v="32"/>
    <x v="35"/>
  </r>
  <r>
    <n v="46"/>
    <x v="1"/>
    <x v="22"/>
    <x v="0"/>
    <x v="0"/>
    <x v="1"/>
    <x v="1"/>
    <x v="0"/>
    <x v="0"/>
    <x v="0"/>
    <x v="12"/>
    <x v="18"/>
    <x v="4"/>
    <x v="3"/>
    <x v="33"/>
    <x v="23"/>
  </r>
  <r>
    <n v="47"/>
    <x v="1"/>
    <x v="23"/>
    <x v="0"/>
    <x v="0"/>
    <x v="1"/>
    <x v="1"/>
    <x v="0"/>
    <x v="0"/>
    <x v="1"/>
    <x v="11"/>
    <x v="19"/>
    <x v="8"/>
    <x v="3"/>
    <x v="21"/>
    <x v="7"/>
  </r>
  <r>
    <n v="48"/>
    <x v="2"/>
    <x v="0"/>
    <x v="0"/>
    <x v="0"/>
    <x v="2"/>
    <x v="2"/>
    <x v="0"/>
    <x v="0"/>
    <x v="1"/>
    <x v="13"/>
    <x v="18"/>
    <x v="11"/>
    <x v="3"/>
    <x v="34"/>
    <x v="36"/>
  </r>
  <r>
    <n v="49"/>
    <x v="2"/>
    <x v="1"/>
    <x v="0"/>
    <x v="0"/>
    <x v="2"/>
    <x v="2"/>
    <x v="0"/>
    <x v="0"/>
    <x v="2"/>
    <x v="3"/>
    <x v="18"/>
    <x v="12"/>
    <x v="3"/>
    <x v="6"/>
    <x v="5"/>
  </r>
  <r>
    <n v="50"/>
    <x v="2"/>
    <x v="4"/>
    <x v="0"/>
    <x v="0"/>
    <x v="2"/>
    <x v="2"/>
    <x v="0"/>
    <x v="0"/>
    <x v="13"/>
    <x v="14"/>
    <x v="19"/>
    <x v="13"/>
    <x v="3"/>
    <x v="4"/>
    <x v="4"/>
  </r>
  <r>
    <n v="51"/>
    <x v="2"/>
    <x v="5"/>
    <x v="0"/>
    <x v="0"/>
    <x v="2"/>
    <x v="2"/>
    <x v="0"/>
    <x v="0"/>
    <x v="13"/>
    <x v="14"/>
    <x v="19"/>
    <x v="3"/>
    <x v="3"/>
    <x v="35"/>
    <x v="6"/>
  </r>
  <r>
    <n v="52"/>
    <x v="2"/>
    <x v="6"/>
    <x v="0"/>
    <x v="0"/>
    <x v="2"/>
    <x v="2"/>
    <x v="0"/>
    <x v="0"/>
    <x v="14"/>
    <x v="15"/>
    <x v="20"/>
    <x v="13"/>
    <x v="3"/>
    <x v="10"/>
    <x v="33"/>
  </r>
  <r>
    <n v="53"/>
    <x v="2"/>
    <x v="7"/>
    <x v="0"/>
    <x v="0"/>
    <x v="2"/>
    <x v="2"/>
    <x v="0"/>
    <x v="0"/>
    <x v="14"/>
    <x v="14"/>
    <x v="20"/>
    <x v="5"/>
    <x v="5"/>
    <x v="36"/>
    <x v="37"/>
  </r>
  <r>
    <n v="54"/>
    <x v="2"/>
    <x v="8"/>
    <x v="0"/>
    <x v="0"/>
    <x v="2"/>
    <x v="2"/>
    <x v="0"/>
    <x v="0"/>
    <x v="14"/>
    <x v="16"/>
    <x v="20"/>
    <x v="3"/>
    <x v="5"/>
    <x v="37"/>
    <x v="38"/>
  </r>
  <r>
    <n v="55"/>
    <x v="2"/>
    <x v="9"/>
    <x v="0"/>
    <x v="0"/>
    <x v="2"/>
    <x v="2"/>
    <x v="0"/>
    <x v="0"/>
    <x v="13"/>
    <x v="14"/>
    <x v="21"/>
    <x v="13"/>
    <x v="18"/>
    <x v="38"/>
    <x v="39"/>
  </r>
  <r>
    <n v="56"/>
    <x v="2"/>
    <x v="10"/>
    <x v="0"/>
    <x v="0"/>
    <x v="2"/>
    <x v="2"/>
    <x v="0"/>
    <x v="0"/>
    <x v="15"/>
    <x v="17"/>
    <x v="21"/>
    <x v="2"/>
    <x v="16"/>
    <x v="39"/>
    <x v="40"/>
  </r>
  <r>
    <n v="57"/>
    <x v="2"/>
    <x v="11"/>
    <x v="0"/>
    <x v="0"/>
    <x v="2"/>
    <x v="2"/>
    <x v="0"/>
    <x v="0"/>
    <x v="2"/>
    <x v="18"/>
    <x v="22"/>
    <x v="9"/>
    <x v="22"/>
    <x v="40"/>
    <x v="41"/>
  </r>
  <r>
    <n v="58"/>
    <x v="2"/>
    <x v="12"/>
    <x v="0"/>
    <x v="0"/>
    <x v="2"/>
    <x v="2"/>
    <x v="0"/>
    <x v="0"/>
    <x v="1"/>
    <x v="12"/>
    <x v="23"/>
    <x v="4"/>
    <x v="23"/>
    <x v="41"/>
    <x v="42"/>
  </r>
  <r>
    <n v="59"/>
    <x v="2"/>
    <x v="13"/>
    <x v="0"/>
    <x v="0"/>
    <x v="2"/>
    <x v="2"/>
    <x v="0"/>
    <x v="0"/>
    <x v="0"/>
    <x v="3"/>
    <x v="23"/>
    <x v="3"/>
    <x v="1"/>
    <x v="42"/>
    <x v="42"/>
  </r>
  <r>
    <n v="60"/>
    <x v="2"/>
    <x v="14"/>
    <x v="0"/>
    <x v="0"/>
    <x v="2"/>
    <x v="2"/>
    <x v="0"/>
    <x v="0"/>
    <x v="12"/>
    <x v="19"/>
    <x v="24"/>
    <x v="3"/>
    <x v="16"/>
    <x v="43"/>
    <x v="43"/>
  </r>
  <r>
    <n v="61"/>
    <x v="2"/>
    <x v="15"/>
    <x v="0"/>
    <x v="0"/>
    <x v="2"/>
    <x v="2"/>
    <x v="0"/>
    <x v="0"/>
    <x v="12"/>
    <x v="19"/>
    <x v="24"/>
    <x v="2"/>
    <x v="24"/>
    <x v="29"/>
    <x v="44"/>
  </r>
  <r>
    <n v="62"/>
    <x v="2"/>
    <x v="16"/>
    <x v="0"/>
    <x v="0"/>
    <x v="2"/>
    <x v="2"/>
    <x v="0"/>
    <x v="0"/>
    <x v="12"/>
    <x v="19"/>
    <x v="24"/>
    <x v="2"/>
    <x v="14"/>
    <x v="28"/>
    <x v="31"/>
  </r>
  <r>
    <n v="63"/>
    <x v="2"/>
    <x v="17"/>
    <x v="0"/>
    <x v="0"/>
    <x v="2"/>
    <x v="2"/>
    <x v="0"/>
    <x v="0"/>
    <x v="0"/>
    <x v="11"/>
    <x v="24"/>
    <x v="6"/>
    <x v="16"/>
    <x v="44"/>
    <x v="45"/>
  </r>
  <r>
    <n v="64"/>
    <x v="2"/>
    <x v="18"/>
    <x v="0"/>
    <x v="0"/>
    <x v="2"/>
    <x v="2"/>
    <x v="0"/>
    <x v="0"/>
    <x v="0"/>
    <x v="2"/>
    <x v="25"/>
    <x v="14"/>
    <x v="14"/>
    <x v="45"/>
    <x v="45"/>
  </r>
  <r>
    <n v="65"/>
    <x v="2"/>
    <x v="19"/>
    <x v="0"/>
    <x v="0"/>
    <x v="2"/>
    <x v="2"/>
    <x v="0"/>
    <x v="0"/>
    <x v="2"/>
    <x v="2"/>
    <x v="19"/>
    <x v="0"/>
    <x v="1"/>
    <x v="46"/>
    <x v="14"/>
  </r>
  <r>
    <n v="66"/>
    <x v="2"/>
    <x v="20"/>
    <x v="0"/>
    <x v="0"/>
    <x v="2"/>
    <x v="2"/>
    <x v="0"/>
    <x v="0"/>
    <x v="2"/>
    <x v="3"/>
    <x v="19"/>
    <x v="14"/>
    <x v="0"/>
    <x v="47"/>
    <x v="46"/>
  </r>
  <r>
    <n v="67"/>
    <x v="2"/>
    <x v="21"/>
    <x v="0"/>
    <x v="0"/>
    <x v="2"/>
    <x v="2"/>
    <x v="0"/>
    <x v="0"/>
    <x v="15"/>
    <x v="13"/>
    <x v="26"/>
    <x v="7"/>
    <x v="0"/>
    <x v="47"/>
    <x v="46"/>
  </r>
  <r>
    <n v="68"/>
    <x v="2"/>
    <x v="22"/>
    <x v="0"/>
    <x v="0"/>
    <x v="2"/>
    <x v="2"/>
    <x v="0"/>
    <x v="0"/>
    <x v="14"/>
    <x v="20"/>
    <x v="27"/>
    <x v="7"/>
    <x v="3"/>
    <x v="32"/>
    <x v="25"/>
  </r>
  <r>
    <n v="69"/>
    <x v="2"/>
    <x v="23"/>
    <x v="0"/>
    <x v="0"/>
    <x v="2"/>
    <x v="2"/>
    <x v="0"/>
    <x v="0"/>
    <x v="15"/>
    <x v="12"/>
    <x v="28"/>
    <x v="14"/>
    <x v="5"/>
    <x v="48"/>
    <x v="47"/>
  </r>
  <r>
    <n v="70"/>
    <x v="3"/>
    <x v="0"/>
    <x v="0"/>
    <x v="0"/>
    <x v="3"/>
    <x v="3"/>
    <x v="0"/>
    <x v="0"/>
    <x v="13"/>
    <x v="3"/>
    <x v="28"/>
    <x v="14"/>
    <x v="3"/>
    <x v="34"/>
    <x v="36"/>
  </r>
  <r>
    <n v="71"/>
    <x v="3"/>
    <x v="1"/>
    <x v="0"/>
    <x v="0"/>
    <x v="3"/>
    <x v="3"/>
    <x v="0"/>
    <x v="0"/>
    <x v="13"/>
    <x v="18"/>
    <x v="29"/>
    <x v="14"/>
    <x v="3"/>
    <x v="6"/>
    <x v="5"/>
  </r>
  <r>
    <n v="72"/>
    <x v="3"/>
    <x v="2"/>
    <x v="0"/>
    <x v="0"/>
    <x v="3"/>
    <x v="3"/>
    <x v="0"/>
    <x v="0"/>
    <x v="14"/>
    <x v="20"/>
    <x v="30"/>
    <x v="7"/>
    <x v="3"/>
    <x v="4"/>
    <x v="4"/>
  </r>
  <r>
    <n v="73"/>
    <x v="3"/>
    <x v="4"/>
    <x v="0"/>
    <x v="0"/>
    <x v="3"/>
    <x v="3"/>
    <x v="0"/>
    <x v="0"/>
    <x v="14"/>
    <x v="18"/>
    <x v="30"/>
    <x v="1"/>
    <x v="3"/>
    <x v="6"/>
    <x v="5"/>
  </r>
  <r>
    <n v="74"/>
    <x v="3"/>
    <x v="5"/>
    <x v="0"/>
    <x v="0"/>
    <x v="3"/>
    <x v="3"/>
    <x v="0"/>
    <x v="0"/>
    <x v="16"/>
    <x v="20"/>
    <x v="31"/>
    <x v="14"/>
    <x v="3"/>
    <x v="22"/>
    <x v="48"/>
  </r>
  <r>
    <n v="75"/>
    <x v="3"/>
    <x v="6"/>
    <x v="0"/>
    <x v="0"/>
    <x v="3"/>
    <x v="3"/>
    <x v="0"/>
    <x v="0"/>
    <x v="16"/>
    <x v="20"/>
    <x v="32"/>
    <x v="14"/>
    <x v="3"/>
    <x v="49"/>
    <x v="9"/>
  </r>
  <r>
    <n v="76"/>
    <x v="3"/>
    <x v="7"/>
    <x v="0"/>
    <x v="0"/>
    <x v="3"/>
    <x v="3"/>
    <x v="0"/>
    <x v="0"/>
    <x v="16"/>
    <x v="20"/>
    <x v="32"/>
    <x v="7"/>
    <x v="4"/>
    <x v="50"/>
    <x v="12"/>
  </r>
  <r>
    <n v="77"/>
    <x v="3"/>
    <x v="8"/>
    <x v="0"/>
    <x v="0"/>
    <x v="3"/>
    <x v="3"/>
    <x v="0"/>
    <x v="0"/>
    <x v="14"/>
    <x v="20"/>
    <x v="27"/>
    <x v="8"/>
    <x v="4"/>
    <x v="51"/>
    <x v="49"/>
  </r>
  <r>
    <n v="78"/>
    <x v="3"/>
    <x v="9"/>
    <x v="0"/>
    <x v="0"/>
    <x v="3"/>
    <x v="3"/>
    <x v="0"/>
    <x v="0"/>
    <x v="13"/>
    <x v="20"/>
    <x v="26"/>
    <x v="6"/>
    <x v="4"/>
    <x v="52"/>
    <x v="50"/>
  </r>
  <r>
    <n v="79"/>
    <x v="3"/>
    <x v="10"/>
    <x v="0"/>
    <x v="0"/>
    <x v="3"/>
    <x v="3"/>
    <x v="1"/>
    <x v="1"/>
    <x v="13"/>
    <x v="14"/>
    <x v="27"/>
    <x v="9"/>
    <x v="2"/>
    <x v="53"/>
    <x v="51"/>
  </r>
  <r>
    <n v="80"/>
    <x v="3"/>
    <x v="11"/>
    <x v="0"/>
    <x v="0"/>
    <x v="3"/>
    <x v="3"/>
    <x v="0"/>
    <x v="0"/>
    <x v="1"/>
    <x v="12"/>
    <x v="33"/>
    <x v="4"/>
    <x v="18"/>
    <x v="54"/>
    <x v="52"/>
  </r>
  <r>
    <n v="81"/>
    <x v="3"/>
    <x v="12"/>
    <x v="0"/>
    <x v="0"/>
    <x v="3"/>
    <x v="3"/>
    <x v="0"/>
    <x v="0"/>
    <x v="1"/>
    <x v="11"/>
    <x v="33"/>
    <x v="8"/>
    <x v="6"/>
    <x v="43"/>
    <x v="53"/>
  </r>
  <r>
    <n v="82"/>
    <x v="3"/>
    <x v="13"/>
    <x v="0"/>
    <x v="0"/>
    <x v="3"/>
    <x v="3"/>
    <x v="0"/>
    <x v="0"/>
    <x v="0"/>
    <x v="11"/>
    <x v="34"/>
    <x v="5"/>
    <x v="25"/>
    <x v="55"/>
    <x v="54"/>
  </r>
  <r>
    <n v="83"/>
    <x v="3"/>
    <x v="14"/>
    <x v="0"/>
    <x v="0"/>
    <x v="3"/>
    <x v="3"/>
    <x v="0"/>
    <x v="0"/>
    <x v="12"/>
    <x v="2"/>
    <x v="35"/>
    <x v="6"/>
    <x v="14"/>
    <x v="25"/>
    <x v="55"/>
  </r>
  <r>
    <n v="84"/>
    <x v="3"/>
    <x v="15"/>
    <x v="0"/>
    <x v="0"/>
    <x v="3"/>
    <x v="3"/>
    <x v="0"/>
    <x v="0"/>
    <x v="17"/>
    <x v="1"/>
    <x v="35"/>
    <x v="2"/>
    <x v="26"/>
    <x v="41"/>
    <x v="32"/>
  </r>
  <r>
    <n v="85"/>
    <x v="3"/>
    <x v="16"/>
    <x v="0"/>
    <x v="0"/>
    <x v="3"/>
    <x v="3"/>
    <x v="0"/>
    <x v="0"/>
    <x v="11"/>
    <x v="0"/>
    <x v="36"/>
    <x v="2"/>
    <x v="13"/>
    <x v="56"/>
    <x v="56"/>
  </r>
  <r>
    <n v="86"/>
    <x v="3"/>
    <x v="17"/>
    <x v="0"/>
    <x v="0"/>
    <x v="3"/>
    <x v="3"/>
    <x v="0"/>
    <x v="0"/>
    <x v="17"/>
    <x v="1"/>
    <x v="37"/>
    <x v="6"/>
    <x v="22"/>
    <x v="57"/>
    <x v="57"/>
  </r>
  <r>
    <n v="87"/>
    <x v="3"/>
    <x v="18"/>
    <x v="0"/>
    <x v="0"/>
    <x v="3"/>
    <x v="3"/>
    <x v="0"/>
    <x v="0"/>
    <x v="12"/>
    <x v="2"/>
    <x v="37"/>
    <x v="5"/>
    <x v="0"/>
    <x v="58"/>
    <x v="58"/>
  </r>
  <r>
    <n v="88"/>
    <x v="3"/>
    <x v="19"/>
    <x v="0"/>
    <x v="0"/>
    <x v="3"/>
    <x v="3"/>
    <x v="0"/>
    <x v="0"/>
    <x v="0"/>
    <x v="2"/>
    <x v="37"/>
    <x v="14"/>
    <x v="4"/>
    <x v="59"/>
    <x v="59"/>
  </r>
  <r>
    <n v="89"/>
    <x v="3"/>
    <x v="20"/>
    <x v="0"/>
    <x v="0"/>
    <x v="3"/>
    <x v="3"/>
    <x v="0"/>
    <x v="0"/>
    <x v="0"/>
    <x v="2"/>
    <x v="37"/>
    <x v="14"/>
    <x v="5"/>
    <x v="42"/>
    <x v="60"/>
  </r>
  <r>
    <n v="90"/>
    <x v="3"/>
    <x v="21"/>
    <x v="0"/>
    <x v="0"/>
    <x v="3"/>
    <x v="3"/>
    <x v="0"/>
    <x v="0"/>
    <x v="1"/>
    <x v="1"/>
    <x v="26"/>
    <x v="0"/>
    <x v="3"/>
    <x v="41"/>
    <x v="61"/>
  </r>
  <r>
    <n v="91"/>
    <x v="3"/>
    <x v="22"/>
    <x v="0"/>
    <x v="0"/>
    <x v="3"/>
    <x v="3"/>
    <x v="0"/>
    <x v="0"/>
    <x v="1"/>
    <x v="2"/>
    <x v="26"/>
    <x v="1"/>
    <x v="5"/>
    <x v="60"/>
    <x v="17"/>
  </r>
  <r>
    <n v="92"/>
    <x v="3"/>
    <x v="23"/>
    <x v="0"/>
    <x v="0"/>
    <x v="3"/>
    <x v="3"/>
    <x v="0"/>
    <x v="0"/>
    <x v="2"/>
    <x v="11"/>
    <x v="27"/>
    <x v="1"/>
    <x v="4"/>
    <x v="33"/>
    <x v="62"/>
  </r>
  <r>
    <n v="93"/>
    <x v="4"/>
    <x v="0"/>
    <x v="0"/>
    <x v="0"/>
    <x v="4"/>
    <x v="4"/>
    <x v="0"/>
    <x v="0"/>
    <x v="2"/>
    <x v="2"/>
    <x v="26"/>
    <x v="0"/>
    <x v="3"/>
    <x v="8"/>
    <x v="24"/>
  </r>
  <r>
    <n v="94"/>
    <x v="4"/>
    <x v="1"/>
    <x v="0"/>
    <x v="0"/>
    <x v="4"/>
    <x v="4"/>
    <x v="0"/>
    <x v="0"/>
    <x v="13"/>
    <x v="13"/>
    <x v="32"/>
    <x v="1"/>
    <x v="3"/>
    <x v="8"/>
    <x v="24"/>
  </r>
  <r>
    <n v="95"/>
    <x v="4"/>
    <x v="2"/>
    <x v="0"/>
    <x v="0"/>
    <x v="4"/>
    <x v="4"/>
    <x v="0"/>
    <x v="0"/>
    <x v="13"/>
    <x v="13"/>
    <x v="32"/>
    <x v="1"/>
    <x v="3"/>
    <x v="6"/>
    <x v="5"/>
  </r>
  <r>
    <n v="96"/>
    <x v="4"/>
    <x v="4"/>
    <x v="0"/>
    <x v="0"/>
    <x v="4"/>
    <x v="4"/>
    <x v="0"/>
    <x v="0"/>
    <x v="0"/>
    <x v="11"/>
    <x v="37"/>
    <x v="6"/>
    <x v="3"/>
    <x v="6"/>
    <x v="5"/>
  </r>
  <r>
    <n v="97"/>
    <x v="4"/>
    <x v="5"/>
    <x v="0"/>
    <x v="0"/>
    <x v="4"/>
    <x v="4"/>
    <x v="0"/>
    <x v="0"/>
    <x v="1"/>
    <x v="11"/>
    <x v="19"/>
    <x v="8"/>
    <x v="3"/>
    <x v="35"/>
    <x v="6"/>
  </r>
  <r>
    <n v="98"/>
    <x v="4"/>
    <x v="6"/>
    <x v="0"/>
    <x v="0"/>
    <x v="4"/>
    <x v="4"/>
    <x v="0"/>
    <x v="0"/>
    <x v="2"/>
    <x v="13"/>
    <x v="19"/>
    <x v="6"/>
    <x v="3"/>
    <x v="39"/>
    <x v="63"/>
  </r>
  <r>
    <n v="99"/>
    <x v="4"/>
    <x v="7"/>
    <x v="0"/>
    <x v="0"/>
    <x v="4"/>
    <x v="4"/>
    <x v="0"/>
    <x v="0"/>
    <x v="15"/>
    <x v="18"/>
    <x v="21"/>
    <x v="5"/>
    <x v="5"/>
    <x v="61"/>
    <x v="39"/>
  </r>
  <r>
    <n v="100"/>
    <x v="4"/>
    <x v="8"/>
    <x v="0"/>
    <x v="0"/>
    <x v="4"/>
    <x v="4"/>
    <x v="0"/>
    <x v="0"/>
    <x v="2"/>
    <x v="18"/>
    <x v="22"/>
    <x v="4"/>
    <x v="0"/>
    <x v="62"/>
    <x v="64"/>
  </r>
  <r>
    <n v="101"/>
    <x v="4"/>
    <x v="9"/>
    <x v="0"/>
    <x v="0"/>
    <x v="4"/>
    <x v="4"/>
    <x v="0"/>
    <x v="0"/>
    <x v="1"/>
    <x v="13"/>
    <x v="38"/>
    <x v="9"/>
    <x v="15"/>
    <x v="63"/>
    <x v="65"/>
  </r>
  <r>
    <n v="102"/>
    <x v="4"/>
    <x v="10"/>
    <x v="0"/>
    <x v="0"/>
    <x v="4"/>
    <x v="4"/>
    <x v="0"/>
    <x v="0"/>
    <x v="1"/>
    <x v="13"/>
    <x v="38"/>
    <x v="9"/>
    <x v="17"/>
    <x v="42"/>
    <x v="52"/>
  </r>
  <r>
    <n v="103"/>
    <x v="4"/>
    <x v="11"/>
    <x v="0"/>
    <x v="0"/>
    <x v="4"/>
    <x v="4"/>
    <x v="0"/>
    <x v="0"/>
    <x v="12"/>
    <x v="11"/>
    <x v="39"/>
    <x v="9"/>
    <x v="6"/>
    <x v="60"/>
    <x v="66"/>
  </r>
  <r>
    <n v="104"/>
    <x v="4"/>
    <x v="12"/>
    <x v="0"/>
    <x v="0"/>
    <x v="4"/>
    <x v="4"/>
    <x v="0"/>
    <x v="0"/>
    <x v="12"/>
    <x v="11"/>
    <x v="39"/>
    <x v="9"/>
    <x v="2"/>
    <x v="64"/>
    <x v="67"/>
  </r>
  <r>
    <n v="105"/>
    <x v="4"/>
    <x v="13"/>
    <x v="0"/>
    <x v="0"/>
    <x v="4"/>
    <x v="4"/>
    <x v="0"/>
    <x v="0"/>
    <x v="17"/>
    <x v="2"/>
    <x v="24"/>
    <x v="4"/>
    <x v="15"/>
    <x v="65"/>
    <x v="68"/>
  </r>
  <r>
    <n v="106"/>
    <x v="4"/>
    <x v="14"/>
    <x v="0"/>
    <x v="0"/>
    <x v="4"/>
    <x v="4"/>
    <x v="0"/>
    <x v="0"/>
    <x v="11"/>
    <x v="0"/>
    <x v="40"/>
    <x v="5"/>
    <x v="22"/>
    <x v="15"/>
    <x v="69"/>
  </r>
  <r>
    <n v="107"/>
    <x v="4"/>
    <x v="15"/>
    <x v="0"/>
    <x v="0"/>
    <x v="4"/>
    <x v="4"/>
    <x v="0"/>
    <x v="0"/>
    <x v="11"/>
    <x v="0"/>
    <x v="40"/>
    <x v="5"/>
    <x v="18"/>
    <x v="11"/>
    <x v="69"/>
  </r>
  <r>
    <n v="108"/>
    <x v="4"/>
    <x v="16"/>
    <x v="0"/>
    <x v="0"/>
    <x v="4"/>
    <x v="4"/>
    <x v="0"/>
    <x v="0"/>
    <x v="11"/>
    <x v="21"/>
    <x v="40"/>
    <x v="1"/>
    <x v="17"/>
    <x v="66"/>
    <x v="70"/>
  </r>
  <r>
    <n v="109"/>
    <x v="4"/>
    <x v="17"/>
    <x v="0"/>
    <x v="0"/>
    <x v="4"/>
    <x v="4"/>
    <x v="0"/>
    <x v="0"/>
    <x v="0"/>
    <x v="11"/>
    <x v="41"/>
    <x v="5"/>
    <x v="17"/>
    <x v="67"/>
    <x v="71"/>
  </r>
  <r>
    <n v="110"/>
    <x v="4"/>
    <x v="18"/>
    <x v="0"/>
    <x v="0"/>
    <x v="4"/>
    <x v="4"/>
    <x v="0"/>
    <x v="0"/>
    <x v="0"/>
    <x v="19"/>
    <x v="41"/>
    <x v="7"/>
    <x v="0"/>
    <x v="68"/>
    <x v="72"/>
  </r>
  <r>
    <n v="111"/>
    <x v="4"/>
    <x v="19"/>
    <x v="0"/>
    <x v="0"/>
    <x v="4"/>
    <x v="4"/>
    <x v="0"/>
    <x v="0"/>
    <x v="0"/>
    <x v="2"/>
    <x v="41"/>
    <x v="14"/>
    <x v="2"/>
    <x v="69"/>
    <x v="73"/>
  </r>
  <r>
    <n v="112"/>
    <x v="4"/>
    <x v="20"/>
    <x v="0"/>
    <x v="0"/>
    <x v="4"/>
    <x v="4"/>
    <x v="0"/>
    <x v="0"/>
    <x v="1"/>
    <x v="11"/>
    <x v="19"/>
    <x v="8"/>
    <x v="18"/>
    <x v="70"/>
    <x v="70"/>
  </r>
  <r>
    <n v="113"/>
    <x v="4"/>
    <x v="21"/>
    <x v="0"/>
    <x v="0"/>
    <x v="4"/>
    <x v="4"/>
    <x v="0"/>
    <x v="0"/>
    <x v="2"/>
    <x v="13"/>
    <x v="33"/>
    <x v="5"/>
    <x v="0"/>
    <x v="71"/>
    <x v="74"/>
  </r>
  <r>
    <n v="114"/>
    <x v="4"/>
    <x v="22"/>
    <x v="0"/>
    <x v="0"/>
    <x v="4"/>
    <x v="4"/>
    <x v="0"/>
    <x v="0"/>
    <x v="15"/>
    <x v="13"/>
    <x v="28"/>
    <x v="7"/>
    <x v="5"/>
    <x v="40"/>
    <x v="51"/>
  </r>
  <r>
    <n v="115"/>
    <x v="4"/>
    <x v="23"/>
    <x v="0"/>
    <x v="0"/>
    <x v="4"/>
    <x v="4"/>
    <x v="0"/>
    <x v="0"/>
    <x v="2"/>
    <x v="2"/>
    <x v="19"/>
    <x v="0"/>
    <x v="5"/>
    <x v="72"/>
    <x v="75"/>
  </r>
  <r>
    <n v="116"/>
    <x v="5"/>
    <x v="0"/>
    <x v="0"/>
    <x v="0"/>
    <x v="5"/>
    <x v="5"/>
    <x v="0"/>
    <x v="0"/>
    <x v="15"/>
    <x v="19"/>
    <x v="28"/>
    <x v="0"/>
    <x v="3"/>
    <x v="48"/>
    <x v="62"/>
  </r>
  <r>
    <n v="117"/>
    <x v="5"/>
    <x v="1"/>
    <x v="0"/>
    <x v="0"/>
    <x v="5"/>
    <x v="5"/>
    <x v="0"/>
    <x v="0"/>
    <x v="13"/>
    <x v="11"/>
    <x v="26"/>
    <x v="0"/>
    <x v="3"/>
    <x v="22"/>
    <x v="48"/>
  </r>
  <r>
    <n v="118"/>
    <x v="5"/>
    <x v="2"/>
    <x v="0"/>
    <x v="0"/>
    <x v="5"/>
    <x v="5"/>
    <x v="0"/>
    <x v="0"/>
    <x v="13"/>
    <x v="11"/>
    <x v="26"/>
    <x v="0"/>
    <x v="3"/>
    <x v="6"/>
    <x v="5"/>
  </r>
  <r>
    <n v="119"/>
    <x v="5"/>
    <x v="4"/>
    <x v="0"/>
    <x v="0"/>
    <x v="5"/>
    <x v="5"/>
    <x v="1"/>
    <x v="1"/>
    <x v="13"/>
    <x v="13"/>
    <x v="26"/>
    <x v="1"/>
    <x v="3"/>
    <x v="4"/>
    <x v="4"/>
  </r>
  <r>
    <n v="120"/>
    <x v="5"/>
    <x v="5"/>
    <x v="0"/>
    <x v="0"/>
    <x v="5"/>
    <x v="5"/>
    <x v="1"/>
    <x v="1"/>
    <x v="14"/>
    <x v="18"/>
    <x v="27"/>
    <x v="1"/>
    <x v="3"/>
    <x v="22"/>
    <x v="48"/>
  </r>
  <r>
    <n v="121"/>
    <x v="5"/>
    <x v="6"/>
    <x v="0"/>
    <x v="0"/>
    <x v="5"/>
    <x v="5"/>
    <x v="1"/>
    <x v="1"/>
    <x v="14"/>
    <x v="17"/>
    <x v="30"/>
    <x v="14"/>
    <x v="3"/>
    <x v="49"/>
    <x v="9"/>
  </r>
  <r>
    <n v="122"/>
    <x v="5"/>
    <x v="7"/>
    <x v="0"/>
    <x v="0"/>
    <x v="5"/>
    <x v="5"/>
    <x v="1"/>
    <x v="1"/>
    <x v="13"/>
    <x v="11"/>
    <x v="29"/>
    <x v="0"/>
    <x v="3"/>
    <x v="73"/>
    <x v="76"/>
  </r>
  <r>
    <n v="123"/>
    <x v="5"/>
    <x v="8"/>
    <x v="0"/>
    <x v="0"/>
    <x v="5"/>
    <x v="5"/>
    <x v="0"/>
    <x v="0"/>
    <x v="13"/>
    <x v="11"/>
    <x v="29"/>
    <x v="0"/>
    <x v="0"/>
    <x v="74"/>
    <x v="77"/>
  </r>
  <r>
    <n v="124"/>
    <x v="5"/>
    <x v="9"/>
    <x v="0"/>
    <x v="0"/>
    <x v="5"/>
    <x v="5"/>
    <x v="1"/>
    <x v="1"/>
    <x v="15"/>
    <x v="19"/>
    <x v="33"/>
    <x v="0"/>
    <x v="15"/>
    <x v="75"/>
    <x v="78"/>
  </r>
  <r>
    <n v="125"/>
    <x v="5"/>
    <x v="10"/>
    <x v="0"/>
    <x v="0"/>
    <x v="5"/>
    <x v="5"/>
    <x v="0"/>
    <x v="0"/>
    <x v="2"/>
    <x v="2"/>
    <x v="19"/>
    <x v="0"/>
    <x v="0"/>
    <x v="76"/>
    <x v="79"/>
  </r>
  <r>
    <n v="126"/>
    <x v="5"/>
    <x v="11"/>
    <x v="0"/>
    <x v="0"/>
    <x v="5"/>
    <x v="5"/>
    <x v="0"/>
    <x v="0"/>
    <x v="1"/>
    <x v="2"/>
    <x v="18"/>
    <x v="1"/>
    <x v="4"/>
    <x v="77"/>
    <x v="29"/>
  </r>
  <r>
    <n v="127"/>
    <x v="5"/>
    <x v="12"/>
    <x v="0"/>
    <x v="0"/>
    <x v="5"/>
    <x v="5"/>
    <x v="0"/>
    <x v="0"/>
    <x v="12"/>
    <x v="0"/>
    <x v="23"/>
    <x v="0"/>
    <x v="15"/>
    <x v="78"/>
    <x v="11"/>
  </r>
  <r>
    <n v="128"/>
    <x v="5"/>
    <x v="13"/>
    <x v="0"/>
    <x v="0"/>
    <x v="5"/>
    <x v="5"/>
    <x v="0"/>
    <x v="0"/>
    <x v="12"/>
    <x v="1"/>
    <x v="23"/>
    <x v="14"/>
    <x v="6"/>
    <x v="11"/>
    <x v="16"/>
  </r>
  <r>
    <n v="129"/>
    <x v="5"/>
    <x v="14"/>
    <x v="0"/>
    <x v="0"/>
    <x v="5"/>
    <x v="5"/>
    <x v="0"/>
    <x v="0"/>
    <x v="17"/>
    <x v="1"/>
    <x v="42"/>
    <x v="8"/>
    <x v="16"/>
    <x v="79"/>
    <x v="27"/>
  </r>
  <r>
    <n v="130"/>
    <x v="5"/>
    <x v="15"/>
    <x v="0"/>
    <x v="0"/>
    <x v="5"/>
    <x v="5"/>
    <x v="0"/>
    <x v="0"/>
    <x v="17"/>
    <x v="1"/>
    <x v="42"/>
    <x v="0"/>
    <x v="1"/>
    <x v="25"/>
    <x v="69"/>
  </r>
  <r>
    <n v="131"/>
    <x v="5"/>
    <x v="16"/>
    <x v="0"/>
    <x v="0"/>
    <x v="5"/>
    <x v="5"/>
    <x v="0"/>
    <x v="0"/>
    <x v="12"/>
    <x v="2"/>
    <x v="41"/>
    <x v="8"/>
    <x v="6"/>
    <x v="64"/>
    <x v="80"/>
  </r>
  <r>
    <n v="132"/>
    <x v="5"/>
    <x v="17"/>
    <x v="0"/>
    <x v="0"/>
    <x v="5"/>
    <x v="5"/>
    <x v="0"/>
    <x v="0"/>
    <x v="1"/>
    <x v="11"/>
    <x v="33"/>
    <x v="8"/>
    <x v="14"/>
    <x v="80"/>
    <x v="81"/>
  </r>
  <r>
    <n v="133"/>
    <x v="5"/>
    <x v="18"/>
    <x v="0"/>
    <x v="0"/>
    <x v="5"/>
    <x v="5"/>
    <x v="0"/>
    <x v="0"/>
    <x v="1"/>
    <x v="11"/>
    <x v="33"/>
    <x v="7"/>
    <x v="2"/>
    <x v="81"/>
    <x v="82"/>
  </r>
  <r>
    <n v="134"/>
    <x v="5"/>
    <x v="19"/>
    <x v="0"/>
    <x v="0"/>
    <x v="5"/>
    <x v="5"/>
    <x v="0"/>
    <x v="0"/>
    <x v="1"/>
    <x v="2"/>
    <x v="28"/>
    <x v="1"/>
    <x v="0"/>
    <x v="63"/>
    <x v="59"/>
  </r>
  <r>
    <n v="135"/>
    <x v="5"/>
    <x v="20"/>
    <x v="0"/>
    <x v="0"/>
    <x v="5"/>
    <x v="5"/>
    <x v="0"/>
    <x v="0"/>
    <x v="2"/>
    <x v="12"/>
    <x v="33"/>
    <x v="8"/>
    <x v="0"/>
    <x v="43"/>
    <x v="83"/>
  </r>
  <r>
    <n v="136"/>
    <x v="5"/>
    <x v="21"/>
    <x v="0"/>
    <x v="0"/>
    <x v="5"/>
    <x v="5"/>
    <x v="1"/>
    <x v="1"/>
    <x v="1"/>
    <x v="12"/>
    <x v="28"/>
    <x v="6"/>
    <x v="3"/>
    <x v="41"/>
    <x v="61"/>
  </r>
  <r>
    <n v="137"/>
    <x v="5"/>
    <x v="22"/>
    <x v="0"/>
    <x v="0"/>
    <x v="5"/>
    <x v="5"/>
    <x v="1"/>
    <x v="1"/>
    <x v="1"/>
    <x v="12"/>
    <x v="33"/>
    <x v="3"/>
    <x v="5"/>
    <x v="82"/>
    <x v="46"/>
  </r>
  <r>
    <n v="138"/>
    <x v="5"/>
    <x v="23"/>
    <x v="0"/>
    <x v="0"/>
    <x v="5"/>
    <x v="5"/>
    <x v="1"/>
    <x v="1"/>
    <x v="2"/>
    <x v="13"/>
    <x v="29"/>
    <x v="5"/>
    <x v="17"/>
    <x v="23"/>
    <x v="84"/>
  </r>
  <r>
    <n v="139"/>
    <x v="6"/>
    <x v="0"/>
    <x v="0"/>
    <x v="0"/>
    <x v="6"/>
    <x v="6"/>
    <x v="1"/>
    <x v="1"/>
    <x v="2"/>
    <x v="13"/>
    <x v="26"/>
    <x v="5"/>
    <x v="17"/>
    <x v="0"/>
    <x v="22"/>
  </r>
  <r>
    <n v="140"/>
    <x v="6"/>
    <x v="1"/>
    <x v="0"/>
    <x v="0"/>
    <x v="6"/>
    <x v="6"/>
    <x v="1"/>
    <x v="1"/>
    <x v="2"/>
    <x v="13"/>
    <x v="27"/>
    <x v="6"/>
    <x v="4"/>
    <x v="34"/>
    <x v="85"/>
  </r>
  <r>
    <n v="141"/>
    <x v="6"/>
    <x v="2"/>
    <x v="0"/>
    <x v="0"/>
    <x v="6"/>
    <x v="6"/>
    <x v="1"/>
    <x v="1"/>
    <x v="2"/>
    <x v="13"/>
    <x v="27"/>
    <x v="6"/>
    <x v="3"/>
    <x v="4"/>
    <x v="4"/>
  </r>
  <r>
    <n v="142"/>
    <x v="6"/>
    <x v="4"/>
    <x v="0"/>
    <x v="0"/>
    <x v="6"/>
    <x v="6"/>
    <x v="1"/>
    <x v="1"/>
    <x v="2"/>
    <x v="12"/>
    <x v="27"/>
    <x v="7"/>
    <x v="3"/>
    <x v="4"/>
    <x v="4"/>
  </r>
  <r>
    <n v="143"/>
    <x v="6"/>
    <x v="5"/>
    <x v="0"/>
    <x v="0"/>
    <x v="6"/>
    <x v="6"/>
    <x v="2"/>
    <x v="2"/>
    <x v="1"/>
    <x v="1"/>
    <x v="28"/>
    <x v="0"/>
    <x v="3"/>
    <x v="34"/>
    <x v="36"/>
  </r>
  <r>
    <n v="144"/>
    <x v="6"/>
    <x v="6"/>
    <x v="0"/>
    <x v="0"/>
    <x v="6"/>
    <x v="6"/>
    <x v="1"/>
    <x v="1"/>
    <x v="2"/>
    <x v="2"/>
    <x v="27"/>
    <x v="0"/>
    <x v="1"/>
    <x v="16"/>
    <x v="19"/>
  </r>
  <r>
    <n v="145"/>
    <x v="6"/>
    <x v="7"/>
    <x v="0"/>
    <x v="0"/>
    <x v="6"/>
    <x v="6"/>
    <x v="0"/>
    <x v="0"/>
    <x v="2"/>
    <x v="12"/>
    <x v="27"/>
    <x v="7"/>
    <x v="1"/>
    <x v="83"/>
    <x v="11"/>
  </r>
  <r>
    <n v="146"/>
    <x v="6"/>
    <x v="8"/>
    <x v="0"/>
    <x v="0"/>
    <x v="6"/>
    <x v="6"/>
    <x v="0"/>
    <x v="0"/>
    <x v="2"/>
    <x v="13"/>
    <x v="33"/>
    <x v="2"/>
    <x v="20"/>
    <x v="84"/>
    <x v="86"/>
  </r>
  <r>
    <n v="147"/>
    <x v="6"/>
    <x v="9"/>
    <x v="0"/>
    <x v="0"/>
    <x v="6"/>
    <x v="6"/>
    <x v="0"/>
    <x v="0"/>
    <x v="2"/>
    <x v="18"/>
    <x v="19"/>
    <x v="4"/>
    <x v="14"/>
    <x v="85"/>
    <x v="87"/>
  </r>
  <r>
    <n v="148"/>
    <x v="6"/>
    <x v="10"/>
    <x v="0"/>
    <x v="0"/>
    <x v="6"/>
    <x v="6"/>
    <x v="0"/>
    <x v="0"/>
    <x v="1"/>
    <x v="13"/>
    <x v="38"/>
    <x v="9"/>
    <x v="19"/>
    <x v="12"/>
    <x v="55"/>
  </r>
  <r>
    <n v="149"/>
    <x v="6"/>
    <x v="11"/>
    <x v="0"/>
    <x v="0"/>
    <x v="6"/>
    <x v="6"/>
    <x v="1"/>
    <x v="1"/>
    <x v="2"/>
    <x v="13"/>
    <x v="22"/>
    <x v="6"/>
    <x v="21"/>
    <x v="41"/>
    <x v="16"/>
  </r>
  <r>
    <n v="150"/>
    <x v="6"/>
    <x v="12"/>
    <x v="0"/>
    <x v="0"/>
    <x v="6"/>
    <x v="6"/>
    <x v="1"/>
    <x v="1"/>
    <x v="2"/>
    <x v="13"/>
    <x v="38"/>
    <x v="2"/>
    <x v="14"/>
    <x v="54"/>
    <x v="29"/>
  </r>
  <r>
    <n v="151"/>
    <x v="6"/>
    <x v="13"/>
    <x v="0"/>
    <x v="0"/>
    <x v="6"/>
    <x v="6"/>
    <x v="1"/>
    <x v="1"/>
    <x v="2"/>
    <x v="18"/>
    <x v="38"/>
    <x v="3"/>
    <x v="14"/>
    <x v="27"/>
    <x v="88"/>
  </r>
  <r>
    <n v="152"/>
    <x v="6"/>
    <x v="14"/>
    <x v="0"/>
    <x v="0"/>
    <x v="6"/>
    <x v="6"/>
    <x v="1"/>
    <x v="1"/>
    <x v="2"/>
    <x v="13"/>
    <x v="22"/>
    <x v="2"/>
    <x v="18"/>
    <x v="30"/>
    <x v="89"/>
  </r>
  <r>
    <n v="153"/>
    <x v="6"/>
    <x v="15"/>
    <x v="0"/>
    <x v="0"/>
    <x v="6"/>
    <x v="6"/>
    <x v="1"/>
    <x v="1"/>
    <x v="2"/>
    <x v="12"/>
    <x v="38"/>
    <x v="8"/>
    <x v="14"/>
    <x v="36"/>
    <x v="44"/>
  </r>
  <r>
    <n v="154"/>
    <x v="6"/>
    <x v="16"/>
    <x v="0"/>
    <x v="0"/>
    <x v="6"/>
    <x v="6"/>
    <x v="1"/>
    <x v="1"/>
    <x v="2"/>
    <x v="12"/>
    <x v="38"/>
    <x v="8"/>
    <x v="2"/>
    <x v="70"/>
    <x v="90"/>
  </r>
  <r>
    <n v="155"/>
    <x v="6"/>
    <x v="17"/>
    <x v="0"/>
    <x v="0"/>
    <x v="6"/>
    <x v="6"/>
    <x v="1"/>
    <x v="1"/>
    <x v="2"/>
    <x v="2"/>
    <x v="38"/>
    <x v="0"/>
    <x v="14"/>
    <x v="86"/>
    <x v="91"/>
  </r>
  <r>
    <n v="156"/>
    <x v="6"/>
    <x v="18"/>
    <x v="0"/>
    <x v="0"/>
    <x v="6"/>
    <x v="6"/>
    <x v="0"/>
    <x v="0"/>
    <x v="2"/>
    <x v="11"/>
    <x v="22"/>
    <x v="1"/>
    <x v="18"/>
    <x v="75"/>
    <x v="92"/>
  </r>
  <r>
    <n v="157"/>
    <x v="6"/>
    <x v="19"/>
    <x v="0"/>
    <x v="0"/>
    <x v="6"/>
    <x v="6"/>
    <x v="0"/>
    <x v="0"/>
    <x v="13"/>
    <x v="13"/>
    <x v="28"/>
    <x v="1"/>
    <x v="0"/>
    <x v="50"/>
    <x v="76"/>
  </r>
  <r>
    <n v="158"/>
    <x v="6"/>
    <x v="20"/>
    <x v="0"/>
    <x v="0"/>
    <x v="6"/>
    <x v="6"/>
    <x v="0"/>
    <x v="0"/>
    <x v="15"/>
    <x v="12"/>
    <x v="19"/>
    <x v="14"/>
    <x v="5"/>
    <x v="54"/>
    <x v="41"/>
  </r>
  <r>
    <n v="159"/>
    <x v="6"/>
    <x v="21"/>
    <x v="0"/>
    <x v="0"/>
    <x v="6"/>
    <x v="6"/>
    <x v="0"/>
    <x v="0"/>
    <x v="15"/>
    <x v="13"/>
    <x v="19"/>
    <x v="7"/>
    <x v="3"/>
    <x v="87"/>
    <x v="21"/>
  </r>
  <r>
    <n v="160"/>
    <x v="6"/>
    <x v="22"/>
    <x v="0"/>
    <x v="0"/>
    <x v="6"/>
    <x v="6"/>
    <x v="1"/>
    <x v="1"/>
    <x v="15"/>
    <x v="13"/>
    <x v="21"/>
    <x v="8"/>
    <x v="4"/>
    <x v="60"/>
    <x v="9"/>
  </r>
  <r>
    <n v="161"/>
    <x v="6"/>
    <x v="23"/>
    <x v="0"/>
    <x v="0"/>
    <x v="6"/>
    <x v="6"/>
    <x v="1"/>
    <x v="1"/>
    <x v="15"/>
    <x v="13"/>
    <x v="33"/>
    <x v="8"/>
    <x v="5"/>
    <x v="88"/>
    <x v="93"/>
  </r>
  <r>
    <n v="162"/>
    <x v="7"/>
    <x v="0"/>
    <x v="0"/>
    <x v="0"/>
    <x v="0"/>
    <x v="0"/>
    <x v="1"/>
    <x v="1"/>
    <x v="15"/>
    <x v="13"/>
    <x v="33"/>
    <x v="8"/>
    <x v="5"/>
    <x v="9"/>
    <x v="94"/>
  </r>
  <r>
    <n v="163"/>
    <x v="7"/>
    <x v="1"/>
    <x v="0"/>
    <x v="0"/>
    <x v="0"/>
    <x v="0"/>
    <x v="1"/>
    <x v="1"/>
    <x v="15"/>
    <x v="12"/>
    <x v="28"/>
    <x v="1"/>
    <x v="5"/>
    <x v="89"/>
    <x v="0"/>
  </r>
  <r>
    <n v="164"/>
    <x v="7"/>
    <x v="2"/>
    <x v="0"/>
    <x v="0"/>
    <x v="0"/>
    <x v="0"/>
    <x v="1"/>
    <x v="1"/>
    <x v="15"/>
    <x v="19"/>
    <x v="28"/>
    <x v="0"/>
    <x v="0"/>
    <x v="0"/>
    <x v="0"/>
  </r>
  <r>
    <n v="165"/>
    <x v="7"/>
    <x v="3"/>
    <x v="0"/>
    <x v="0"/>
    <x v="0"/>
    <x v="0"/>
    <x v="2"/>
    <x v="2"/>
    <x v="15"/>
    <x v="13"/>
    <x v="28"/>
    <x v="8"/>
    <x v="3"/>
    <x v="7"/>
    <x v="85"/>
  </r>
  <r>
    <n v="166"/>
    <x v="7"/>
    <x v="4"/>
    <x v="0"/>
    <x v="0"/>
    <x v="0"/>
    <x v="0"/>
    <x v="2"/>
    <x v="2"/>
    <x v="15"/>
    <x v="13"/>
    <x v="28"/>
    <x v="8"/>
    <x v="3"/>
    <x v="4"/>
    <x v="4"/>
  </r>
  <r>
    <n v="167"/>
    <x v="7"/>
    <x v="5"/>
    <x v="0"/>
    <x v="0"/>
    <x v="0"/>
    <x v="0"/>
    <x v="1"/>
    <x v="1"/>
    <x v="13"/>
    <x v="17"/>
    <x v="32"/>
    <x v="8"/>
    <x v="3"/>
    <x v="34"/>
    <x v="36"/>
  </r>
  <r>
    <n v="168"/>
    <x v="7"/>
    <x v="6"/>
    <x v="0"/>
    <x v="0"/>
    <x v="0"/>
    <x v="0"/>
    <x v="1"/>
    <x v="1"/>
    <x v="13"/>
    <x v="17"/>
    <x v="32"/>
    <x v="8"/>
    <x v="3"/>
    <x v="6"/>
    <x v="5"/>
  </r>
  <r>
    <n v="169"/>
    <x v="7"/>
    <x v="7"/>
    <x v="0"/>
    <x v="0"/>
    <x v="0"/>
    <x v="0"/>
    <x v="1"/>
    <x v="1"/>
    <x v="13"/>
    <x v="18"/>
    <x v="32"/>
    <x v="14"/>
    <x v="5"/>
    <x v="21"/>
    <x v="23"/>
  </r>
  <r>
    <n v="170"/>
    <x v="7"/>
    <x v="8"/>
    <x v="0"/>
    <x v="0"/>
    <x v="0"/>
    <x v="0"/>
    <x v="2"/>
    <x v="2"/>
    <x v="13"/>
    <x v="18"/>
    <x v="43"/>
    <x v="14"/>
    <x v="3"/>
    <x v="89"/>
    <x v="93"/>
  </r>
  <r>
    <n v="171"/>
    <x v="7"/>
    <x v="9"/>
    <x v="0"/>
    <x v="0"/>
    <x v="0"/>
    <x v="0"/>
    <x v="2"/>
    <x v="2"/>
    <x v="13"/>
    <x v="18"/>
    <x v="43"/>
    <x v="14"/>
    <x v="3"/>
    <x v="32"/>
    <x v="25"/>
  </r>
  <r>
    <n v="172"/>
    <x v="7"/>
    <x v="10"/>
    <x v="0"/>
    <x v="0"/>
    <x v="0"/>
    <x v="0"/>
    <x v="1"/>
    <x v="1"/>
    <x v="15"/>
    <x v="13"/>
    <x v="1"/>
    <x v="8"/>
    <x v="2"/>
    <x v="90"/>
    <x v="42"/>
  </r>
  <r>
    <n v="173"/>
    <x v="7"/>
    <x v="11"/>
    <x v="0"/>
    <x v="0"/>
    <x v="0"/>
    <x v="0"/>
    <x v="1"/>
    <x v="1"/>
    <x v="2"/>
    <x v="18"/>
    <x v="27"/>
    <x v="13"/>
    <x v="4"/>
    <x v="91"/>
    <x v="69"/>
  </r>
  <r>
    <n v="174"/>
    <x v="7"/>
    <x v="12"/>
    <x v="0"/>
    <x v="0"/>
    <x v="0"/>
    <x v="0"/>
    <x v="1"/>
    <x v="1"/>
    <x v="2"/>
    <x v="18"/>
    <x v="29"/>
    <x v="11"/>
    <x v="1"/>
    <x v="92"/>
    <x v="95"/>
  </r>
  <r>
    <n v="175"/>
    <x v="7"/>
    <x v="13"/>
    <x v="0"/>
    <x v="0"/>
    <x v="0"/>
    <x v="0"/>
    <x v="0"/>
    <x v="0"/>
    <x v="2"/>
    <x v="18"/>
    <x v="18"/>
    <x v="9"/>
    <x v="18"/>
    <x v="73"/>
    <x v="96"/>
  </r>
  <r>
    <n v="176"/>
    <x v="7"/>
    <x v="14"/>
    <x v="0"/>
    <x v="0"/>
    <x v="0"/>
    <x v="0"/>
    <x v="0"/>
    <x v="0"/>
    <x v="2"/>
    <x v="17"/>
    <x v="25"/>
    <x v="15"/>
    <x v="6"/>
    <x v="93"/>
    <x v="76"/>
  </r>
  <r>
    <n v="177"/>
    <x v="7"/>
    <x v="15"/>
    <x v="0"/>
    <x v="0"/>
    <x v="0"/>
    <x v="0"/>
    <x v="0"/>
    <x v="0"/>
    <x v="2"/>
    <x v="17"/>
    <x v="25"/>
    <x v="10"/>
    <x v="2"/>
    <x v="94"/>
    <x v="30"/>
  </r>
  <r>
    <n v="178"/>
    <x v="7"/>
    <x v="16"/>
    <x v="0"/>
    <x v="0"/>
    <x v="0"/>
    <x v="0"/>
    <x v="0"/>
    <x v="0"/>
    <x v="15"/>
    <x v="14"/>
    <x v="44"/>
    <x v="10"/>
    <x v="1"/>
    <x v="56"/>
    <x v="31"/>
  </r>
  <r>
    <n v="179"/>
    <x v="7"/>
    <x v="17"/>
    <x v="0"/>
    <x v="0"/>
    <x v="0"/>
    <x v="0"/>
    <x v="0"/>
    <x v="0"/>
    <x v="13"/>
    <x v="16"/>
    <x v="38"/>
    <x v="16"/>
    <x v="2"/>
    <x v="27"/>
    <x v="83"/>
  </r>
  <r>
    <n v="180"/>
    <x v="7"/>
    <x v="18"/>
    <x v="0"/>
    <x v="0"/>
    <x v="0"/>
    <x v="0"/>
    <x v="0"/>
    <x v="0"/>
    <x v="14"/>
    <x v="16"/>
    <x v="17"/>
    <x v="4"/>
    <x v="0"/>
    <x v="15"/>
    <x v="97"/>
  </r>
  <r>
    <n v="181"/>
    <x v="7"/>
    <x v="19"/>
    <x v="0"/>
    <x v="0"/>
    <x v="0"/>
    <x v="0"/>
    <x v="0"/>
    <x v="0"/>
    <x v="14"/>
    <x v="16"/>
    <x v="42"/>
    <x v="2"/>
    <x v="17"/>
    <x v="16"/>
    <x v="33"/>
  </r>
  <r>
    <n v="182"/>
    <x v="7"/>
    <x v="20"/>
    <x v="0"/>
    <x v="0"/>
    <x v="0"/>
    <x v="0"/>
    <x v="0"/>
    <x v="0"/>
    <x v="16"/>
    <x v="16"/>
    <x v="42"/>
    <x v="2"/>
    <x v="3"/>
    <x v="95"/>
    <x v="20"/>
  </r>
  <r>
    <n v="183"/>
    <x v="7"/>
    <x v="21"/>
    <x v="0"/>
    <x v="0"/>
    <x v="0"/>
    <x v="0"/>
    <x v="0"/>
    <x v="0"/>
    <x v="16"/>
    <x v="15"/>
    <x v="17"/>
    <x v="11"/>
    <x v="4"/>
    <x v="96"/>
    <x v="18"/>
  </r>
  <r>
    <n v="184"/>
    <x v="7"/>
    <x v="22"/>
    <x v="0"/>
    <x v="0"/>
    <x v="0"/>
    <x v="0"/>
    <x v="0"/>
    <x v="0"/>
    <x v="16"/>
    <x v="15"/>
    <x v="42"/>
    <x v="13"/>
    <x v="5"/>
    <x v="39"/>
    <x v="19"/>
  </r>
  <r>
    <n v="185"/>
    <x v="7"/>
    <x v="23"/>
    <x v="0"/>
    <x v="0"/>
    <x v="0"/>
    <x v="0"/>
    <x v="0"/>
    <x v="0"/>
    <x v="18"/>
    <x v="22"/>
    <x v="17"/>
    <x v="10"/>
    <x v="3"/>
    <x v="97"/>
    <x v="34"/>
  </r>
  <r>
    <n v="186"/>
    <x v="8"/>
    <x v="0"/>
    <x v="0"/>
    <x v="0"/>
    <x v="1"/>
    <x v="1"/>
    <x v="0"/>
    <x v="0"/>
    <x v="18"/>
    <x v="23"/>
    <x v="16"/>
    <x v="13"/>
    <x v="5"/>
    <x v="9"/>
    <x v="94"/>
  </r>
  <r>
    <n v="187"/>
    <x v="8"/>
    <x v="1"/>
    <x v="0"/>
    <x v="0"/>
    <x v="1"/>
    <x v="1"/>
    <x v="0"/>
    <x v="0"/>
    <x v="18"/>
    <x v="22"/>
    <x v="16"/>
    <x v="17"/>
    <x v="3"/>
    <x v="98"/>
    <x v="47"/>
  </r>
  <r>
    <n v="188"/>
    <x v="8"/>
    <x v="2"/>
    <x v="0"/>
    <x v="0"/>
    <x v="1"/>
    <x v="1"/>
    <x v="0"/>
    <x v="0"/>
    <x v="18"/>
    <x v="22"/>
    <x v="15"/>
    <x v="17"/>
    <x v="3"/>
    <x v="48"/>
    <x v="62"/>
  </r>
  <r>
    <n v="189"/>
    <x v="8"/>
    <x v="3"/>
    <x v="0"/>
    <x v="0"/>
    <x v="1"/>
    <x v="1"/>
    <x v="0"/>
    <x v="0"/>
    <x v="18"/>
    <x v="23"/>
    <x v="15"/>
    <x v="12"/>
    <x v="3"/>
    <x v="22"/>
    <x v="48"/>
  </r>
  <r>
    <n v="190"/>
    <x v="8"/>
    <x v="4"/>
    <x v="0"/>
    <x v="0"/>
    <x v="1"/>
    <x v="1"/>
    <x v="0"/>
    <x v="0"/>
    <x v="19"/>
    <x v="24"/>
    <x v="45"/>
    <x v="5"/>
    <x v="3"/>
    <x v="4"/>
    <x v="4"/>
  </r>
  <r>
    <n v="191"/>
    <x v="8"/>
    <x v="5"/>
    <x v="0"/>
    <x v="0"/>
    <x v="1"/>
    <x v="1"/>
    <x v="0"/>
    <x v="0"/>
    <x v="19"/>
    <x v="24"/>
    <x v="45"/>
    <x v="5"/>
    <x v="3"/>
    <x v="4"/>
    <x v="4"/>
  </r>
  <r>
    <n v="192"/>
    <x v="8"/>
    <x v="6"/>
    <x v="0"/>
    <x v="0"/>
    <x v="1"/>
    <x v="1"/>
    <x v="0"/>
    <x v="0"/>
    <x v="18"/>
    <x v="24"/>
    <x v="36"/>
    <x v="3"/>
    <x v="3"/>
    <x v="4"/>
    <x v="4"/>
  </r>
  <r>
    <n v="193"/>
    <x v="8"/>
    <x v="7"/>
    <x v="0"/>
    <x v="0"/>
    <x v="1"/>
    <x v="1"/>
    <x v="0"/>
    <x v="0"/>
    <x v="19"/>
    <x v="24"/>
    <x v="45"/>
    <x v="5"/>
    <x v="5"/>
    <x v="34"/>
    <x v="24"/>
  </r>
  <r>
    <n v="194"/>
    <x v="8"/>
    <x v="8"/>
    <x v="0"/>
    <x v="0"/>
    <x v="1"/>
    <x v="1"/>
    <x v="0"/>
    <x v="0"/>
    <x v="18"/>
    <x v="24"/>
    <x v="36"/>
    <x v="3"/>
    <x v="3"/>
    <x v="3"/>
    <x v="98"/>
  </r>
  <r>
    <n v="195"/>
    <x v="8"/>
    <x v="9"/>
    <x v="0"/>
    <x v="0"/>
    <x v="1"/>
    <x v="1"/>
    <x v="0"/>
    <x v="0"/>
    <x v="16"/>
    <x v="23"/>
    <x v="15"/>
    <x v="18"/>
    <x v="3"/>
    <x v="23"/>
    <x v="75"/>
  </r>
  <r>
    <n v="196"/>
    <x v="8"/>
    <x v="10"/>
    <x v="0"/>
    <x v="0"/>
    <x v="1"/>
    <x v="1"/>
    <x v="0"/>
    <x v="0"/>
    <x v="14"/>
    <x v="15"/>
    <x v="21"/>
    <x v="13"/>
    <x v="3"/>
    <x v="47"/>
    <x v="99"/>
  </r>
  <r>
    <n v="197"/>
    <x v="8"/>
    <x v="11"/>
    <x v="0"/>
    <x v="0"/>
    <x v="1"/>
    <x v="1"/>
    <x v="0"/>
    <x v="0"/>
    <x v="13"/>
    <x v="16"/>
    <x v="22"/>
    <x v="18"/>
    <x v="4"/>
    <x v="12"/>
    <x v="99"/>
  </r>
  <r>
    <n v="198"/>
    <x v="8"/>
    <x v="12"/>
    <x v="0"/>
    <x v="0"/>
    <x v="1"/>
    <x v="1"/>
    <x v="0"/>
    <x v="0"/>
    <x v="15"/>
    <x v="14"/>
    <x v="38"/>
    <x v="10"/>
    <x v="17"/>
    <x v="55"/>
    <x v="56"/>
  </r>
  <r>
    <n v="199"/>
    <x v="8"/>
    <x v="13"/>
    <x v="0"/>
    <x v="0"/>
    <x v="1"/>
    <x v="1"/>
    <x v="0"/>
    <x v="0"/>
    <x v="2"/>
    <x v="17"/>
    <x v="46"/>
    <x v="10"/>
    <x v="15"/>
    <x v="94"/>
    <x v="28"/>
  </r>
  <r>
    <n v="200"/>
    <x v="8"/>
    <x v="14"/>
    <x v="0"/>
    <x v="0"/>
    <x v="1"/>
    <x v="1"/>
    <x v="0"/>
    <x v="0"/>
    <x v="1"/>
    <x v="18"/>
    <x v="25"/>
    <x v="17"/>
    <x v="1"/>
    <x v="27"/>
    <x v="44"/>
  </r>
  <r>
    <n v="201"/>
    <x v="8"/>
    <x v="15"/>
    <x v="0"/>
    <x v="0"/>
    <x v="1"/>
    <x v="1"/>
    <x v="0"/>
    <x v="0"/>
    <x v="1"/>
    <x v="13"/>
    <x v="23"/>
    <x v="11"/>
    <x v="2"/>
    <x v="99"/>
    <x v="100"/>
  </r>
  <r>
    <n v="202"/>
    <x v="8"/>
    <x v="16"/>
    <x v="0"/>
    <x v="0"/>
    <x v="1"/>
    <x v="1"/>
    <x v="0"/>
    <x v="0"/>
    <x v="2"/>
    <x v="17"/>
    <x v="46"/>
    <x v="10"/>
    <x v="23"/>
    <x v="55"/>
    <x v="101"/>
  </r>
  <r>
    <n v="203"/>
    <x v="8"/>
    <x v="17"/>
    <x v="0"/>
    <x v="0"/>
    <x v="1"/>
    <x v="1"/>
    <x v="0"/>
    <x v="0"/>
    <x v="15"/>
    <x v="20"/>
    <x v="38"/>
    <x v="13"/>
    <x v="0"/>
    <x v="79"/>
    <x v="69"/>
  </r>
  <r>
    <n v="204"/>
    <x v="8"/>
    <x v="18"/>
    <x v="0"/>
    <x v="0"/>
    <x v="1"/>
    <x v="1"/>
    <x v="0"/>
    <x v="0"/>
    <x v="13"/>
    <x v="14"/>
    <x v="22"/>
    <x v="9"/>
    <x v="17"/>
    <x v="100"/>
    <x v="61"/>
  </r>
  <r>
    <n v="205"/>
    <x v="8"/>
    <x v="19"/>
    <x v="0"/>
    <x v="0"/>
    <x v="1"/>
    <x v="1"/>
    <x v="0"/>
    <x v="0"/>
    <x v="13"/>
    <x v="14"/>
    <x v="21"/>
    <x v="9"/>
    <x v="5"/>
    <x v="71"/>
    <x v="102"/>
  </r>
  <r>
    <n v="206"/>
    <x v="8"/>
    <x v="20"/>
    <x v="0"/>
    <x v="0"/>
    <x v="1"/>
    <x v="1"/>
    <x v="0"/>
    <x v="0"/>
    <x v="14"/>
    <x v="16"/>
    <x v="15"/>
    <x v="2"/>
    <x v="3"/>
    <x v="101"/>
    <x v="103"/>
  </r>
  <r>
    <n v="207"/>
    <x v="8"/>
    <x v="21"/>
    <x v="0"/>
    <x v="0"/>
    <x v="1"/>
    <x v="1"/>
    <x v="0"/>
    <x v="0"/>
    <x v="14"/>
    <x v="15"/>
    <x v="15"/>
    <x v="12"/>
    <x v="5"/>
    <x v="23"/>
    <x v="25"/>
  </r>
  <r>
    <n v="208"/>
    <x v="8"/>
    <x v="22"/>
    <x v="0"/>
    <x v="0"/>
    <x v="1"/>
    <x v="1"/>
    <x v="0"/>
    <x v="0"/>
    <x v="14"/>
    <x v="16"/>
    <x v="15"/>
    <x v="4"/>
    <x v="2"/>
    <x v="3"/>
    <x v="93"/>
  </r>
  <r>
    <n v="209"/>
    <x v="8"/>
    <x v="23"/>
    <x v="0"/>
    <x v="0"/>
    <x v="1"/>
    <x v="1"/>
    <x v="0"/>
    <x v="0"/>
    <x v="16"/>
    <x v="14"/>
    <x v="20"/>
    <x v="5"/>
    <x v="3"/>
    <x v="8"/>
    <x v="24"/>
  </r>
  <r>
    <n v="210"/>
    <x v="9"/>
    <x v="0"/>
    <x v="0"/>
    <x v="0"/>
    <x v="2"/>
    <x v="2"/>
    <x v="0"/>
    <x v="0"/>
    <x v="16"/>
    <x v="16"/>
    <x v="20"/>
    <x v="3"/>
    <x v="4"/>
    <x v="35"/>
    <x v="36"/>
  </r>
  <r>
    <n v="211"/>
    <x v="9"/>
    <x v="1"/>
    <x v="0"/>
    <x v="0"/>
    <x v="2"/>
    <x v="2"/>
    <x v="0"/>
    <x v="0"/>
    <x v="16"/>
    <x v="16"/>
    <x v="20"/>
    <x v="3"/>
    <x v="5"/>
    <x v="5"/>
    <x v="4"/>
  </r>
  <r>
    <n v="212"/>
    <x v="9"/>
    <x v="2"/>
    <x v="0"/>
    <x v="0"/>
    <x v="2"/>
    <x v="2"/>
    <x v="0"/>
    <x v="0"/>
    <x v="16"/>
    <x v="16"/>
    <x v="20"/>
    <x v="6"/>
    <x v="3"/>
    <x v="35"/>
    <x v="6"/>
  </r>
  <r>
    <n v="213"/>
    <x v="9"/>
    <x v="3"/>
    <x v="0"/>
    <x v="0"/>
    <x v="2"/>
    <x v="2"/>
    <x v="0"/>
    <x v="0"/>
    <x v="16"/>
    <x v="16"/>
    <x v="20"/>
    <x v="6"/>
    <x v="3"/>
    <x v="4"/>
    <x v="4"/>
  </r>
  <r>
    <n v="214"/>
    <x v="9"/>
    <x v="4"/>
    <x v="0"/>
    <x v="0"/>
    <x v="2"/>
    <x v="2"/>
    <x v="0"/>
    <x v="0"/>
    <x v="18"/>
    <x v="16"/>
    <x v="47"/>
    <x v="7"/>
    <x v="5"/>
    <x v="6"/>
    <x v="6"/>
  </r>
  <r>
    <n v="215"/>
    <x v="9"/>
    <x v="5"/>
    <x v="0"/>
    <x v="0"/>
    <x v="2"/>
    <x v="2"/>
    <x v="0"/>
    <x v="0"/>
    <x v="18"/>
    <x v="15"/>
    <x v="47"/>
    <x v="2"/>
    <x v="3"/>
    <x v="35"/>
    <x v="6"/>
  </r>
  <r>
    <n v="216"/>
    <x v="9"/>
    <x v="6"/>
    <x v="0"/>
    <x v="0"/>
    <x v="2"/>
    <x v="2"/>
    <x v="0"/>
    <x v="0"/>
    <x v="16"/>
    <x v="16"/>
    <x v="20"/>
    <x v="3"/>
    <x v="3"/>
    <x v="17"/>
    <x v="35"/>
  </r>
  <r>
    <n v="217"/>
    <x v="9"/>
    <x v="7"/>
    <x v="0"/>
    <x v="0"/>
    <x v="2"/>
    <x v="2"/>
    <x v="0"/>
    <x v="0"/>
    <x v="16"/>
    <x v="16"/>
    <x v="20"/>
    <x v="6"/>
    <x v="4"/>
    <x v="102"/>
    <x v="43"/>
  </r>
  <r>
    <n v="218"/>
    <x v="9"/>
    <x v="8"/>
    <x v="0"/>
    <x v="0"/>
    <x v="2"/>
    <x v="2"/>
    <x v="1"/>
    <x v="1"/>
    <x v="16"/>
    <x v="16"/>
    <x v="20"/>
    <x v="3"/>
    <x v="17"/>
    <x v="103"/>
    <x v="104"/>
  </r>
  <r>
    <n v="219"/>
    <x v="9"/>
    <x v="9"/>
    <x v="0"/>
    <x v="0"/>
    <x v="2"/>
    <x v="2"/>
    <x v="1"/>
    <x v="1"/>
    <x v="14"/>
    <x v="16"/>
    <x v="20"/>
    <x v="2"/>
    <x v="4"/>
    <x v="50"/>
    <x v="12"/>
  </r>
  <r>
    <n v="220"/>
    <x v="9"/>
    <x v="10"/>
    <x v="0"/>
    <x v="0"/>
    <x v="2"/>
    <x v="2"/>
    <x v="1"/>
    <x v="1"/>
    <x v="14"/>
    <x v="16"/>
    <x v="20"/>
    <x v="4"/>
    <x v="3"/>
    <x v="17"/>
    <x v="35"/>
  </r>
  <r>
    <n v="221"/>
    <x v="9"/>
    <x v="11"/>
    <x v="0"/>
    <x v="0"/>
    <x v="2"/>
    <x v="2"/>
    <x v="1"/>
    <x v="1"/>
    <x v="13"/>
    <x v="14"/>
    <x v="19"/>
    <x v="3"/>
    <x v="4"/>
    <x v="95"/>
    <x v="33"/>
  </r>
  <r>
    <n v="222"/>
    <x v="9"/>
    <x v="12"/>
    <x v="0"/>
    <x v="0"/>
    <x v="2"/>
    <x v="2"/>
    <x v="1"/>
    <x v="1"/>
    <x v="2"/>
    <x v="18"/>
    <x v="22"/>
    <x v="3"/>
    <x v="2"/>
    <x v="12"/>
    <x v="46"/>
  </r>
  <r>
    <n v="223"/>
    <x v="9"/>
    <x v="13"/>
    <x v="0"/>
    <x v="0"/>
    <x v="2"/>
    <x v="2"/>
    <x v="1"/>
    <x v="1"/>
    <x v="2"/>
    <x v="18"/>
    <x v="22"/>
    <x v="3"/>
    <x v="17"/>
    <x v="54"/>
    <x v="60"/>
  </r>
  <r>
    <n v="224"/>
    <x v="9"/>
    <x v="14"/>
    <x v="0"/>
    <x v="0"/>
    <x v="2"/>
    <x v="2"/>
    <x v="1"/>
    <x v="1"/>
    <x v="2"/>
    <x v="13"/>
    <x v="22"/>
    <x v="6"/>
    <x v="3"/>
    <x v="12"/>
    <x v="105"/>
  </r>
  <r>
    <n v="225"/>
    <x v="9"/>
    <x v="15"/>
    <x v="0"/>
    <x v="0"/>
    <x v="2"/>
    <x v="2"/>
    <x v="1"/>
    <x v="1"/>
    <x v="2"/>
    <x v="13"/>
    <x v="22"/>
    <x v="6"/>
    <x v="4"/>
    <x v="30"/>
    <x v="79"/>
  </r>
  <r>
    <n v="226"/>
    <x v="9"/>
    <x v="16"/>
    <x v="0"/>
    <x v="0"/>
    <x v="2"/>
    <x v="2"/>
    <x v="0"/>
    <x v="0"/>
    <x v="2"/>
    <x v="12"/>
    <x v="22"/>
    <x v="7"/>
    <x v="17"/>
    <x v="14"/>
    <x v="30"/>
  </r>
  <r>
    <n v="227"/>
    <x v="9"/>
    <x v="17"/>
    <x v="0"/>
    <x v="0"/>
    <x v="2"/>
    <x v="2"/>
    <x v="0"/>
    <x v="0"/>
    <x v="2"/>
    <x v="11"/>
    <x v="22"/>
    <x v="14"/>
    <x v="17"/>
    <x v="104"/>
    <x v="106"/>
  </r>
  <r>
    <n v="228"/>
    <x v="9"/>
    <x v="18"/>
    <x v="0"/>
    <x v="0"/>
    <x v="2"/>
    <x v="2"/>
    <x v="0"/>
    <x v="0"/>
    <x v="2"/>
    <x v="13"/>
    <x v="22"/>
    <x v="6"/>
    <x v="5"/>
    <x v="105"/>
    <x v="107"/>
  </r>
  <r>
    <n v="229"/>
    <x v="9"/>
    <x v="19"/>
    <x v="0"/>
    <x v="0"/>
    <x v="2"/>
    <x v="2"/>
    <x v="0"/>
    <x v="0"/>
    <x v="13"/>
    <x v="17"/>
    <x v="19"/>
    <x v="8"/>
    <x v="0"/>
    <x v="50"/>
    <x v="76"/>
  </r>
  <r>
    <n v="230"/>
    <x v="9"/>
    <x v="20"/>
    <x v="0"/>
    <x v="0"/>
    <x v="2"/>
    <x v="2"/>
    <x v="0"/>
    <x v="0"/>
    <x v="13"/>
    <x v="17"/>
    <x v="20"/>
    <x v="8"/>
    <x v="5"/>
    <x v="26"/>
    <x v="30"/>
  </r>
  <r>
    <n v="231"/>
    <x v="9"/>
    <x v="21"/>
    <x v="0"/>
    <x v="0"/>
    <x v="2"/>
    <x v="2"/>
    <x v="0"/>
    <x v="0"/>
    <x v="14"/>
    <x v="14"/>
    <x v="29"/>
    <x v="5"/>
    <x v="5"/>
    <x v="53"/>
    <x v="103"/>
  </r>
  <r>
    <n v="232"/>
    <x v="9"/>
    <x v="22"/>
    <x v="0"/>
    <x v="0"/>
    <x v="2"/>
    <x v="2"/>
    <x v="0"/>
    <x v="0"/>
    <x v="14"/>
    <x v="20"/>
    <x v="29"/>
    <x v="8"/>
    <x v="4"/>
    <x v="97"/>
    <x v="108"/>
  </r>
  <r>
    <n v="233"/>
    <x v="9"/>
    <x v="23"/>
    <x v="0"/>
    <x v="0"/>
    <x v="2"/>
    <x v="2"/>
    <x v="0"/>
    <x v="0"/>
    <x v="14"/>
    <x v="20"/>
    <x v="29"/>
    <x v="8"/>
    <x v="3"/>
    <x v="72"/>
    <x v="109"/>
  </r>
  <r>
    <n v="234"/>
    <x v="10"/>
    <x v="0"/>
    <x v="0"/>
    <x v="0"/>
    <x v="3"/>
    <x v="3"/>
    <x v="0"/>
    <x v="0"/>
    <x v="14"/>
    <x v="17"/>
    <x v="29"/>
    <x v="14"/>
    <x v="4"/>
    <x v="3"/>
    <x v="47"/>
  </r>
  <r>
    <n v="235"/>
    <x v="10"/>
    <x v="1"/>
    <x v="0"/>
    <x v="0"/>
    <x v="3"/>
    <x v="3"/>
    <x v="0"/>
    <x v="0"/>
    <x v="14"/>
    <x v="20"/>
    <x v="29"/>
    <x v="8"/>
    <x v="3"/>
    <x v="35"/>
    <x v="6"/>
  </r>
  <r>
    <n v="236"/>
    <x v="10"/>
    <x v="2"/>
    <x v="0"/>
    <x v="0"/>
    <x v="3"/>
    <x v="3"/>
    <x v="1"/>
    <x v="1"/>
    <x v="13"/>
    <x v="20"/>
    <x v="28"/>
    <x v="5"/>
    <x v="3"/>
    <x v="35"/>
    <x v="6"/>
  </r>
  <r>
    <n v="237"/>
    <x v="10"/>
    <x v="5"/>
    <x v="0"/>
    <x v="0"/>
    <x v="3"/>
    <x v="3"/>
    <x v="1"/>
    <x v="1"/>
    <x v="13"/>
    <x v="18"/>
    <x v="28"/>
    <x v="7"/>
    <x v="3"/>
    <x v="8"/>
    <x v="24"/>
  </r>
  <r>
    <n v="238"/>
    <x v="10"/>
    <x v="6"/>
    <x v="0"/>
    <x v="0"/>
    <x v="3"/>
    <x v="3"/>
    <x v="1"/>
    <x v="1"/>
    <x v="13"/>
    <x v="18"/>
    <x v="28"/>
    <x v="7"/>
    <x v="3"/>
    <x v="2"/>
    <x v="110"/>
  </r>
  <r>
    <n v="239"/>
    <x v="10"/>
    <x v="7"/>
    <x v="0"/>
    <x v="0"/>
    <x v="3"/>
    <x v="3"/>
    <x v="1"/>
    <x v="1"/>
    <x v="13"/>
    <x v="11"/>
    <x v="28"/>
    <x v="0"/>
    <x v="4"/>
    <x v="106"/>
    <x v="111"/>
  </r>
  <r>
    <n v="240"/>
    <x v="10"/>
    <x v="8"/>
    <x v="0"/>
    <x v="0"/>
    <x v="3"/>
    <x v="3"/>
    <x v="1"/>
    <x v="1"/>
    <x v="15"/>
    <x v="12"/>
    <x v="33"/>
    <x v="1"/>
    <x v="0"/>
    <x v="107"/>
    <x v="112"/>
  </r>
  <r>
    <n v="241"/>
    <x v="10"/>
    <x v="9"/>
    <x v="0"/>
    <x v="0"/>
    <x v="3"/>
    <x v="3"/>
    <x v="1"/>
    <x v="1"/>
    <x v="15"/>
    <x v="13"/>
    <x v="33"/>
    <x v="8"/>
    <x v="0"/>
    <x v="69"/>
    <x v="113"/>
  </r>
  <r>
    <n v="242"/>
    <x v="10"/>
    <x v="10"/>
    <x v="0"/>
    <x v="0"/>
    <x v="3"/>
    <x v="3"/>
    <x v="1"/>
    <x v="1"/>
    <x v="2"/>
    <x v="12"/>
    <x v="33"/>
    <x v="8"/>
    <x v="0"/>
    <x v="82"/>
    <x v="60"/>
  </r>
  <r>
    <n v="243"/>
    <x v="10"/>
    <x v="11"/>
    <x v="0"/>
    <x v="0"/>
    <x v="3"/>
    <x v="3"/>
    <x v="1"/>
    <x v="1"/>
    <x v="2"/>
    <x v="12"/>
    <x v="19"/>
    <x v="7"/>
    <x v="17"/>
    <x v="17"/>
    <x v="17"/>
  </r>
  <r>
    <n v="244"/>
    <x v="10"/>
    <x v="12"/>
    <x v="0"/>
    <x v="0"/>
    <x v="3"/>
    <x v="3"/>
    <x v="1"/>
    <x v="1"/>
    <x v="2"/>
    <x v="11"/>
    <x v="33"/>
    <x v="14"/>
    <x v="4"/>
    <x v="11"/>
    <x v="52"/>
  </r>
  <r>
    <n v="245"/>
    <x v="10"/>
    <x v="13"/>
    <x v="0"/>
    <x v="0"/>
    <x v="3"/>
    <x v="3"/>
    <x v="1"/>
    <x v="1"/>
    <x v="2"/>
    <x v="11"/>
    <x v="29"/>
    <x v="1"/>
    <x v="15"/>
    <x v="24"/>
    <x v="46"/>
  </r>
  <r>
    <n v="246"/>
    <x v="10"/>
    <x v="14"/>
    <x v="0"/>
    <x v="0"/>
    <x v="3"/>
    <x v="3"/>
    <x v="1"/>
    <x v="1"/>
    <x v="2"/>
    <x v="11"/>
    <x v="29"/>
    <x v="1"/>
    <x v="0"/>
    <x v="91"/>
    <x v="55"/>
  </r>
  <r>
    <n v="247"/>
    <x v="10"/>
    <x v="15"/>
    <x v="0"/>
    <x v="0"/>
    <x v="3"/>
    <x v="3"/>
    <x v="1"/>
    <x v="1"/>
    <x v="13"/>
    <x v="13"/>
    <x v="1"/>
    <x v="1"/>
    <x v="4"/>
    <x v="108"/>
    <x v="105"/>
  </r>
  <r>
    <n v="248"/>
    <x v="10"/>
    <x v="16"/>
    <x v="0"/>
    <x v="0"/>
    <x v="3"/>
    <x v="3"/>
    <x v="1"/>
    <x v="1"/>
    <x v="13"/>
    <x v="20"/>
    <x v="3"/>
    <x v="6"/>
    <x v="17"/>
    <x v="109"/>
    <x v="31"/>
  </r>
  <r>
    <n v="249"/>
    <x v="10"/>
    <x v="17"/>
    <x v="0"/>
    <x v="0"/>
    <x v="3"/>
    <x v="3"/>
    <x v="1"/>
    <x v="1"/>
    <x v="13"/>
    <x v="20"/>
    <x v="3"/>
    <x v="6"/>
    <x v="15"/>
    <x v="110"/>
    <x v="114"/>
  </r>
  <r>
    <n v="250"/>
    <x v="10"/>
    <x v="18"/>
    <x v="0"/>
    <x v="0"/>
    <x v="3"/>
    <x v="3"/>
    <x v="2"/>
    <x v="2"/>
    <x v="13"/>
    <x v="18"/>
    <x v="43"/>
    <x v="14"/>
    <x v="5"/>
    <x v="111"/>
    <x v="76"/>
  </r>
  <r>
    <n v="251"/>
    <x v="10"/>
    <x v="19"/>
    <x v="0"/>
    <x v="0"/>
    <x v="3"/>
    <x v="3"/>
    <x v="2"/>
    <x v="2"/>
    <x v="13"/>
    <x v="11"/>
    <x v="43"/>
    <x v="0"/>
    <x v="3"/>
    <x v="82"/>
    <x v="41"/>
  </r>
  <r>
    <n v="252"/>
    <x v="10"/>
    <x v="20"/>
    <x v="0"/>
    <x v="0"/>
    <x v="3"/>
    <x v="3"/>
    <x v="2"/>
    <x v="2"/>
    <x v="13"/>
    <x v="20"/>
    <x v="43"/>
    <x v="5"/>
    <x v="3"/>
    <x v="1"/>
    <x v="2"/>
  </r>
  <r>
    <n v="253"/>
    <x v="10"/>
    <x v="21"/>
    <x v="0"/>
    <x v="0"/>
    <x v="3"/>
    <x v="3"/>
    <x v="2"/>
    <x v="2"/>
    <x v="13"/>
    <x v="13"/>
    <x v="3"/>
    <x v="1"/>
    <x v="3"/>
    <x v="32"/>
    <x v="25"/>
  </r>
  <r>
    <n v="254"/>
    <x v="10"/>
    <x v="22"/>
    <x v="0"/>
    <x v="0"/>
    <x v="3"/>
    <x v="3"/>
    <x v="2"/>
    <x v="2"/>
    <x v="13"/>
    <x v="18"/>
    <x v="43"/>
    <x v="14"/>
    <x v="5"/>
    <x v="95"/>
    <x v="115"/>
  </r>
  <r>
    <n v="255"/>
    <x v="10"/>
    <x v="23"/>
    <x v="0"/>
    <x v="0"/>
    <x v="3"/>
    <x v="3"/>
    <x v="2"/>
    <x v="2"/>
    <x v="13"/>
    <x v="13"/>
    <x v="43"/>
    <x v="1"/>
    <x v="5"/>
    <x v="72"/>
    <x v="75"/>
  </r>
  <r>
    <n v="256"/>
    <x v="11"/>
    <x v="0"/>
    <x v="0"/>
    <x v="0"/>
    <x v="4"/>
    <x v="4"/>
    <x v="1"/>
    <x v="1"/>
    <x v="13"/>
    <x v="13"/>
    <x v="3"/>
    <x v="1"/>
    <x v="3"/>
    <x v="7"/>
    <x v="85"/>
  </r>
  <r>
    <n v="257"/>
    <x v="11"/>
    <x v="1"/>
    <x v="0"/>
    <x v="0"/>
    <x v="4"/>
    <x v="4"/>
    <x v="1"/>
    <x v="1"/>
    <x v="13"/>
    <x v="18"/>
    <x v="3"/>
    <x v="14"/>
    <x v="3"/>
    <x v="8"/>
    <x v="24"/>
  </r>
  <r>
    <n v="258"/>
    <x v="11"/>
    <x v="2"/>
    <x v="0"/>
    <x v="0"/>
    <x v="4"/>
    <x v="4"/>
    <x v="0"/>
    <x v="0"/>
    <x v="14"/>
    <x v="20"/>
    <x v="3"/>
    <x v="7"/>
    <x v="3"/>
    <x v="4"/>
    <x v="4"/>
  </r>
  <r>
    <n v="259"/>
    <x v="11"/>
    <x v="5"/>
    <x v="0"/>
    <x v="0"/>
    <x v="4"/>
    <x v="4"/>
    <x v="0"/>
    <x v="0"/>
    <x v="14"/>
    <x v="20"/>
    <x v="3"/>
    <x v="8"/>
    <x v="3"/>
    <x v="34"/>
    <x v="36"/>
  </r>
  <r>
    <n v="260"/>
    <x v="11"/>
    <x v="6"/>
    <x v="0"/>
    <x v="0"/>
    <x v="4"/>
    <x v="4"/>
    <x v="0"/>
    <x v="0"/>
    <x v="16"/>
    <x v="20"/>
    <x v="43"/>
    <x v="7"/>
    <x v="3"/>
    <x v="20"/>
    <x v="0"/>
  </r>
  <r>
    <n v="261"/>
    <x v="11"/>
    <x v="7"/>
    <x v="0"/>
    <x v="0"/>
    <x v="4"/>
    <x v="4"/>
    <x v="0"/>
    <x v="0"/>
    <x v="14"/>
    <x v="20"/>
    <x v="27"/>
    <x v="7"/>
    <x v="3"/>
    <x v="25"/>
    <x v="60"/>
  </r>
  <r>
    <n v="262"/>
    <x v="11"/>
    <x v="8"/>
    <x v="0"/>
    <x v="0"/>
    <x v="4"/>
    <x v="4"/>
    <x v="0"/>
    <x v="0"/>
    <x v="13"/>
    <x v="17"/>
    <x v="29"/>
    <x v="8"/>
    <x v="0"/>
    <x v="85"/>
    <x v="116"/>
  </r>
  <r>
    <n v="263"/>
    <x v="11"/>
    <x v="9"/>
    <x v="0"/>
    <x v="0"/>
    <x v="4"/>
    <x v="4"/>
    <x v="0"/>
    <x v="0"/>
    <x v="13"/>
    <x v="14"/>
    <x v="29"/>
    <x v="9"/>
    <x v="0"/>
    <x v="78"/>
    <x v="117"/>
  </r>
  <r>
    <n v="264"/>
    <x v="11"/>
    <x v="10"/>
    <x v="0"/>
    <x v="0"/>
    <x v="4"/>
    <x v="4"/>
    <x v="0"/>
    <x v="0"/>
    <x v="15"/>
    <x v="18"/>
    <x v="28"/>
    <x v="6"/>
    <x v="3"/>
    <x v="87"/>
    <x v="21"/>
  </r>
  <r>
    <n v="265"/>
    <x v="11"/>
    <x v="11"/>
    <x v="0"/>
    <x v="0"/>
    <x v="4"/>
    <x v="4"/>
    <x v="0"/>
    <x v="0"/>
    <x v="2"/>
    <x v="18"/>
    <x v="33"/>
    <x v="13"/>
    <x v="0"/>
    <x v="1"/>
    <x v="17"/>
  </r>
  <r>
    <n v="266"/>
    <x v="11"/>
    <x v="12"/>
    <x v="0"/>
    <x v="0"/>
    <x v="4"/>
    <x v="4"/>
    <x v="0"/>
    <x v="0"/>
    <x v="2"/>
    <x v="20"/>
    <x v="19"/>
    <x v="19"/>
    <x v="0"/>
    <x v="15"/>
    <x v="97"/>
  </r>
  <r>
    <n v="267"/>
    <x v="11"/>
    <x v="13"/>
    <x v="0"/>
    <x v="0"/>
    <x v="4"/>
    <x v="4"/>
    <x v="0"/>
    <x v="0"/>
    <x v="1"/>
    <x v="13"/>
    <x v="18"/>
    <x v="11"/>
    <x v="3"/>
    <x v="47"/>
    <x v="99"/>
  </r>
  <r>
    <n v="268"/>
    <x v="11"/>
    <x v="14"/>
    <x v="0"/>
    <x v="0"/>
    <x v="4"/>
    <x v="4"/>
    <x v="0"/>
    <x v="0"/>
    <x v="2"/>
    <x v="18"/>
    <x v="19"/>
    <x v="9"/>
    <x v="3"/>
    <x v="100"/>
    <x v="40"/>
  </r>
  <r>
    <n v="269"/>
    <x v="11"/>
    <x v="15"/>
    <x v="0"/>
    <x v="0"/>
    <x v="4"/>
    <x v="4"/>
    <x v="0"/>
    <x v="0"/>
    <x v="2"/>
    <x v="17"/>
    <x v="19"/>
    <x v="12"/>
    <x v="5"/>
    <x v="41"/>
    <x v="99"/>
  </r>
  <r>
    <n v="270"/>
    <x v="11"/>
    <x v="16"/>
    <x v="0"/>
    <x v="0"/>
    <x v="4"/>
    <x v="4"/>
    <x v="0"/>
    <x v="0"/>
    <x v="1"/>
    <x v="13"/>
    <x v="18"/>
    <x v="9"/>
    <x v="2"/>
    <x v="36"/>
    <x v="118"/>
  </r>
  <r>
    <n v="271"/>
    <x v="11"/>
    <x v="17"/>
    <x v="0"/>
    <x v="0"/>
    <x v="4"/>
    <x v="4"/>
    <x v="0"/>
    <x v="0"/>
    <x v="2"/>
    <x v="18"/>
    <x v="19"/>
    <x v="11"/>
    <x v="3"/>
    <x v="112"/>
    <x v="119"/>
  </r>
  <r>
    <n v="272"/>
    <x v="11"/>
    <x v="18"/>
    <x v="0"/>
    <x v="0"/>
    <x v="4"/>
    <x v="4"/>
    <x v="0"/>
    <x v="0"/>
    <x v="2"/>
    <x v="20"/>
    <x v="19"/>
    <x v="18"/>
    <x v="4"/>
    <x v="113"/>
    <x v="120"/>
  </r>
  <r>
    <n v="273"/>
    <x v="11"/>
    <x v="19"/>
    <x v="0"/>
    <x v="0"/>
    <x v="4"/>
    <x v="4"/>
    <x v="0"/>
    <x v="0"/>
    <x v="15"/>
    <x v="20"/>
    <x v="19"/>
    <x v="12"/>
    <x v="5"/>
    <x v="70"/>
    <x v="56"/>
  </r>
  <r>
    <n v="274"/>
    <x v="11"/>
    <x v="20"/>
    <x v="0"/>
    <x v="0"/>
    <x v="4"/>
    <x v="4"/>
    <x v="0"/>
    <x v="0"/>
    <x v="13"/>
    <x v="14"/>
    <x v="20"/>
    <x v="9"/>
    <x v="4"/>
    <x v="25"/>
    <x v="10"/>
  </r>
  <r>
    <n v="275"/>
    <x v="11"/>
    <x v="21"/>
    <x v="0"/>
    <x v="0"/>
    <x v="4"/>
    <x v="4"/>
    <x v="0"/>
    <x v="0"/>
    <x v="13"/>
    <x v="14"/>
    <x v="28"/>
    <x v="9"/>
    <x v="3"/>
    <x v="77"/>
    <x v="52"/>
  </r>
  <r>
    <n v="276"/>
    <x v="11"/>
    <x v="22"/>
    <x v="0"/>
    <x v="0"/>
    <x v="4"/>
    <x v="4"/>
    <x v="0"/>
    <x v="0"/>
    <x v="13"/>
    <x v="16"/>
    <x v="28"/>
    <x v="10"/>
    <x v="5"/>
    <x v="1"/>
    <x v="63"/>
  </r>
  <r>
    <n v="277"/>
    <x v="11"/>
    <x v="23"/>
    <x v="0"/>
    <x v="0"/>
    <x v="4"/>
    <x v="4"/>
    <x v="0"/>
    <x v="0"/>
    <x v="14"/>
    <x v="15"/>
    <x v="29"/>
    <x v="12"/>
    <x v="5"/>
    <x v="23"/>
    <x v="25"/>
  </r>
  <r>
    <n v="278"/>
    <x v="12"/>
    <x v="0"/>
    <x v="0"/>
    <x v="0"/>
    <x v="5"/>
    <x v="5"/>
    <x v="0"/>
    <x v="0"/>
    <x v="14"/>
    <x v="16"/>
    <x v="29"/>
    <x v="3"/>
    <x v="5"/>
    <x v="8"/>
    <x v="85"/>
  </r>
  <r>
    <n v="279"/>
    <x v="12"/>
    <x v="1"/>
    <x v="0"/>
    <x v="0"/>
    <x v="5"/>
    <x v="5"/>
    <x v="0"/>
    <x v="0"/>
    <x v="14"/>
    <x v="16"/>
    <x v="20"/>
    <x v="3"/>
    <x v="3"/>
    <x v="6"/>
    <x v="5"/>
  </r>
  <r>
    <n v="280"/>
    <x v="12"/>
    <x v="2"/>
    <x v="0"/>
    <x v="0"/>
    <x v="5"/>
    <x v="5"/>
    <x v="0"/>
    <x v="0"/>
    <x v="14"/>
    <x v="16"/>
    <x v="20"/>
    <x v="11"/>
    <x v="3"/>
    <x v="6"/>
    <x v="5"/>
  </r>
  <r>
    <n v="281"/>
    <x v="12"/>
    <x v="3"/>
    <x v="0"/>
    <x v="0"/>
    <x v="5"/>
    <x v="5"/>
    <x v="0"/>
    <x v="0"/>
    <x v="14"/>
    <x v="16"/>
    <x v="20"/>
    <x v="9"/>
    <x v="3"/>
    <x v="35"/>
    <x v="6"/>
  </r>
  <r>
    <n v="282"/>
    <x v="12"/>
    <x v="4"/>
    <x v="0"/>
    <x v="0"/>
    <x v="5"/>
    <x v="5"/>
    <x v="0"/>
    <x v="0"/>
    <x v="14"/>
    <x v="16"/>
    <x v="20"/>
    <x v="2"/>
    <x v="3"/>
    <x v="22"/>
    <x v="48"/>
  </r>
  <r>
    <n v="283"/>
    <x v="12"/>
    <x v="5"/>
    <x v="0"/>
    <x v="0"/>
    <x v="5"/>
    <x v="5"/>
    <x v="0"/>
    <x v="0"/>
    <x v="14"/>
    <x v="16"/>
    <x v="20"/>
    <x v="4"/>
    <x v="3"/>
    <x v="35"/>
    <x v="6"/>
  </r>
  <r>
    <n v="284"/>
    <x v="12"/>
    <x v="6"/>
    <x v="0"/>
    <x v="0"/>
    <x v="5"/>
    <x v="5"/>
    <x v="0"/>
    <x v="0"/>
    <x v="16"/>
    <x v="20"/>
    <x v="47"/>
    <x v="7"/>
    <x v="3"/>
    <x v="95"/>
    <x v="20"/>
  </r>
  <r>
    <n v="285"/>
    <x v="12"/>
    <x v="7"/>
    <x v="0"/>
    <x v="0"/>
    <x v="5"/>
    <x v="5"/>
    <x v="0"/>
    <x v="0"/>
    <x v="16"/>
    <x v="20"/>
    <x v="47"/>
    <x v="7"/>
    <x v="3"/>
    <x v="109"/>
    <x v="44"/>
  </r>
  <r>
    <n v="286"/>
    <x v="12"/>
    <x v="8"/>
    <x v="0"/>
    <x v="0"/>
    <x v="5"/>
    <x v="5"/>
    <x v="0"/>
    <x v="0"/>
    <x v="14"/>
    <x v="14"/>
    <x v="20"/>
    <x v="5"/>
    <x v="2"/>
    <x v="114"/>
    <x v="121"/>
  </r>
  <r>
    <n v="287"/>
    <x v="12"/>
    <x v="9"/>
    <x v="0"/>
    <x v="0"/>
    <x v="5"/>
    <x v="5"/>
    <x v="0"/>
    <x v="0"/>
    <x v="14"/>
    <x v="16"/>
    <x v="20"/>
    <x v="9"/>
    <x v="4"/>
    <x v="115"/>
    <x v="119"/>
  </r>
  <r>
    <n v="288"/>
    <x v="12"/>
    <x v="10"/>
    <x v="0"/>
    <x v="0"/>
    <x v="5"/>
    <x v="5"/>
    <x v="1"/>
    <x v="1"/>
    <x v="13"/>
    <x v="14"/>
    <x v="20"/>
    <x v="11"/>
    <x v="4"/>
    <x v="49"/>
    <x v="103"/>
  </r>
  <r>
    <n v="289"/>
    <x v="12"/>
    <x v="11"/>
    <x v="0"/>
    <x v="0"/>
    <x v="5"/>
    <x v="5"/>
    <x v="1"/>
    <x v="1"/>
    <x v="2"/>
    <x v="17"/>
    <x v="18"/>
    <x v="10"/>
    <x v="17"/>
    <x v="39"/>
    <x v="18"/>
  </r>
  <r>
    <n v="290"/>
    <x v="12"/>
    <x v="12"/>
    <x v="0"/>
    <x v="0"/>
    <x v="5"/>
    <x v="5"/>
    <x v="0"/>
    <x v="0"/>
    <x v="2"/>
    <x v="17"/>
    <x v="18"/>
    <x v="12"/>
    <x v="0"/>
    <x v="47"/>
    <x v="46"/>
  </r>
  <r>
    <n v="291"/>
    <x v="12"/>
    <x v="13"/>
    <x v="0"/>
    <x v="0"/>
    <x v="5"/>
    <x v="5"/>
    <x v="0"/>
    <x v="0"/>
    <x v="1"/>
    <x v="13"/>
    <x v="48"/>
    <x v="10"/>
    <x v="4"/>
    <x v="38"/>
    <x v="56"/>
  </r>
  <r>
    <n v="292"/>
    <x v="12"/>
    <x v="14"/>
    <x v="0"/>
    <x v="0"/>
    <x v="5"/>
    <x v="5"/>
    <x v="0"/>
    <x v="0"/>
    <x v="1"/>
    <x v="13"/>
    <x v="48"/>
    <x v="13"/>
    <x v="0"/>
    <x v="87"/>
    <x v="51"/>
  </r>
  <r>
    <n v="293"/>
    <x v="12"/>
    <x v="15"/>
    <x v="0"/>
    <x v="0"/>
    <x v="5"/>
    <x v="5"/>
    <x v="0"/>
    <x v="0"/>
    <x v="0"/>
    <x v="12"/>
    <x v="41"/>
    <x v="4"/>
    <x v="2"/>
    <x v="11"/>
    <x v="122"/>
  </r>
  <r>
    <n v="294"/>
    <x v="12"/>
    <x v="16"/>
    <x v="0"/>
    <x v="0"/>
    <x v="5"/>
    <x v="5"/>
    <x v="0"/>
    <x v="0"/>
    <x v="0"/>
    <x v="12"/>
    <x v="41"/>
    <x v="11"/>
    <x v="4"/>
    <x v="83"/>
    <x v="53"/>
  </r>
  <r>
    <n v="295"/>
    <x v="12"/>
    <x v="17"/>
    <x v="0"/>
    <x v="0"/>
    <x v="5"/>
    <x v="5"/>
    <x v="0"/>
    <x v="0"/>
    <x v="2"/>
    <x v="18"/>
    <x v="22"/>
    <x v="3"/>
    <x v="17"/>
    <x v="81"/>
    <x v="123"/>
  </r>
  <r>
    <n v="296"/>
    <x v="12"/>
    <x v="18"/>
    <x v="0"/>
    <x v="0"/>
    <x v="5"/>
    <x v="5"/>
    <x v="0"/>
    <x v="0"/>
    <x v="2"/>
    <x v="18"/>
    <x v="22"/>
    <x v="9"/>
    <x v="0"/>
    <x v="116"/>
    <x v="124"/>
  </r>
  <r>
    <n v="297"/>
    <x v="12"/>
    <x v="19"/>
    <x v="0"/>
    <x v="0"/>
    <x v="5"/>
    <x v="5"/>
    <x v="0"/>
    <x v="0"/>
    <x v="13"/>
    <x v="20"/>
    <x v="19"/>
    <x v="2"/>
    <x v="5"/>
    <x v="52"/>
    <x v="111"/>
  </r>
  <r>
    <n v="298"/>
    <x v="12"/>
    <x v="20"/>
    <x v="0"/>
    <x v="0"/>
    <x v="5"/>
    <x v="5"/>
    <x v="0"/>
    <x v="0"/>
    <x v="13"/>
    <x v="20"/>
    <x v="19"/>
    <x v="6"/>
    <x v="3"/>
    <x v="27"/>
    <x v="37"/>
  </r>
  <r>
    <n v="299"/>
    <x v="12"/>
    <x v="21"/>
    <x v="0"/>
    <x v="0"/>
    <x v="5"/>
    <x v="5"/>
    <x v="0"/>
    <x v="0"/>
    <x v="14"/>
    <x v="16"/>
    <x v="15"/>
    <x v="4"/>
    <x v="3"/>
    <x v="71"/>
    <x v="1"/>
  </r>
  <r>
    <n v="300"/>
    <x v="12"/>
    <x v="22"/>
    <x v="0"/>
    <x v="0"/>
    <x v="5"/>
    <x v="5"/>
    <x v="0"/>
    <x v="0"/>
    <x v="14"/>
    <x v="16"/>
    <x v="15"/>
    <x v="9"/>
    <x v="3"/>
    <x v="10"/>
    <x v="33"/>
  </r>
  <r>
    <n v="301"/>
    <x v="12"/>
    <x v="23"/>
    <x v="0"/>
    <x v="0"/>
    <x v="5"/>
    <x v="5"/>
    <x v="0"/>
    <x v="0"/>
    <x v="16"/>
    <x v="14"/>
    <x v="20"/>
    <x v="5"/>
    <x v="5"/>
    <x v="88"/>
    <x v="93"/>
  </r>
  <r>
    <n v="302"/>
    <x v="13"/>
    <x v="0"/>
    <x v="0"/>
    <x v="0"/>
    <x v="6"/>
    <x v="6"/>
    <x v="0"/>
    <x v="0"/>
    <x v="16"/>
    <x v="14"/>
    <x v="20"/>
    <x v="5"/>
    <x v="3"/>
    <x v="88"/>
    <x v="8"/>
  </r>
  <r>
    <n v="303"/>
    <x v="13"/>
    <x v="1"/>
    <x v="0"/>
    <x v="0"/>
    <x v="6"/>
    <x v="6"/>
    <x v="0"/>
    <x v="0"/>
    <x v="18"/>
    <x v="16"/>
    <x v="47"/>
    <x v="8"/>
    <x v="3"/>
    <x v="34"/>
    <x v="36"/>
  </r>
  <r>
    <n v="304"/>
    <x v="13"/>
    <x v="2"/>
    <x v="0"/>
    <x v="0"/>
    <x v="6"/>
    <x v="6"/>
    <x v="0"/>
    <x v="0"/>
    <x v="18"/>
    <x v="16"/>
    <x v="47"/>
    <x v="7"/>
    <x v="3"/>
    <x v="4"/>
    <x v="4"/>
  </r>
  <r>
    <n v="305"/>
    <x v="13"/>
    <x v="3"/>
    <x v="0"/>
    <x v="0"/>
    <x v="6"/>
    <x v="6"/>
    <x v="0"/>
    <x v="0"/>
    <x v="18"/>
    <x v="14"/>
    <x v="47"/>
    <x v="14"/>
    <x v="3"/>
    <x v="4"/>
    <x v="4"/>
  </r>
  <r>
    <n v="306"/>
    <x v="13"/>
    <x v="5"/>
    <x v="0"/>
    <x v="0"/>
    <x v="6"/>
    <x v="6"/>
    <x v="0"/>
    <x v="0"/>
    <x v="18"/>
    <x v="14"/>
    <x v="47"/>
    <x v="1"/>
    <x v="3"/>
    <x v="21"/>
    <x v="7"/>
  </r>
  <r>
    <n v="307"/>
    <x v="13"/>
    <x v="6"/>
    <x v="0"/>
    <x v="0"/>
    <x v="6"/>
    <x v="6"/>
    <x v="0"/>
    <x v="0"/>
    <x v="18"/>
    <x v="18"/>
    <x v="47"/>
    <x v="0"/>
    <x v="3"/>
    <x v="19"/>
    <x v="22"/>
  </r>
  <r>
    <n v="308"/>
    <x v="13"/>
    <x v="7"/>
    <x v="0"/>
    <x v="0"/>
    <x v="6"/>
    <x v="6"/>
    <x v="0"/>
    <x v="0"/>
    <x v="18"/>
    <x v="16"/>
    <x v="32"/>
    <x v="8"/>
    <x v="3"/>
    <x v="14"/>
    <x v="27"/>
  </r>
  <r>
    <n v="309"/>
    <x v="13"/>
    <x v="8"/>
    <x v="0"/>
    <x v="0"/>
    <x v="6"/>
    <x v="6"/>
    <x v="0"/>
    <x v="0"/>
    <x v="16"/>
    <x v="17"/>
    <x v="31"/>
    <x v="0"/>
    <x v="4"/>
    <x v="117"/>
    <x v="125"/>
  </r>
  <r>
    <n v="310"/>
    <x v="13"/>
    <x v="9"/>
    <x v="0"/>
    <x v="0"/>
    <x v="6"/>
    <x v="6"/>
    <x v="0"/>
    <x v="0"/>
    <x v="14"/>
    <x v="20"/>
    <x v="27"/>
    <x v="7"/>
    <x v="3"/>
    <x v="118"/>
    <x v="126"/>
  </r>
  <r>
    <n v="311"/>
    <x v="13"/>
    <x v="10"/>
    <x v="0"/>
    <x v="0"/>
    <x v="6"/>
    <x v="6"/>
    <x v="0"/>
    <x v="0"/>
    <x v="15"/>
    <x v="18"/>
    <x v="28"/>
    <x v="5"/>
    <x v="17"/>
    <x v="71"/>
    <x v="40"/>
  </r>
  <r>
    <n v="312"/>
    <x v="13"/>
    <x v="11"/>
    <x v="0"/>
    <x v="0"/>
    <x v="6"/>
    <x v="6"/>
    <x v="0"/>
    <x v="0"/>
    <x v="15"/>
    <x v="17"/>
    <x v="33"/>
    <x v="3"/>
    <x v="15"/>
    <x v="12"/>
    <x v="26"/>
  </r>
  <r>
    <n v="313"/>
    <x v="13"/>
    <x v="12"/>
    <x v="0"/>
    <x v="0"/>
    <x v="6"/>
    <x v="6"/>
    <x v="0"/>
    <x v="0"/>
    <x v="2"/>
    <x v="13"/>
    <x v="18"/>
    <x v="2"/>
    <x v="4"/>
    <x v="79"/>
    <x v="42"/>
  </r>
  <r>
    <n v="314"/>
    <x v="13"/>
    <x v="13"/>
    <x v="0"/>
    <x v="0"/>
    <x v="6"/>
    <x v="6"/>
    <x v="0"/>
    <x v="0"/>
    <x v="1"/>
    <x v="13"/>
    <x v="38"/>
    <x v="13"/>
    <x v="17"/>
    <x v="26"/>
    <x v="43"/>
  </r>
  <r>
    <n v="315"/>
    <x v="13"/>
    <x v="14"/>
    <x v="0"/>
    <x v="0"/>
    <x v="6"/>
    <x v="6"/>
    <x v="0"/>
    <x v="0"/>
    <x v="1"/>
    <x v="12"/>
    <x v="48"/>
    <x v="3"/>
    <x v="2"/>
    <x v="79"/>
    <x v="37"/>
  </r>
  <r>
    <n v="316"/>
    <x v="13"/>
    <x v="15"/>
    <x v="0"/>
    <x v="0"/>
    <x v="6"/>
    <x v="6"/>
    <x v="0"/>
    <x v="0"/>
    <x v="0"/>
    <x v="19"/>
    <x v="41"/>
    <x v="8"/>
    <x v="14"/>
    <x v="79"/>
    <x v="118"/>
  </r>
  <r>
    <n v="317"/>
    <x v="13"/>
    <x v="16"/>
    <x v="0"/>
    <x v="0"/>
    <x v="6"/>
    <x v="6"/>
    <x v="0"/>
    <x v="0"/>
    <x v="1"/>
    <x v="19"/>
    <x v="48"/>
    <x v="14"/>
    <x v="0"/>
    <x v="61"/>
    <x v="127"/>
  </r>
  <r>
    <n v="318"/>
    <x v="13"/>
    <x v="17"/>
    <x v="0"/>
    <x v="0"/>
    <x v="6"/>
    <x v="6"/>
    <x v="0"/>
    <x v="0"/>
    <x v="1"/>
    <x v="11"/>
    <x v="48"/>
    <x v="8"/>
    <x v="17"/>
    <x v="119"/>
    <x v="128"/>
  </r>
  <r>
    <n v="319"/>
    <x v="13"/>
    <x v="18"/>
    <x v="0"/>
    <x v="0"/>
    <x v="6"/>
    <x v="6"/>
    <x v="0"/>
    <x v="0"/>
    <x v="2"/>
    <x v="2"/>
    <x v="19"/>
    <x v="0"/>
    <x v="2"/>
    <x v="120"/>
    <x v="119"/>
  </r>
  <r>
    <n v="320"/>
    <x v="13"/>
    <x v="19"/>
    <x v="0"/>
    <x v="0"/>
    <x v="6"/>
    <x v="6"/>
    <x v="0"/>
    <x v="0"/>
    <x v="13"/>
    <x v="13"/>
    <x v="29"/>
    <x v="1"/>
    <x v="0"/>
    <x v="121"/>
    <x v="101"/>
  </r>
  <r>
    <n v="321"/>
    <x v="13"/>
    <x v="20"/>
    <x v="0"/>
    <x v="0"/>
    <x v="6"/>
    <x v="6"/>
    <x v="0"/>
    <x v="0"/>
    <x v="15"/>
    <x v="19"/>
    <x v="29"/>
    <x v="0"/>
    <x v="3"/>
    <x v="56"/>
    <x v="118"/>
  </r>
  <r>
    <n v="322"/>
    <x v="13"/>
    <x v="21"/>
    <x v="0"/>
    <x v="0"/>
    <x v="6"/>
    <x v="6"/>
    <x v="0"/>
    <x v="0"/>
    <x v="13"/>
    <x v="11"/>
    <x v="27"/>
    <x v="0"/>
    <x v="17"/>
    <x v="41"/>
    <x v="46"/>
  </r>
  <r>
    <n v="323"/>
    <x v="13"/>
    <x v="22"/>
    <x v="0"/>
    <x v="0"/>
    <x v="6"/>
    <x v="6"/>
    <x v="1"/>
    <x v="1"/>
    <x v="13"/>
    <x v="11"/>
    <x v="27"/>
    <x v="0"/>
    <x v="4"/>
    <x v="60"/>
    <x v="9"/>
  </r>
  <r>
    <n v="324"/>
    <x v="13"/>
    <x v="23"/>
    <x v="0"/>
    <x v="0"/>
    <x v="6"/>
    <x v="6"/>
    <x v="1"/>
    <x v="1"/>
    <x v="15"/>
    <x v="19"/>
    <x v="28"/>
    <x v="0"/>
    <x v="5"/>
    <x v="16"/>
    <x v="110"/>
  </r>
  <r>
    <n v="325"/>
    <x v="14"/>
    <x v="0"/>
    <x v="0"/>
    <x v="0"/>
    <x v="0"/>
    <x v="0"/>
    <x v="0"/>
    <x v="0"/>
    <x v="15"/>
    <x v="19"/>
    <x v="28"/>
    <x v="0"/>
    <x v="0"/>
    <x v="18"/>
    <x v="20"/>
  </r>
  <r>
    <n v="326"/>
    <x v="14"/>
    <x v="1"/>
    <x v="0"/>
    <x v="0"/>
    <x v="0"/>
    <x v="0"/>
    <x v="1"/>
    <x v="1"/>
    <x v="13"/>
    <x v="13"/>
    <x v="29"/>
    <x v="1"/>
    <x v="4"/>
    <x v="72"/>
    <x v="25"/>
  </r>
  <r>
    <n v="327"/>
    <x v="14"/>
    <x v="2"/>
    <x v="0"/>
    <x v="0"/>
    <x v="0"/>
    <x v="0"/>
    <x v="1"/>
    <x v="1"/>
    <x v="13"/>
    <x v="13"/>
    <x v="29"/>
    <x v="1"/>
    <x v="3"/>
    <x v="98"/>
    <x v="47"/>
  </r>
  <r>
    <n v="328"/>
    <x v="14"/>
    <x v="3"/>
    <x v="0"/>
    <x v="0"/>
    <x v="0"/>
    <x v="0"/>
    <x v="1"/>
    <x v="1"/>
    <x v="13"/>
    <x v="11"/>
    <x v="29"/>
    <x v="0"/>
    <x v="5"/>
    <x v="7"/>
    <x v="7"/>
  </r>
  <r>
    <n v="329"/>
    <x v="14"/>
    <x v="4"/>
    <x v="0"/>
    <x v="0"/>
    <x v="0"/>
    <x v="0"/>
    <x v="1"/>
    <x v="1"/>
    <x v="13"/>
    <x v="11"/>
    <x v="29"/>
    <x v="0"/>
    <x v="3"/>
    <x v="34"/>
    <x v="36"/>
  </r>
  <r>
    <n v="330"/>
    <x v="14"/>
    <x v="5"/>
    <x v="0"/>
    <x v="0"/>
    <x v="0"/>
    <x v="0"/>
    <x v="0"/>
    <x v="0"/>
    <x v="13"/>
    <x v="11"/>
    <x v="29"/>
    <x v="0"/>
    <x v="3"/>
    <x v="4"/>
    <x v="4"/>
  </r>
  <r>
    <n v="331"/>
    <x v="14"/>
    <x v="6"/>
    <x v="0"/>
    <x v="0"/>
    <x v="0"/>
    <x v="0"/>
    <x v="0"/>
    <x v="0"/>
    <x v="14"/>
    <x v="17"/>
    <x v="30"/>
    <x v="14"/>
    <x v="5"/>
    <x v="6"/>
    <x v="6"/>
  </r>
  <r>
    <n v="332"/>
    <x v="14"/>
    <x v="7"/>
    <x v="0"/>
    <x v="0"/>
    <x v="0"/>
    <x v="0"/>
    <x v="0"/>
    <x v="0"/>
    <x v="14"/>
    <x v="12"/>
    <x v="30"/>
    <x v="0"/>
    <x v="5"/>
    <x v="33"/>
    <x v="98"/>
  </r>
  <r>
    <n v="333"/>
    <x v="14"/>
    <x v="8"/>
    <x v="0"/>
    <x v="0"/>
    <x v="0"/>
    <x v="0"/>
    <x v="0"/>
    <x v="0"/>
    <x v="14"/>
    <x v="20"/>
    <x v="30"/>
    <x v="7"/>
    <x v="5"/>
    <x v="97"/>
    <x v="84"/>
  </r>
  <r>
    <n v="334"/>
    <x v="14"/>
    <x v="9"/>
    <x v="0"/>
    <x v="0"/>
    <x v="0"/>
    <x v="0"/>
    <x v="0"/>
    <x v="0"/>
    <x v="13"/>
    <x v="18"/>
    <x v="26"/>
    <x v="7"/>
    <x v="4"/>
    <x v="17"/>
    <x v="63"/>
  </r>
  <r>
    <n v="335"/>
    <x v="14"/>
    <x v="10"/>
    <x v="0"/>
    <x v="0"/>
    <x v="0"/>
    <x v="0"/>
    <x v="0"/>
    <x v="0"/>
    <x v="15"/>
    <x v="13"/>
    <x v="29"/>
    <x v="8"/>
    <x v="4"/>
    <x v="77"/>
    <x v="29"/>
  </r>
  <r>
    <n v="336"/>
    <x v="14"/>
    <x v="11"/>
    <x v="0"/>
    <x v="0"/>
    <x v="0"/>
    <x v="0"/>
    <x v="0"/>
    <x v="0"/>
    <x v="2"/>
    <x v="13"/>
    <x v="28"/>
    <x v="6"/>
    <x v="25"/>
    <x v="25"/>
    <x v="44"/>
  </r>
  <r>
    <n v="337"/>
    <x v="14"/>
    <x v="12"/>
    <x v="0"/>
    <x v="0"/>
    <x v="0"/>
    <x v="0"/>
    <x v="0"/>
    <x v="0"/>
    <x v="0"/>
    <x v="11"/>
    <x v="37"/>
    <x v="6"/>
    <x v="13"/>
    <x v="64"/>
    <x v="70"/>
  </r>
  <r>
    <n v="338"/>
    <x v="14"/>
    <x v="13"/>
    <x v="0"/>
    <x v="0"/>
    <x v="0"/>
    <x v="0"/>
    <x v="0"/>
    <x v="0"/>
    <x v="17"/>
    <x v="2"/>
    <x v="41"/>
    <x v="4"/>
    <x v="27"/>
    <x v="122"/>
    <x v="129"/>
  </r>
  <r>
    <n v="339"/>
    <x v="14"/>
    <x v="14"/>
    <x v="0"/>
    <x v="0"/>
    <x v="0"/>
    <x v="0"/>
    <x v="0"/>
    <x v="0"/>
    <x v="11"/>
    <x v="0"/>
    <x v="17"/>
    <x v="3"/>
    <x v="7"/>
    <x v="50"/>
    <x v="130"/>
  </r>
  <r>
    <n v="340"/>
    <x v="14"/>
    <x v="15"/>
    <x v="0"/>
    <x v="0"/>
    <x v="0"/>
    <x v="0"/>
    <x v="1"/>
    <x v="1"/>
    <x v="3"/>
    <x v="21"/>
    <x v="42"/>
    <x v="5"/>
    <x v="27"/>
    <x v="123"/>
    <x v="131"/>
  </r>
  <r>
    <n v="341"/>
    <x v="14"/>
    <x v="16"/>
    <x v="0"/>
    <x v="0"/>
    <x v="0"/>
    <x v="0"/>
    <x v="1"/>
    <x v="1"/>
    <x v="10"/>
    <x v="6"/>
    <x v="46"/>
    <x v="5"/>
    <x v="28"/>
    <x v="73"/>
    <x v="116"/>
  </r>
  <r>
    <n v="342"/>
    <x v="14"/>
    <x v="17"/>
    <x v="0"/>
    <x v="0"/>
    <x v="0"/>
    <x v="0"/>
    <x v="1"/>
    <x v="1"/>
    <x v="3"/>
    <x v="25"/>
    <x v="42"/>
    <x v="3"/>
    <x v="8"/>
    <x v="25"/>
    <x v="56"/>
  </r>
  <r>
    <n v="343"/>
    <x v="14"/>
    <x v="18"/>
    <x v="0"/>
    <x v="0"/>
    <x v="0"/>
    <x v="0"/>
    <x v="1"/>
    <x v="1"/>
    <x v="11"/>
    <x v="0"/>
    <x v="49"/>
    <x v="2"/>
    <x v="13"/>
    <x v="94"/>
    <x v="11"/>
  </r>
  <r>
    <n v="344"/>
    <x v="14"/>
    <x v="19"/>
    <x v="0"/>
    <x v="0"/>
    <x v="0"/>
    <x v="0"/>
    <x v="1"/>
    <x v="1"/>
    <x v="3"/>
    <x v="25"/>
    <x v="17"/>
    <x v="2"/>
    <x v="24"/>
    <x v="91"/>
    <x v="30"/>
  </r>
  <r>
    <n v="345"/>
    <x v="14"/>
    <x v="20"/>
    <x v="0"/>
    <x v="0"/>
    <x v="0"/>
    <x v="0"/>
    <x v="1"/>
    <x v="1"/>
    <x v="3"/>
    <x v="25"/>
    <x v="17"/>
    <x v="2"/>
    <x v="15"/>
    <x v="96"/>
    <x v="102"/>
  </r>
  <r>
    <n v="346"/>
    <x v="14"/>
    <x v="21"/>
    <x v="0"/>
    <x v="0"/>
    <x v="0"/>
    <x v="0"/>
    <x v="1"/>
    <x v="1"/>
    <x v="3"/>
    <x v="25"/>
    <x v="17"/>
    <x v="6"/>
    <x v="15"/>
    <x v="82"/>
    <x v="52"/>
  </r>
  <r>
    <n v="347"/>
    <x v="14"/>
    <x v="22"/>
    <x v="0"/>
    <x v="0"/>
    <x v="0"/>
    <x v="0"/>
    <x v="1"/>
    <x v="1"/>
    <x v="11"/>
    <x v="21"/>
    <x v="16"/>
    <x v="14"/>
    <x v="3"/>
    <x v="16"/>
    <x v="132"/>
  </r>
  <r>
    <n v="348"/>
    <x v="14"/>
    <x v="23"/>
    <x v="0"/>
    <x v="0"/>
    <x v="0"/>
    <x v="0"/>
    <x v="0"/>
    <x v="0"/>
    <x v="11"/>
    <x v="0"/>
    <x v="49"/>
    <x v="3"/>
    <x v="2"/>
    <x v="87"/>
    <x v="40"/>
  </r>
  <r>
    <n v="349"/>
    <x v="15"/>
    <x v="0"/>
    <x v="0"/>
    <x v="0"/>
    <x v="1"/>
    <x v="1"/>
    <x v="0"/>
    <x v="0"/>
    <x v="12"/>
    <x v="25"/>
    <x v="34"/>
    <x v="0"/>
    <x v="15"/>
    <x v="39"/>
    <x v="21"/>
  </r>
  <r>
    <n v="350"/>
    <x v="15"/>
    <x v="1"/>
    <x v="0"/>
    <x v="0"/>
    <x v="1"/>
    <x v="1"/>
    <x v="0"/>
    <x v="0"/>
    <x v="12"/>
    <x v="1"/>
    <x v="34"/>
    <x v="7"/>
    <x v="17"/>
    <x v="23"/>
    <x v="84"/>
  </r>
  <r>
    <n v="351"/>
    <x v="15"/>
    <x v="2"/>
    <x v="0"/>
    <x v="0"/>
    <x v="1"/>
    <x v="1"/>
    <x v="0"/>
    <x v="0"/>
    <x v="12"/>
    <x v="0"/>
    <x v="34"/>
    <x v="1"/>
    <x v="0"/>
    <x v="0"/>
    <x v="0"/>
  </r>
  <r>
    <n v="352"/>
    <x v="15"/>
    <x v="3"/>
    <x v="0"/>
    <x v="0"/>
    <x v="1"/>
    <x v="1"/>
    <x v="0"/>
    <x v="0"/>
    <x v="1"/>
    <x v="1"/>
    <x v="27"/>
    <x v="0"/>
    <x v="14"/>
    <x v="8"/>
    <x v="93"/>
  </r>
  <r>
    <n v="353"/>
    <x v="15"/>
    <x v="4"/>
    <x v="0"/>
    <x v="0"/>
    <x v="1"/>
    <x v="1"/>
    <x v="0"/>
    <x v="0"/>
    <x v="12"/>
    <x v="2"/>
    <x v="34"/>
    <x v="8"/>
    <x v="3"/>
    <x v="4"/>
    <x v="4"/>
  </r>
  <r>
    <n v="354"/>
    <x v="15"/>
    <x v="5"/>
    <x v="0"/>
    <x v="0"/>
    <x v="1"/>
    <x v="1"/>
    <x v="1"/>
    <x v="1"/>
    <x v="12"/>
    <x v="2"/>
    <x v="34"/>
    <x v="8"/>
    <x v="5"/>
    <x v="4"/>
    <x v="5"/>
  </r>
  <r>
    <n v="355"/>
    <x v="15"/>
    <x v="6"/>
    <x v="0"/>
    <x v="0"/>
    <x v="1"/>
    <x v="1"/>
    <x v="1"/>
    <x v="1"/>
    <x v="12"/>
    <x v="2"/>
    <x v="34"/>
    <x v="8"/>
    <x v="3"/>
    <x v="4"/>
    <x v="4"/>
  </r>
  <r>
    <n v="356"/>
    <x v="15"/>
    <x v="7"/>
    <x v="0"/>
    <x v="0"/>
    <x v="1"/>
    <x v="1"/>
    <x v="1"/>
    <x v="1"/>
    <x v="0"/>
    <x v="12"/>
    <x v="34"/>
    <x v="4"/>
    <x v="3"/>
    <x v="35"/>
    <x v="6"/>
  </r>
  <r>
    <n v="357"/>
    <x v="15"/>
    <x v="8"/>
    <x v="0"/>
    <x v="0"/>
    <x v="1"/>
    <x v="1"/>
    <x v="0"/>
    <x v="0"/>
    <x v="1"/>
    <x v="12"/>
    <x v="28"/>
    <x v="3"/>
    <x v="3"/>
    <x v="72"/>
    <x v="109"/>
  </r>
  <r>
    <n v="358"/>
    <x v="15"/>
    <x v="9"/>
    <x v="0"/>
    <x v="0"/>
    <x v="1"/>
    <x v="1"/>
    <x v="0"/>
    <x v="0"/>
    <x v="1"/>
    <x v="12"/>
    <x v="33"/>
    <x v="2"/>
    <x v="0"/>
    <x v="31"/>
    <x v="2"/>
  </r>
  <r>
    <n v="359"/>
    <x v="15"/>
    <x v="10"/>
    <x v="0"/>
    <x v="0"/>
    <x v="1"/>
    <x v="1"/>
    <x v="0"/>
    <x v="0"/>
    <x v="1"/>
    <x v="12"/>
    <x v="33"/>
    <x v="3"/>
    <x v="1"/>
    <x v="13"/>
    <x v="67"/>
  </r>
  <r>
    <n v="360"/>
    <x v="15"/>
    <x v="11"/>
    <x v="0"/>
    <x v="0"/>
    <x v="1"/>
    <x v="1"/>
    <x v="0"/>
    <x v="0"/>
    <x v="0"/>
    <x v="11"/>
    <x v="18"/>
    <x v="2"/>
    <x v="29"/>
    <x v="14"/>
    <x v="15"/>
  </r>
  <r>
    <n v="361"/>
    <x v="15"/>
    <x v="12"/>
    <x v="0"/>
    <x v="0"/>
    <x v="1"/>
    <x v="1"/>
    <x v="0"/>
    <x v="0"/>
    <x v="0"/>
    <x v="12"/>
    <x v="48"/>
    <x v="3"/>
    <x v="8"/>
    <x v="102"/>
    <x v="133"/>
  </r>
  <r>
    <n v="362"/>
    <x v="15"/>
    <x v="13"/>
    <x v="0"/>
    <x v="0"/>
    <x v="1"/>
    <x v="1"/>
    <x v="0"/>
    <x v="0"/>
    <x v="12"/>
    <x v="11"/>
    <x v="23"/>
    <x v="4"/>
    <x v="29"/>
    <x v="73"/>
    <x v="130"/>
  </r>
  <r>
    <n v="363"/>
    <x v="15"/>
    <x v="14"/>
    <x v="0"/>
    <x v="0"/>
    <x v="1"/>
    <x v="1"/>
    <x v="0"/>
    <x v="0"/>
    <x v="17"/>
    <x v="1"/>
    <x v="42"/>
    <x v="2"/>
    <x v="30"/>
    <x v="94"/>
    <x v="134"/>
  </r>
  <r>
    <n v="364"/>
    <x v="15"/>
    <x v="15"/>
    <x v="0"/>
    <x v="0"/>
    <x v="1"/>
    <x v="1"/>
    <x v="0"/>
    <x v="0"/>
    <x v="12"/>
    <x v="19"/>
    <x v="41"/>
    <x v="2"/>
    <x v="10"/>
    <x v="78"/>
    <x v="135"/>
  </r>
  <r>
    <n v="365"/>
    <x v="15"/>
    <x v="16"/>
    <x v="0"/>
    <x v="0"/>
    <x v="1"/>
    <x v="1"/>
    <x v="0"/>
    <x v="0"/>
    <x v="0"/>
    <x v="11"/>
    <x v="41"/>
    <x v="6"/>
    <x v="30"/>
    <x v="99"/>
    <x v="111"/>
  </r>
  <r>
    <n v="366"/>
    <x v="15"/>
    <x v="17"/>
    <x v="0"/>
    <x v="0"/>
    <x v="1"/>
    <x v="1"/>
    <x v="0"/>
    <x v="0"/>
    <x v="1"/>
    <x v="12"/>
    <x v="38"/>
    <x v="2"/>
    <x v="29"/>
    <x v="70"/>
    <x v="136"/>
  </r>
  <r>
    <n v="367"/>
    <x v="15"/>
    <x v="18"/>
    <x v="0"/>
    <x v="0"/>
    <x v="1"/>
    <x v="1"/>
    <x v="0"/>
    <x v="0"/>
    <x v="2"/>
    <x v="12"/>
    <x v="22"/>
    <x v="8"/>
    <x v="16"/>
    <x v="90"/>
    <x v="16"/>
  </r>
  <r>
    <n v="368"/>
    <x v="15"/>
    <x v="19"/>
    <x v="0"/>
    <x v="0"/>
    <x v="1"/>
    <x v="1"/>
    <x v="0"/>
    <x v="0"/>
    <x v="15"/>
    <x v="13"/>
    <x v="19"/>
    <x v="7"/>
    <x v="24"/>
    <x v="12"/>
    <x v="42"/>
  </r>
  <r>
    <n v="369"/>
    <x v="15"/>
    <x v="20"/>
    <x v="0"/>
    <x v="0"/>
    <x v="1"/>
    <x v="1"/>
    <x v="0"/>
    <x v="0"/>
    <x v="15"/>
    <x v="13"/>
    <x v="19"/>
    <x v="8"/>
    <x v="18"/>
    <x v="54"/>
    <x v="52"/>
  </r>
  <r>
    <n v="370"/>
    <x v="15"/>
    <x v="21"/>
    <x v="0"/>
    <x v="0"/>
    <x v="1"/>
    <x v="1"/>
    <x v="0"/>
    <x v="0"/>
    <x v="15"/>
    <x v="13"/>
    <x v="33"/>
    <x v="8"/>
    <x v="15"/>
    <x v="97"/>
    <x v="20"/>
  </r>
  <r>
    <n v="371"/>
    <x v="15"/>
    <x v="22"/>
    <x v="0"/>
    <x v="0"/>
    <x v="1"/>
    <x v="1"/>
    <x v="1"/>
    <x v="1"/>
    <x v="2"/>
    <x v="12"/>
    <x v="36"/>
    <x v="7"/>
    <x v="4"/>
    <x v="23"/>
    <x v="137"/>
  </r>
  <r>
    <n v="372"/>
    <x v="15"/>
    <x v="23"/>
    <x v="0"/>
    <x v="0"/>
    <x v="1"/>
    <x v="1"/>
    <x v="1"/>
    <x v="1"/>
    <x v="2"/>
    <x v="11"/>
    <x v="22"/>
    <x v="14"/>
    <x v="3"/>
    <x v="72"/>
    <x v="109"/>
  </r>
  <r>
    <n v="373"/>
    <x v="16"/>
    <x v="0"/>
    <x v="1"/>
    <x v="1"/>
    <x v="2"/>
    <x v="2"/>
    <x v="1"/>
    <x v="1"/>
    <x v="2"/>
    <x v="13"/>
    <x v="19"/>
    <x v="6"/>
    <x v="5"/>
    <x v="20"/>
    <x v="22"/>
  </r>
  <r>
    <n v="374"/>
    <x v="16"/>
    <x v="1"/>
    <x v="1"/>
    <x v="1"/>
    <x v="2"/>
    <x v="2"/>
    <x v="1"/>
    <x v="1"/>
    <x v="2"/>
    <x v="13"/>
    <x v="18"/>
    <x v="5"/>
    <x v="5"/>
    <x v="89"/>
    <x v="0"/>
  </r>
  <r>
    <n v="375"/>
    <x v="16"/>
    <x v="2"/>
    <x v="1"/>
    <x v="1"/>
    <x v="2"/>
    <x v="2"/>
    <x v="1"/>
    <x v="1"/>
    <x v="15"/>
    <x v="17"/>
    <x v="21"/>
    <x v="2"/>
    <x v="3"/>
    <x v="21"/>
    <x v="7"/>
  </r>
  <r>
    <n v="376"/>
    <x v="16"/>
    <x v="3"/>
    <x v="1"/>
    <x v="1"/>
    <x v="2"/>
    <x v="2"/>
    <x v="1"/>
    <x v="1"/>
    <x v="15"/>
    <x v="18"/>
    <x v="21"/>
    <x v="5"/>
    <x v="3"/>
    <x v="6"/>
    <x v="5"/>
  </r>
  <r>
    <n v="377"/>
    <x v="16"/>
    <x v="4"/>
    <x v="1"/>
    <x v="1"/>
    <x v="2"/>
    <x v="2"/>
    <x v="1"/>
    <x v="1"/>
    <x v="15"/>
    <x v="13"/>
    <x v="21"/>
    <x v="7"/>
    <x v="5"/>
    <x v="6"/>
    <x v="6"/>
  </r>
  <r>
    <n v="378"/>
    <x v="16"/>
    <x v="5"/>
    <x v="1"/>
    <x v="1"/>
    <x v="2"/>
    <x v="2"/>
    <x v="1"/>
    <x v="1"/>
    <x v="15"/>
    <x v="13"/>
    <x v="21"/>
    <x v="8"/>
    <x v="3"/>
    <x v="4"/>
    <x v="4"/>
  </r>
  <r>
    <n v="379"/>
    <x v="16"/>
    <x v="6"/>
    <x v="1"/>
    <x v="1"/>
    <x v="2"/>
    <x v="2"/>
    <x v="1"/>
    <x v="1"/>
    <x v="15"/>
    <x v="18"/>
    <x v="21"/>
    <x v="5"/>
    <x v="3"/>
    <x v="34"/>
    <x v="36"/>
  </r>
  <r>
    <n v="380"/>
    <x v="16"/>
    <x v="7"/>
    <x v="1"/>
    <x v="1"/>
    <x v="2"/>
    <x v="2"/>
    <x v="1"/>
    <x v="1"/>
    <x v="13"/>
    <x v="18"/>
    <x v="20"/>
    <x v="7"/>
    <x v="17"/>
    <x v="33"/>
    <x v="3"/>
  </r>
  <r>
    <n v="381"/>
    <x v="16"/>
    <x v="8"/>
    <x v="1"/>
    <x v="1"/>
    <x v="2"/>
    <x v="2"/>
    <x v="1"/>
    <x v="1"/>
    <x v="13"/>
    <x v="20"/>
    <x v="19"/>
    <x v="6"/>
    <x v="0"/>
    <x v="10"/>
    <x v="63"/>
  </r>
  <r>
    <n v="382"/>
    <x v="16"/>
    <x v="9"/>
    <x v="1"/>
    <x v="1"/>
    <x v="2"/>
    <x v="2"/>
    <x v="1"/>
    <x v="1"/>
    <x v="13"/>
    <x v="20"/>
    <x v="19"/>
    <x v="6"/>
    <x v="1"/>
    <x v="87"/>
    <x v="105"/>
  </r>
  <r>
    <n v="383"/>
    <x v="16"/>
    <x v="10"/>
    <x v="1"/>
    <x v="1"/>
    <x v="2"/>
    <x v="2"/>
    <x v="1"/>
    <x v="1"/>
    <x v="13"/>
    <x v="20"/>
    <x v="20"/>
    <x v="2"/>
    <x v="18"/>
    <x v="54"/>
    <x v="52"/>
  </r>
  <r>
    <n v="384"/>
    <x v="16"/>
    <x v="11"/>
    <x v="1"/>
    <x v="1"/>
    <x v="2"/>
    <x v="2"/>
    <x v="1"/>
    <x v="1"/>
    <x v="13"/>
    <x v="20"/>
    <x v="28"/>
    <x v="5"/>
    <x v="14"/>
    <x v="11"/>
    <x v="37"/>
  </r>
  <r>
    <n v="385"/>
    <x v="16"/>
    <x v="12"/>
    <x v="1"/>
    <x v="1"/>
    <x v="2"/>
    <x v="2"/>
    <x v="1"/>
    <x v="1"/>
    <x v="15"/>
    <x v="13"/>
    <x v="19"/>
    <x v="7"/>
    <x v="22"/>
    <x v="14"/>
    <x v="138"/>
  </r>
  <r>
    <n v="386"/>
    <x v="16"/>
    <x v="13"/>
    <x v="1"/>
    <x v="1"/>
    <x v="2"/>
    <x v="2"/>
    <x v="1"/>
    <x v="1"/>
    <x v="15"/>
    <x v="13"/>
    <x v="19"/>
    <x v="7"/>
    <x v="23"/>
    <x v="122"/>
    <x v="15"/>
  </r>
  <r>
    <n v="387"/>
    <x v="16"/>
    <x v="14"/>
    <x v="1"/>
    <x v="1"/>
    <x v="2"/>
    <x v="2"/>
    <x v="1"/>
    <x v="1"/>
    <x v="15"/>
    <x v="12"/>
    <x v="21"/>
    <x v="14"/>
    <x v="6"/>
    <x v="64"/>
    <x v="80"/>
  </r>
  <r>
    <n v="388"/>
    <x v="16"/>
    <x v="15"/>
    <x v="1"/>
    <x v="1"/>
    <x v="2"/>
    <x v="2"/>
    <x v="1"/>
    <x v="1"/>
    <x v="2"/>
    <x v="12"/>
    <x v="19"/>
    <x v="8"/>
    <x v="27"/>
    <x v="109"/>
    <x v="15"/>
  </r>
  <r>
    <n v="389"/>
    <x v="16"/>
    <x v="16"/>
    <x v="1"/>
    <x v="1"/>
    <x v="2"/>
    <x v="2"/>
    <x v="1"/>
    <x v="1"/>
    <x v="2"/>
    <x v="12"/>
    <x v="19"/>
    <x v="8"/>
    <x v="15"/>
    <x v="83"/>
    <x v="100"/>
  </r>
  <r>
    <n v="390"/>
    <x v="16"/>
    <x v="17"/>
    <x v="1"/>
    <x v="1"/>
    <x v="2"/>
    <x v="2"/>
    <x v="0"/>
    <x v="0"/>
    <x v="2"/>
    <x v="13"/>
    <x v="33"/>
    <x v="5"/>
    <x v="17"/>
    <x v="28"/>
    <x v="68"/>
  </r>
  <r>
    <n v="391"/>
    <x v="16"/>
    <x v="18"/>
    <x v="1"/>
    <x v="1"/>
    <x v="2"/>
    <x v="2"/>
    <x v="1"/>
    <x v="1"/>
    <x v="15"/>
    <x v="17"/>
    <x v="28"/>
    <x v="2"/>
    <x v="18"/>
    <x v="66"/>
    <x v="101"/>
  </r>
  <r>
    <n v="392"/>
    <x v="16"/>
    <x v="19"/>
    <x v="1"/>
    <x v="1"/>
    <x v="2"/>
    <x v="2"/>
    <x v="2"/>
    <x v="2"/>
    <x v="15"/>
    <x v="18"/>
    <x v="29"/>
    <x v="5"/>
    <x v="4"/>
    <x v="29"/>
    <x v="122"/>
  </r>
  <r>
    <n v="393"/>
    <x v="16"/>
    <x v="20"/>
    <x v="1"/>
    <x v="1"/>
    <x v="2"/>
    <x v="2"/>
    <x v="2"/>
    <x v="2"/>
    <x v="13"/>
    <x v="20"/>
    <x v="1"/>
    <x v="5"/>
    <x v="17"/>
    <x v="31"/>
    <x v="63"/>
  </r>
  <r>
    <n v="394"/>
    <x v="16"/>
    <x v="21"/>
    <x v="1"/>
    <x v="1"/>
    <x v="2"/>
    <x v="2"/>
    <x v="2"/>
    <x v="2"/>
    <x v="13"/>
    <x v="20"/>
    <x v="1"/>
    <x v="5"/>
    <x v="0"/>
    <x v="9"/>
    <x v="110"/>
  </r>
  <r>
    <n v="395"/>
    <x v="16"/>
    <x v="22"/>
    <x v="1"/>
    <x v="1"/>
    <x v="2"/>
    <x v="2"/>
    <x v="2"/>
    <x v="2"/>
    <x v="14"/>
    <x v="16"/>
    <x v="43"/>
    <x v="2"/>
    <x v="3"/>
    <x v="0"/>
    <x v="3"/>
  </r>
  <r>
    <n v="396"/>
    <x v="16"/>
    <x v="23"/>
    <x v="1"/>
    <x v="1"/>
    <x v="2"/>
    <x v="2"/>
    <x v="2"/>
    <x v="2"/>
    <x v="13"/>
    <x v="14"/>
    <x v="3"/>
    <x v="3"/>
    <x v="5"/>
    <x v="35"/>
    <x v="48"/>
  </r>
  <r>
    <n v="397"/>
    <x v="17"/>
    <x v="12"/>
    <x v="0"/>
    <x v="0"/>
    <x v="3"/>
    <x v="3"/>
    <x v="1"/>
    <x v="1"/>
    <x v="2"/>
    <x v="18"/>
    <x v="3"/>
    <x v="9"/>
    <x v="3"/>
    <x v="35"/>
    <x v="6"/>
  </r>
  <r>
    <n v="398"/>
    <x v="17"/>
    <x v="13"/>
    <x v="0"/>
    <x v="0"/>
    <x v="3"/>
    <x v="3"/>
    <x v="1"/>
    <x v="1"/>
    <x v="2"/>
    <x v="13"/>
    <x v="3"/>
    <x v="6"/>
    <x v="3"/>
    <x v="97"/>
    <x v="34"/>
  </r>
  <r>
    <n v="399"/>
    <x v="17"/>
    <x v="14"/>
    <x v="0"/>
    <x v="0"/>
    <x v="3"/>
    <x v="3"/>
    <x v="1"/>
    <x v="1"/>
    <x v="1"/>
    <x v="11"/>
    <x v="1"/>
    <x v="8"/>
    <x v="4"/>
    <x v="16"/>
    <x v="20"/>
  </r>
  <r>
    <n v="400"/>
    <x v="17"/>
    <x v="15"/>
    <x v="0"/>
    <x v="0"/>
    <x v="3"/>
    <x v="3"/>
    <x v="1"/>
    <x v="1"/>
    <x v="1"/>
    <x v="11"/>
    <x v="9"/>
    <x v="8"/>
    <x v="0"/>
    <x v="1"/>
    <x v="17"/>
  </r>
  <r>
    <n v="401"/>
    <x v="17"/>
    <x v="16"/>
    <x v="0"/>
    <x v="0"/>
    <x v="3"/>
    <x v="3"/>
    <x v="1"/>
    <x v="1"/>
    <x v="1"/>
    <x v="11"/>
    <x v="9"/>
    <x v="5"/>
    <x v="3"/>
    <x v="124"/>
    <x v="42"/>
  </r>
  <r>
    <n v="402"/>
    <x v="17"/>
    <x v="17"/>
    <x v="0"/>
    <x v="0"/>
    <x v="3"/>
    <x v="3"/>
    <x v="1"/>
    <x v="1"/>
    <x v="1"/>
    <x v="11"/>
    <x v="7"/>
    <x v="5"/>
    <x v="5"/>
    <x v="125"/>
    <x v="139"/>
  </r>
  <r>
    <n v="403"/>
    <x v="17"/>
    <x v="18"/>
    <x v="0"/>
    <x v="0"/>
    <x v="3"/>
    <x v="3"/>
    <x v="1"/>
    <x v="1"/>
    <x v="1"/>
    <x v="11"/>
    <x v="1"/>
    <x v="8"/>
    <x v="5"/>
    <x v="126"/>
    <x v="140"/>
  </r>
  <r>
    <n v="404"/>
    <x v="17"/>
    <x v="19"/>
    <x v="0"/>
    <x v="0"/>
    <x v="3"/>
    <x v="3"/>
    <x v="1"/>
    <x v="1"/>
    <x v="1"/>
    <x v="11"/>
    <x v="1"/>
    <x v="7"/>
    <x v="5"/>
    <x v="52"/>
    <x v="111"/>
  </r>
  <r>
    <n v="405"/>
    <x v="17"/>
    <x v="20"/>
    <x v="0"/>
    <x v="0"/>
    <x v="3"/>
    <x v="3"/>
    <x v="1"/>
    <x v="1"/>
    <x v="1"/>
    <x v="1"/>
    <x v="9"/>
    <x v="0"/>
    <x v="3"/>
    <x v="93"/>
    <x v="56"/>
  </r>
  <r>
    <n v="406"/>
    <x v="17"/>
    <x v="21"/>
    <x v="0"/>
    <x v="0"/>
    <x v="3"/>
    <x v="3"/>
    <x v="1"/>
    <x v="1"/>
    <x v="1"/>
    <x v="19"/>
    <x v="43"/>
    <x v="14"/>
    <x v="3"/>
    <x v="40"/>
    <x v="102"/>
  </r>
  <r>
    <n v="407"/>
    <x v="17"/>
    <x v="22"/>
    <x v="0"/>
    <x v="0"/>
    <x v="3"/>
    <x v="3"/>
    <x v="1"/>
    <x v="1"/>
    <x v="1"/>
    <x v="2"/>
    <x v="43"/>
    <x v="1"/>
    <x v="3"/>
    <x v="39"/>
    <x v="63"/>
  </r>
  <r>
    <n v="408"/>
    <x v="17"/>
    <x v="23"/>
    <x v="0"/>
    <x v="0"/>
    <x v="3"/>
    <x v="3"/>
    <x v="1"/>
    <x v="1"/>
    <x v="1"/>
    <x v="1"/>
    <x v="43"/>
    <x v="0"/>
    <x v="5"/>
    <x v="23"/>
    <x v="25"/>
  </r>
  <r>
    <n v="409"/>
    <x v="18"/>
    <x v="0"/>
    <x v="0"/>
    <x v="0"/>
    <x v="4"/>
    <x v="4"/>
    <x v="1"/>
    <x v="1"/>
    <x v="1"/>
    <x v="1"/>
    <x v="43"/>
    <x v="0"/>
    <x v="3"/>
    <x v="35"/>
    <x v="6"/>
  </r>
  <r>
    <n v="410"/>
    <x v="18"/>
    <x v="1"/>
    <x v="0"/>
    <x v="0"/>
    <x v="4"/>
    <x v="4"/>
    <x v="2"/>
    <x v="2"/>
    <x v="1"/>
    <x v="11"/>
    <x v="43"/>
    <x v="7"/>
    <x v="5"/>
    <x v="8"/>
    <x v="85"/>
  </r>
  <r>
    <n v="411"/>
    <x v="18"/>
    <x v="2"/>
    <x v="0"/>
    <x v="0"/>
    <x v="4"/>
    <x v="4"/>
    <x v="2"/>
    <x v="2"/>
    <x v="1"/>
    <x v="11"/>
    <x v="43"/>
    <x v="7"/>
    <x v="3"/>
    <x v="35"/>
    <x v="6"/>
  </r>
  <r>
    <n v="412"/>
    <x v="18"/>
    <x v="4"/>
    <x v="0"/>
    <x v="0"/>
    <x v="4"/>
    <x v="4"/>
    <x v="2"/>
    <x v="2"/>
    <x v="1"/>
    <x v="11"/>
    <x v="43"/>
    <x v="7"/>
    <x v="5"/>
    <x v="4"/>
    <x v="5"/>
  </r>
  <r>
    <n v="413"/>
    <x v="18"/>
    <x v="5"/>
    <x v="0"/>
    <x v="0"/>
    <x v="4"/>
    <x v="4"/>
    <x v="1"/>
    <x v="1"/>
    <x v="1"/>
    <x v="2"/>
    <x v="43"/>
    <x v="1"/>
    <x v="3"/>
    <x v="7"/>
    <x v="85"/>
  </r>
  <r>
    <n v="414"/>
    <x v="18"/>
    <x v="6"/>
    <x v="0"/>
    <x v="0"/>
    <x v="4"/>
    <x v="4"/>
    <x v="1"/>
    <x v="1"/>
    <x v="1"/>
    <x v="2"/>
    <x v="43"/>
    <x v="1"/>
    <x v="3"/>
    <x v="1"/>
    <x v="2"/>
  </r>
  <r>
    <n v="415"/>
    <x v="18"/>
    <x v="7"/>
    <x v="0"/>
    <x v="0"/>
    <x v="4"/>
    <x v="4"/>
    <x v="1"/>
    <x v="1"/>
    <x v="0"/>
    <x v="2"/>
    <x v="50"/>
    <x v="14"/>
    <x v="5"/>
    <x v="121"/>
    <x v="127"/>
  </r>
  <r>
    <n v="416"/>
    <x v="18"/>
    <x v="8"/>
    <x v="0"/>
    <x v="0"/>
    <x v="4"/>
    <x v="4"/>
    <x v="1"/>
    <x v="1"/>
    <x v="0"/>
    <x v="2"/>
    <x v="43"/>
    <x v="14"/>
    <x v="5"/>
    <x v="127"/>
    <x v="141"/>
  </r>
  <r>
    <n v="417"/>
    <x v="18"/>
    <x v="9"/>
    <x v="0"/>
    <x v="0"/>
    <x v="4"/>
    <x v="4"/>
    <x v="1"/>
    <x v="1"/>
    <x v="0"/>
    <x v="2"/>
    <x v="43"/>
    <x v="14"/>
    <x v="4"/>
    <x v="128"/>
    <x v="142"/>
  </r>
  <r>
    <n v="418"/>
    <x v="18"/>
    <x v="10"/>
    <x v="0"/>
    <x v="0"/>
    <x v="4"/>
    <x v="4"/>
    <x v="1"/>
    <x v="1"/>
    <x v="12"/>
    <x v="1"/>
    <x v="43"/>
    <x v="7"/>
    <x v="5"/>
    <x v="24"/>
    <x v="105"/>
  </r>
  <r>
    <n v="419"/>
    <x v="18"/>
    <x v="11"/>
    <x v="0"/>
    <x v="0"/>
    <x v="4"/>
    <x v="4"/>
    <x v="1"/>
    <x v="1"/>
    <x v="17"/>
    <x v="25"/>
    <x v="9"/>
    <x v="1"/>
    <x v="2"/>
    <x v="12"/>
    <x v="46"/>
  </r>
  <r>
    <n v="420"/>
    <x v="18"/>
    <x v="12"/>
    <x v="0"/>
    <x v="0"/>
    <x v="4"/>
    <x v="4"/>
    <x v="1"/>
    <x v="1"/>
    <x v="11"/>
    <x v="21"/>
    <x v="0"/>
    <x v="1"/>
    <x v="2"/>
    <x v="65"/>
    <x v="27"/>
  </r>
  <r>
    <n v="421"/>
    <x v="18"/>
    <x v="13"/>
    <x v="0"/>
    <x v="0"/>
    <x v="4"/>
    <x v="4"/>
    <x v="0"/>
    <x v="0"/>
    <x v="9"/>
    <x v="10"/>
    <x v="51"/>
    <x v="3"/>
    <x v="16"/>
    <x v="28"/>
    <x v="53"/>
  </r>
  <r>
    <n v="422"/>
    <x v="18"/>
    <x v="14"/>
    <x v="0"/>
    <x v="0"/>
    <x v="4"/>
    <x v="4"/>
    <x v="0"/>
    <x v="0"/>
    <x v="9"/>
    <x v="10"/>
    <x v="52"/>
    <x v="2"/>
    <x v="18"/>
    <x v="56"/>
    <x v="28"/>
  </r>
  <r>
    <n v="423"/>
    <x v="18"/>
    <x v="15"/>
    <x v="0"/>
    <x v="0"/>
    <x v="4"/>
    <x v="4"/>
    <x v="0"/>
    <x v="0"/>
    <x v="9"/>
    <x v="10"/>
    <x v="47"/>
    <x v="3"/>
    <x v="17"/>
    <x v="78"/>
    <x v="100"/>
  </r>
  <r>
    <n v="424"/>
    <x v="18"/>
    <x v="16"/>
    <x v="0"/>
    <x v="0"/>
    <x v="4"/>
    <x v="4"/>
    <x v="0"/>
    <x v="0"/>
    <x v="4"/>
    <x v="5"/>
    <x v="52"/>
    <x v="13"/>
    <x v="22"/>
    <x v="111"/>
    <x v="133"/>
  </r>
  <r>
    <n v="425"/>
    <x v="18"/>
    <x v="17"/>
    <x v="0"/>
    <x v="0"/>
    <x v="4"/>
    <x v="4"/>
    <x v="0"/>
    <x v="0"/>
    <x v="5"/>
    <x v="6"/>
    <x v="14"/>
    <x v="9"/>
    <x v="18"/>
    <x v="84"/>
    <x v="141"/>
  </r>
  <r>
    <n v="426"/>
    <x v="18"/>
    <x v="18"/>
    <x v="0"/>
    <x v="0"/>
    <x v="4"/>
    <x v="4"/>
    <x v="0"/>
    <x v="0"/>
    <x v="10"/>
    <x v="21"/>
    <x v="53"/>
    <x v="3"/>
    <x v="2"/>
    <x v="117"/>
    <x v="143"/>
  </r>
  <r>
    <n v="427"/>
    <x v="18"/>
    <x v="19"/>
    <x v="0"/>
    <x v="0"/>
    <x v="4"/>
    <x v="4"/>
    <x v="0"/>
    <x v="0"/>
    <x v="3"/>
    <x v="0"/>
    <x v="14"/>
    <x v="12"/>
    <x v="17"/>
    <x v="123"/>
    <x v="59"/>
  </r>
  <r>
    <n v="428"/>
    <x v="18"/>
    <x v="20"/>
    <x v="0"/>
    <x v="0"/>
    <x v="4"/>
    <x v="4"/>
    <x v="0"/>
    <x v="0"/>
    <x v="3"/>
    <x v="25"/>
    <x v="36"/>
    <x v="4"/>
    <x v="4"/>
    <x v="64"/>
    <x v="31"/>
  </r>
  <r>
    <n v="429"/>
    <x v="18"/>
    <x v="21"/>
    <x v="0"/>
    <x v="0"/>
    <x v="4"/>
    <x v="4"/>
    <x v="0"/>
    <x v="0"/>
    <x v="3"/>
    <x v="0"/>
    <x v="36"/>
    <x v="12"/>
    <x v="17"/>
    <x v="11"/>
    <x v="29"/>
  </r>
  <r>
    <n v="430"/>
    <x v="18"/>
    <x v="22"/>
    <x v="0"/>
    <x v="0"/>
    <x v="4"/>
    <x v="4"/>
    <x v="0"/>
    <x v="0"/>
    <x v="11"/>
    <x v="25"/>
    <x v="35"/>
    <x v="8"/>
    <x v="15"/>
    <x v="42"/>
    <x v="29"/>
  </r>
  <r>
    <n v="431"/>
    <x v="18"/>
    <x v="23"/>
    <x v="0"/>
    <x v="0"/>
    <x v="4"/>
    <x v="4"/>
    <x v="0"/>
    <x v="0"/>
    <x v="11"/>
    <x v="1"/>
    <x v="35"/>
    <x v="17"/>
    <x v="5"/>
    <x v="2"/>
    <x v="20"/>
  </r>
  <r>
    <n v="432"/>
    <x v="19"/>
    <x v="0"/>
    <x v="0"/>
    <x v="0"/>
    <x v="5"/>
    <x v="5"/>
    <x v="0"/>
    <x v="0"/>
    <x v="12"/>
    <x v="11"/>
    <x v="34"/>
    <x v="13"/>
    <x v="2"/>
    <x v="21"/>
    <x v="3"/>
  </r>
  <r>
    <n v="433"/>
    <x v="19"/>
    <x v="1"/>
    <x v="0"/>
    <x v="0"/>
    <x v="5"/>
    <x v="5"/>
    <x v="0"/>
    <x v="0"/>
    <x v="12"/>
    <x v="1"/>
    <x v="34"/>
    <x v="0"/>
    <x v="4"/>
    <x v="35"/>
    <x v="36"/>
  </r>
  <r>
    <n v="434"/>
    <x v="19"/>
    <x v="2"/>
    <x v="0"/>
    <x v="0"/>
    <x v="5"/>
    <x v="5"/>
    <x v="0"/>
    <x v="0"/>
    <x v="12"/>
    <x v="1"/>
    <x v="34"/>
    <x v="0"/>
    <x v="3"/>
    <x v="6"/>
    <x v="5"/>
  </r>
  <r>
    <n v="435"/>
    <x v="19"/>
    <x v="3"/>
    <x v="0"/>
    <x v="0"/>
    <x v="5"/>
    <x v="5"/>
    <x v="0"/>
    <x v="0"/>
    <x v="12"/>
    <x v="2"/>
    <x v="34"/>
    <x v="8"/>
    <x v="3"/>
    <x v="4"/>
    <x v="4"/>
  </r>
  <r>
    <n v="436"/>
    <x v="19"/>
    <x v="4"/>
    <x v="0"/>
    <x v="0"/>
    <x v="5"/>
    <x v="5"/>
    <x v="0"/>
    <x v="0"/>
    <x v="12"/>
    <x v="2"/>
    <x v="34"/>
    <x v="8"/>
    <x v="3"/>
    <x v="4"/>
    <x v="4"/>
  </r>
  <r>
    <n v="437"/>
    <x v="19"/>
    <x v="5"/>
    <x v="0"/>
    <x v="0"/>
    <x v="5"/>
    <x v="5"/>
    <x v="0"/>
    <x v="0"/>
    <x v="0"/>
    <x v="11"/>
    <x v="54"/>
    <x v="6"/>
    <x v="3"/>
    <x v="8"/>
    <x v="24"/>
  </r>
  <r>
    <n v="438"/>
    <x v="19"/>
    <x v="6"/>
    <x v="0"/>
    <x v="0"/>
    <x v="5"/>
    <x v="5"/>
    <x v="0"/>
    <x v="0"/>
    <x v="1"/>
    <x v="12"/>
    <x v="54"/>
    <x v="6"/>
    <x v="3"/>
    <x v="96"/>
    <x v="17"/>
  </r>
  <r>
    <n v="439"/>
    <x v="19"/>
    <x v="7"/>
    <x v="0"/>
    <x v="0"/>
    <x v="5"/>
    <x v="5"/>
    <x v="0"/>
    <x v="0"/>
    <x v="1"/>
    <x v="12"/>
    <x v="28"/>
    <x v="6"/>
    <x v="5"/>
    <x v="129"/>
    <x v="129"/>
  </r>
  <r>
    <n v="440"/>
    <x v="19"/>
    <x v="8"/>
    <x v="0"/>
    <x v="0"/>
    <x v="5"/>
    <x v="5"/>
    <x v="0"/>
    <x v="0"/>
    <x v="1"/>
    <x v="12"/>
    <x v="28"/>
    <x v="3"/>
    <x v="4"/>
    <x v="130"/>
    <x v="144"/>
  </r>
  <r>
    <n v="441"/>
    <x v="19"/>
    <x v="9"/>
    <x v="0"/>
    <x v="0"/>
    <x v="5"/>
    <x v="5"/>
    <x v="1"/>
    <x v="1"/>
    <x v="0"/>
    <x v="11"/>
    <x v="35"/>
    <x v="6"/>
    <x v="0"/>
    <x v="131"/>
    <x v="145"/>
  </r>
  <r>
    <n v="442"/>
    <x v="19"/>
    <x v="10"/>
    <x v="0"/>
    <x v="0"/>
    <x v="5"/>
    <x v="5"/>
    <x v="0"/>
    <x v="0"/>
    <x v="12"/>
    <x v="11"/>
    <x v="37"/>
    <x v="4"/>
    <x v="5"/>
    <x v="90"/>
    <x v="52"/>
  </r>
  <r>
    <n v="443"/>
    <x v="19"/>
    <x v="11"/>
    <x v="0"/>
    <x v="0"/>
    <x v="5"/>
    <x v="5"/>
    <x v="1"/>
    <x v="1"/>
    <x v="17"/>
    <x v="1"/>
    <x v="49"/>
    <x v="8"/>
    <x v="2"/>
    <x v="36"/>
    <x v="118"/>
  </r>
  <r>
    <n v="444"/>
    <x v="19"/>
    <x v="12"/>
    <x v="0"/>
    <x v="0"/>
    <x v="5"/>
    <x v="5"/>
    <x v="1"/>
    <x v="1"/>
    <x v="11"/>
    <x v="6"/>
    <x v="16"/>
    <x v="0"/>
    <x v="18"/>
    <x v="99"/>
    <x v="11"/>
  </r>
  <r>
    <n v="445"/>
    <x v="19"/>
    <x v="13"/>
    <x v="0"/>
    <x v="0"/>
    <x v="5"/>
    <x v="5"/>
    <x v="1"/>
    <x v="1"/>
    <x v="17"/>
    <x v="0"/>
    <x v="49"/>
    <x v="14"/>
    <x v="6"/>
    <x v="132"/>
    <x v="95"/>
  </r>
  <r>
    <n v="446"/>
    <x v="19"/>
    <x v="14"/>
    <x v="0"/>
    <x v="0"/>
    <x v="5"/>
    <x v="5"/>
    <x v="1"/>
    <x v="1"/>
    <x v="11"/>
    <x v="25"/>
    <x v="49"/>
    <x v="7"/>
    <x v="15"/>
    <x v="102"/>
    <x v="117"/>
  </r>
  <r>
    <n v="447"/>
    <x v="19"/>
    <x v="15"/>
    <x v="0"/>
    <x v="0"/>
    <x v="5"/>
    <x v="5"/>
    <x v="1"/>
    <x v="1"/>
    <x v="3"/>
    <x v="21"/>
    <x v="49"/>
    <x v="5"/>
    <x v="1"/>
    <x v="133"/>
    <x v="27"/>
  </r>
  <r>
    <n v="448"/>
    <x v="19"/>
    <x v="16"/>
    <x v="0"/>
    <x v="0"/>
    <x v="5"/>
    <x v="5"/>
    <x v="1"/>
    <x v="1"/>
    <x v="11"/>
    <x v="25"/>
    <x v="36"/>
    <x v="7"/>
    <x v="1"/>
    <x v="93"/>
    <x v="134"/>
  </r>
  <r>
    <n v="449"/>
    <x v="19"/>
    <x v="17"/>
    <x v="0"/>
    <x v="0"/>
    <x v="5"/>
    <x v="5"/>
    <x v="1"/>
    <x v="1"/>
    <x v="11"/>
    <x v="21"/>
    <x v="36"/>
    <x v="14"/>
    <x v="1"/>
    <x v="134"/>
    <x v="146"/>
  </r>
  <r>
    <n v="450"/>
    <x v="19"/>
    <x v="18"/>
    <x v="0"/>
    <x v="0"/>
    <x v="5"/>
    <x v="5"/>
    <x v="1"/>
    <x v="1"/>
    <x v="12"/>
    <x v="2"/>
    <x v="34"/>
    <x v="5"/>
    <x v="5"/>
    <x v="103"/>
    <x v="147"/>
  </r>
  <r>
    <n v="451"/>
    <x v="19"/>
    <x v="19"/>
    <x v="0"/>
    <x v="0"/>
    <x v="5"/>
    <x v="5"/>
    <x v="0"/>
    <x v="0"/>
    <x v="12"/>
    <x v="11"/>
    <x v="34"/>
    <x v="9"/>
    <x v="15"/>
    <x v="44"/>
    <x v="148"/>
  </r>
  <r>
    <n v="452"/>
    <x v="19"/>
    <x v="20"/>
    <x v="0"/>
    <x v="0"/>
    <x v="5"/>
    <x v="5"/>
    <x v="1"/>
    <x v="1"/>
    <x v="12"/>
    <x v="19"/>
    <x v="54"/>
    <x v="3"/>
    <x v="4"/>
    <x v="125"/>
    <x v="149"/>
  </r>
  <r>
    <n v="453"/>
    <x v="19"/>
    <x v="21"/>
    <x v="0"/>
    <x v="0"/>
    <x v="5"/>
    <x v="5"/>
    <x v="1"/>
    <x v="1"/>
    <x v="0"/>
    <x v="11"/>
    <x v="54"/>
    <x v="2"/>
    <x v="0"/>
    <x v="25"/>
    <x v="52"/>
  </r>
  <r>
    <n v="454"/>
    <x v="19"/>
    <x v="22"/>
    <x v="0"/>
    <x v="0"/>
    <x v="5"/>
    <x v="5"/>
    <x v="1"/>
    <x v="1"/>
    <x v="0"/>
    <x v="12"/>
    <x v="55"/>
    <x v="3"/>
    <x v="3"/>
    <x v="90"/>
    <x v="10"/>
  </r>
  <r>
    <n v="455"/>
    <x v="19"/>
    <x v="23"/>
    <x v="0"/>
    <x v="0"/>
    <x v="5"/>
    <x v="5"/>
    <x v="1"/>
    <x v="1"/>
    <x v="0"/>
    <x v="12"/>
    <x v="55"/>
    <x v="9"/>
    <x v="0"/>
    <x v="95"/>
    <x v="35"/>
  </r>
  <r>
    <n v="456"/>
    <x v="20"/>
    <x v="0"/>
    <x v="0"/>
    <x v="0"/>
    <x v="6"/>
    <x v="6"/>
    <x v="1"/>
    <x v="1"/>
    <x v="0"/>
    <x v="11"/>
    <x v="56"/>
    <x v="2"/>
    <x v="5"/>
    <x v="32"/>
    <x v="137"/>
  </r>
  <r>
    <n v="457"/>
    <x v="20"/>
    <x v="1"/>
    <x v="0"/>
    <x v="0"/>
    <x v="6"/>
    <x v="6"/>
    <x v="1"/>
    <x v="1"/>
    <x v="0"/>
    <x v="11"/>
    <x v="56"/>
    <x v="2"/>
    <x v="3"/>
    <x v="8"/>
    <x v="24"/>
  </r>
  <r>
    <n v="458"/>
    <x v="20"/>
    <x v="2"/>
    <x v="0"/>
    <x v="0"/>
    <x v="6"/>
    <x v="6"/>
    <x v="2"/>
    <x v="2"/>
    <x v="0"/>
    <x v="19"/>
    <x v="2"/>
    <x v="8"/>
    <x v="3"/>
    <x v="6"/>
    <x v="5"/>
  </r>
  <r>
    <n v="459"/>
    <x v="20"/>
    <x v="3"/>
    <x v="0"/>
    <x v="0"/>
    <x v="6"/>
    <x v="6"/>
    <x v="2"/>
    <x v="2"/>
    <x v="1"/>
    <x v="12"/>
    <x v="1"/>
    <x v="4"/>
    <x v="3"/>
    <x v="4"/>
    <x v="4"/>
  </r>
  <r>
    <n v="460"/>
    <x v="20"/>
    <x v="4"/>
    <x v="0"/>
    <x v="0"/>
    <x v="6"/>
    <x v="6"/>
    <x v="1"/>
    <x v="1"/>
    <x v="1"/>
    <x v="2"/>
    <x v="9"/>
    <x v="1"/>
    <x v="3"/>
    <x v="4"/>
    <x v="4"/>
  </r>
  <r>
    <n v="461"/>
    <x v="20"/>
    <x v="5"/>
    <x v="0"/>
    <x v="0"/>
    <x v="6"/>
    <x v="6"/>
    <x v="0"/>
    <x v="0"/>
    <x v="0"/>
    <x v="13"/>
    <x v="54"/>
    <x v="12"/>
    <x v="5"/>
    <x v="22"/>
    <x v="36"/>
  </r>
  <r>
    <n v="462"/>
    <x v="20"/>
    <x v="6"/>
    <x v="0"/>
    <x v="0"/>
    <x v="6"/>
    <x v="6"/>
    <x v="0"/>
    <x v="0"/>
    <x v="1"/>
    <x v="12"/>
    <x v="28"/>
    <x v="2"/>
    <x v="3"/>
    <x v="2"/>
    <x v="110"/>
  </r>
  <r>
    <n v="463"/>
    <x v="20"/>
    <x v="7"/>
    <x v="0"/>
    <x v="0"/>
    <x v="6"/>
    <x v="6"/>
    <x v="0"/>
    <x v="0"/>
    <x v="2"/>
    <x v="18"/>
    <x v="33"/>
    <x v="3"/>
    <x v="4"/>
    <x v="43"/>
    <x v="118"/>
  </r>
  <r>
    <n v="464"/>
    <x v="20"/>
    <x v="8"/>
    <x v="0"/>
    <x v="0"/>
    <x v="6"/>
    <x v="6"/>
    <x v="0"/>
    <x v="0"/>
    <x v="2"/>
    <x v="18"/>
    <x v="19"/>
    <x v="9"/>
    <x v="18"/>
    <x v="135"/>
    <x v="112"/>
  </r>
  <r>
    <n v="465"/>
    <x v="20"/>
    <x v="9"/>
    <x v="0"/>
    <x v="0"/>
    <x v="6"/>
    <x v="6"/>
    <x v="0"/>
    <x v="0"/>
    <x v="2"/>
    <x v="18"/>
    <x v="33"/>
    <x v="11"/>
    <x v="18"/>
    <x v="136"/>
    <x v="150"/>
  </r>
  <r>
    <n v="466"/>
    <x v="20"/>
    <x v="10"/>
    <x v="0"/>
    <x v="0"/>
    <x v="6"/>
    <x v="6"/>
    <x v="0"/>
    <x v="0"/>
    <x v="2"/>
    <x v="17"/>
    <x v="19"/>
    <x v="17"/>
    <x v="15"/>
    <x v="77"/>
    <x v="55"/>
  </r>
  <r>
    <n v="467"/>
    <x v="20"/>
    <x v="11"/>
    <x v="0"/>
    <x v="0"/>
    <x v="6"/>
    <x v="6"/>
    <x v="0"/>
    <x v="0"/>
    <x v="1"/>
    <x v="18"/>
    <x v="48"/>
    <x v="17"/>
    <x v="15"/>
    <x v="42"/>
    <x v="29"/>
  </r>
  <r>
    <n v="468"/>
    <x v="20"/>
    <x v="12"/>
    <x v="0"/>
    <x v="0"/>
    <x v="6"/>
    <x v="6"/>
    <x v="0"/>
    <x v="0"/>
    <x v="1"/>
    <x v="18"/>
    <x v="57"/>
    <x v="19"/>
    <x v="16"/>
    <x v="28"/>
    <x v="53"/>
  </r>
  <r>
    <n v="469"/>
    <x v="20"/>
    <x v="13"/>
    <x v="0"/>
    <x v="0"/>
    <x v="6"/>
    <x v="6"/>
    <x v="0"/>
    <x v="0"/>
    <x v="2"/>
    <x v="20"/>
    <x v="58"/>
    <x v="19"/>
    <x v="1"/>
    <x v="65"/>
    <x v="88"/>
  </r>
  <r>
    <n v="470"/>
    <x v="20"/>
    <x v="14"/>
    <x v="0"/>
    <x v="0"/>
    <x v="6"/>
    <x v="6"/>
    <x v="0"/>
    <x v="0"/>
    <x v="2"/>
    <x v="20"/>
    <x v="59"/>
    <x v="18"/>
    <x v="15"/>
    <x v="90"/>
    <x v="69"/>
  </r>
  <r>
    <n v="471"/>
    <x v="20"/>
    <x v="15"/>
    <x v="0"/>
    <x v="0"/>
    <x v="6"/>
    <x v="6"/>
    <x v="0"/>
    <x v="0"/>
    <x v="13"/>
    <x v="16"/>
    <x v="60"/>
    <x v="10"/>
    <x v="17"/>
    <x v="124"/>
    <x v="32"/>
  </r>
  <r>
    <n v="472"/>
    <x v="20"/>
    <x v="16"/>
    <x v="0"/>
    <x v="0"/>
    <x v="6"/>
    <x v="6"/>
    <x v="0"/>
    <x v="0"/>
    <x v="13"/>
    <x v="14"/>
    <x v="60"/>
    <x v="11"/>
    <x v="3"/>
    <x v="106"/>
    <x v="54"/>
  </r>
  <r>
    <n v="473"/>
    <x v="20"/>
    <x v="17"/>
    <x v="0"/>
    <x v="0"/>
    <x v="6"/>
    <x v="6"/>
    <x v="0"/>
    <x v="0"/>
    <x v="14"/>
    <x v="16"/>
    <x v="40"/>
    <x v="11"/>
    <x v="22"/>
    <x v="137"/>
    <x v="143"/>
  </r>
  <r>
    <n v="474"/>
    <x v="20"/>
    <x v="18"/>
    <x v="0"/>
    <x v="0"/>
    <x v="6"/>
    <x v="6"/>
    <x v="0"/>
    <x v="0"/>
    <x v="16"/>
    <x v="16"/>
    <x v="24"/>
    <x v="2"/>
    <x v="5"/>
    <x v="138"/>
    <x v="151"/>
  </r>
  <r>
    <n v="475"/>
    <x v="20"/>
    <x v="19"/>
    <x v="0"/>
    <x v="0"/>
    <x v="6"/>
    <x v="6"/>
    <x v="0"/>
    <x v="0"/>
    <x v="16"/>
    <x v="15"/>
    <x v="24"/>
    <x v="9"/>
    <x v="0"/>
    <x v="139"/>
    <x v="152"/>
  </r>
  <r>
    <n v="476"/>
    <x v="20"/>
    <x v="20"/>
    <x v="0"/>
    <x v="0"/>
    <x v="6"/>
    <x v="6"/>
    <x v="0"/>
    <x v="0"/>
    <x v="18"/>
    <x v="23"/>
    <x v="39"/>
    <x v="12"/>
    <x v="5"/>
    <x v="15"/>
    <x v="26"/>
  </r>
  <r>
    <n v="477"/>
    <x v="20"/>
    <x v="21"/>
    <x v="0"/>
    <x v="0"/>
    <x v="6"/>
    <x v="6"/>
    <x v="0"/>
    <x v="0"/>
    <x v="19"/>
    <x v="23"/>
    <x v="41"/>
    <x v="3"/>
    <x v="3"/>
    <x v="40"/>
    <x v="102"/>
  </r>
  <r>
    <n v="478"/>
    <x v="20"/>
    <x v="22"/>
    <x v="0"/>
    <x v="0"/>
    <x v="6"/>
    <x v="6"/>
    <x v="0"/>
    <x v="0"/>
    <x v="20"/>
    <x v="26"/>
    <x v="48"/>
    <x v="13"/>
    <x v="5"/>
    <x v="39"/>
    <x v="19"/>
  </r>
  <r>
    <n v="479"/>
    <x v="20"/>
    <x v="23"/>
    <x v="0"/>
    <x v="0"/>
    <x v="6"/>
    <x v="6"/>
    <x v="0"/>
    <x v="0"/>
    <x v="20"/>
    <x v="27"/>
    <x v="41"/>
    <x v="9"/>
    <x v="3"/>
    <x v="2"/>
    <x v="110"/>
  </r>
  <r>
    <n v="480"/>
    <x v="21"/>
    <x v="0"/>
    <x v="0"/>
    <x v="0"/>
    <x v="0"/>
    <x v="0"/>
    <x v="0"/>
    <x v="0"/>
    <x v="21"/>
    <x v="26"/>
    <x v="49"/>
    <x v="2"/>
    <x v="3"/>
    <x v="0"/>
    <x v="3"/>
  </r>
  <r>
    <n v="481"/>
    <x v="21"/>
    <x v="1"/>
    <x v="0"/>
    <x v="0"/>
    <x v="0"/>
    <x v="0"/>
    <x v="1"/>
    <x v="1"/>
    <x v="21"/>
    <x v="28"/>
    <x v="48"/>
    <x v="13"/>
    <x v="0"/>
    <x v="33"/>
    <x v="47"/>
  </r>
  <r>
    <n v="482"/>
    <x v="21"/>
    <x v="2"/>
    <x v="0"/>
    <x v="0"/>
    <x v="0"/>
    <x v="0"/>
    <x v="1"/>
    <x v="1"/>
    <x v="21"/>
    <x v="26"/>
    <x v="48"/>
    <x v="2"/>
    <x v="3"/>
    <x v="48"/>
    <x v="62"/>
  </r>
  <r>
    <n v="483"/>
    <x v="21"/>
    <x v="3"/>
    <x v="0"/>
    <x v="0"/>
    <x v="0"/>
    <x v="0"/>
    <x v="1"/>
    <x v="1"/>
    <x v="21"/>
    <x v="26"/>
    <x v="48"/>
    <x v="3"/>
    <x v="5"/>
    <x v="8"/>
    <x v="85"/>
  </r>
  <r>
    <n v="484"/>
    <x v="21"/>
    <x v="4"/>
    <x v="0"/>
    <x v="0"/>
    <x v="0"/>
    <x v="0"/>
    <x v="1"/>
    <x v="1"/>
    <x v="22"/>
    <x v="29"/>
    <x v="37"/>
    <x v="4"/>
    <x v="3"/>
    <x v="35"/>
    <x v="6"/>
  </r>
  <r>
    <n v="485"/>
    <x v="21"/>
    <x v="6"/>
    <x v="0"/>
    <x v="0"/>
    <x v="0"/>
    <x v="0"/>
    <x v="1"/>
    <x v="1"/>
    <x v="22"/>
    <x v="26"/>
    <x v="18"/>
    <x v="6"/>
    <x v="3"/>
    <x v="6"/>
    <x v="5"/>
  </r>
  <r>
    <n v="486"/>
    <x v="21"/>
    <x v="7"/>
    <x v="0"/>
    <x v="0"/>
    <x v="0"/>
    <x v="0"/>
    <x v="0"/>
    <x v="0"/>
    <x v="22"/>
    <x v="29"/>
    <x v="18"/>
    <x v="3"/>
    <x v="3"/>
    <x v="21"/>
    <x v="7"/>
  </r>
  <r>
    <n v="487"/>
    <x v="21"/>
    <x v="8"/>
    <x v="0"/>
    <x v="0"/>
    <x v="0"/>
    <x v="0"/>
    <x v="0"/>
    <x v="0"/>
    <x v="22"/>
    <x v="28"/>
    <x v="18"/>
    <x v="9"/>
    <x v="5"/>
    <x v="16"/>
    <x v="110"/>
  </r>
  <r>
    <n v="488"/>
    <x v="21"/>
    <x v="9"/>
    <x v="0"/>
    <x v="0"/>
    <x v="0"/>
    <x v="0"/>
    <x v="0"/>
    <x v="0"/>
    <x v="21"/>
    <x v="26"/>
    <x v="48"/>
    <x v="2"/>
    <x v="0"/>
    <x v="53"/>
    <x v="1"/>
  </r>
  <r>
    <n v="489"/>
    <x v="21"/>
    <x v="10"/>
    <x v="0"/>
    <x v="0"/>
    <x v="0"/>
    <x v="0"/>
    <x v="1"/>
    <x v="1"/>
    <x v="21"/>
    <x v="22"/>
    <x v="48"/>
    <x v="8"/>
    <x v="0"/>
    <x v="54"/>
    <x v="26"/>
  </r>
  <r>
    <n v="490"/>
    <x v="21"/>
    <x v="11"/>
    <x v="0"/>
    <x v="0"/>
    <x v="0"/>
    <x v="0"/>
    <x v="1"/>
    <x v="1"/>
    <x v="20"/>
    <x v="23"/>
    <x v="41"/>
    <x v="7"/>
    <x v="17"/>
    <x v="79"/>
    <x v="55"/>
  </r>
  <r>
    <n v="491"/>
    <x v="21"/>
    <x v="12"/>
    <x v="0"/>
    <x v="0"/>
    <x v="0"/>
    <x v="0"/>
    <x v="1"/>
    <x v="1"/>
    <x v="20"/>
    <x v="15"/>
    <x v="41"/>
    <x v="14"/>
    <x v="22"/>
    <x v="91"/>
    <x v="27"/>
  </r>
  <r>
    <n v="492"/>
    <x v="21"/>
    <x v="13"/>
    <x v="0"/>
    <x v="0"/>
    <x v="0"/>
    <x v="0"/>
    <x v="0"/>
    <x v="0"/>
    <x v="19"/>
    <x v="17"/>
    <x v="23"/>
    <x v="0"/>
    <x v="6"/>
    <x v="109"/>
    <x v="11"/>
  </r>
  <r>
    <n v="493"/>
    <x v="21"/>
    <x v="14"/>
    <x v="0"/>
    <x v="0"/>
    <x v="0"/>
    <x v="0"/>
    <x v="0"/>
    <x v="0"/>
    <x v="18"/>
    <x v="14"/>
    <x v="39"/>
    <x v="14"/>
    <x v="16"/>
    <x v="27"/>
    <x v="28"/>
  </r>
  <r>
    <n v="494"/>
    <x v="21"/>
    <x v="15"/>
    <x v="0"/>
    <x v="0"/>
    <x v="0"/>
    <x v="0"/>
    <x v="0"/>
    <x v="0"/>
    <x v="16"/>
    <x v="20"/>
    <x v="40"/>
    <x v="0"/>
    <x v="22"/>
    <x v="139"/>
    <x v="153"/>
  </r>
  <r>
    <n v="495"/>
    <x v="21"/>
    <x v="16"/>
    <x v="0"/>
    <x v="0"/>
    <x v="0"/>
    <x v="0"/>
    <x v="0"/>
    <x v="0"/>
    <x v="16"/>
    <x v="14"/>
    <x v="40"/>
    <x v="5"/>
    <x v="16"/>
    <x v="109"/>
    <x v="56"/>
  </r>
  <r>
    <n v="496"/>
    <x v="21"/>
    <x v="17"/>
    <x v="0"/>
    <x v="0"/>
    <x v="0"/>
    <x v="0"/>
    <x v="0"/>
    <x v="0"/>
    <x v="16"/>
    <x v="13"/>
    <x v="40"/>
    <x v="0"/>
    <x v="1"/>
    <x v="79"/>
    <x v="16"/>
  </r>
  <r>
    <n v="497"/>
    <x v="21"/>
    <x v="18"/>
    <x v="0"/>
    <x v="0"/>
    <x v="0"/>
    <x v="0"/>
    <x v="0"/>
    <x v="0"/>
    <x v="19"/>
    <x v="24"/>
    <x v="23"/>
    <x v="5"/>
    <x v="3"/>
    <x v="25"/>
    <x v="60"/>
  </r>
  <r>
    <n v="498"/>
    <x v="21"/>
    <x v="19"/>
    <x v="0"/>
    <x v="0"/>
    <x v="0"/>
    <x v="0"/>
    <x v="0"/>
    <x v="0"/>
    <x v="19"/>
    <x v="15"/>
    <x v="23"/>
    <x v="7"/>
    <x v="15"/>
    <x v="42"/>
    <x v="29"/>
  </r>
  <r>
    <n v="499"/>
    <x v="21"/>
    <x v="20"/>
    <x v="0"/>
    <x v="0"/>
    <x v="0"/>
    <x v="0"/>
    <x v="0"/>
    <x v="0"/>
    <x v="20"/>
    <x v="23"/>
    <x v="49"/>
    <x v="8"/>
    <x v="5"/>
    <x v="100"/>
    <x v="79"/>
  </r>
  <r>
    <n v="500"/>
    <x v="21"/>
    <x v="21"/>
    <x v="0"/>
    <x v="0"/>
    <x v="0"/>
    <x v="0"/>
    <x v="0"/>
    <x v="0"/>
    <x v="20"/>
    <x v="15"/>
    <x v="48"/>
    <x v="1"/>
    <x v="3"/>
    <x v="87"/>
    <x v="21"/>
  </r>
  <r>
    <n v="501"/>
    <x v="21"/>
    <x v="22"/>
    <x v="0"/>
    <x v="0"/>
    <x v="0"/>
    <x v="0"/>
    <x v="0"/>
    <x v="0"/>
    <x v="20"/>
    <x v="20"/>
    <x v="36"/>
    <x v="0"/>
    <x v="18"/>
    <x v="140"/>
    <x v="33"/>
  </r>
  <r>
    <n v="502"/>
    <x v="21"/>
    <x v="23"/>
    <x v="0"/>
    <x v="0"/>
    <x v="0"/>
    <x v="0"/>
    <x v="0"/>
    <x v="0"/>
    <x v="21"/>
    <x v="23"/>
    <x v="14"/>
    <x v="14"/>
    <x v="4"/>
    <x v="17"/>
    <x v="63"/>
  </r>
  <r>
    <n v="503"/>
    <x v="22"/>
    <x v="0"/>
    <x v="0"/>
    <x v="0"/>
    <x v="1"/>
    <x v="1"/>
    <x v="0"/>
    <x v="0"/>
    <x v="21"/>
    <x v="23"/>
    <x v="14"/>
    <x v="14"/>
    <x v="4"/>
    <x v="32"/>
    <x v="34"/>
  </r>
  <r>
    <n v="504"/>
    <x v="22"/>
    <x v="1"/>
    <x v="0"/>
    <x v="0"/>
    <x v="1"/>
    <x v="1"/>
    <x v="0"/>
    <x v="0"/>
    <x v="21"/>
    <x v="23"/>
    <x v="14"/>
    <x v="14"/>
    <x v="5"/>
    <x v="98"/>
    <x v="3"/>
  </r>
  <r>
    <n v="505"/>
    <x v="22"/>
    <x v="2"/>
    <x v="0"/>
    <x v="0"/>
    <x v="1"/>
    <x v="1"/>
    <x v="0"/>
    <x v="0"/>
    <x v="22"/>
    <x v="22"/>
    <x v="51"/>
    <x v="7"/>
    <x v="0"/>
    <x v="89"/>
    <x v="109"/>
  </r>
  <r>
    <n v="506"/>
    <x v="22"/>
    <x v="3"/>
    <x v="0"/>
    <x v="0"/>
    <x v="1"/>
    <x v="1"/>
    <x v="0"/>
    <x v="0"/>
    <x v="22"/>
    <x v="22"/>
    <x v="51"/>
    <x v="7"/>
    <x v="5"/>
    <x v="22"/>
    <x v="36"/>
  </r>
  <r>
    <n v="507"/>
    <x v="22"/>
    <x v="5"/>
    <x v="0"/>
    <x v="0"/>
    <x v="1"/>
    <x v="1"/>
    <x v="1"/>
    <x v="1"/>
    <x v="21"/>
    <x v="23"/>
    <x v="14"/>
    <x v="14"/>
    <x v="3"/>
    <x v="35"/>
    <x v="6"/>
  </r>
  <r>
    <n v="508"/>
    <x v="22"/>
    <x v="6"/>
    <x v="0"/>
    <x v="0"/>
    <x v="1"/>
    <x v="1"/>
    <x v="1"/>
    <x v="1"/>
    <x v="21"/>
    <x v="23"/>
    <x v="14"/>
    <x v="14"/>
    <x v="3"/>
    <x v="4"/>
    <x v="4"/>
  </r>
  <r>
    <n v="509"/>
    <x v="22"/>
    <x v="7"/>
    <x v="0"/>
    <x v="0"/>
    <x v="1"/>
    <x v="1"/>
    <x v="0"/>
    <x v="0"/>
    <x v="19"/>
    <x v="15"/>
    <x v="52"/>
    <x v="8"/>
    <x v="5"/>
    <x v="4"/>
    <x v="5"/>
  </r>
  <r>
    <n v="510"/>
    <x v="22"/>
    <x v="8"/>
    <x v="0"/>
    <x v="0"/>
    <x v="1"/>
    <x v="1"/>
    <x v="0"/>
    <x v="0"/>
    <x v="20"/>
    <x v="23"/>
    <x v="51"/>
    <x v="8"/>
    <x v="4"/>
    <x v="19"/>
    <x v="75"/>
  </r>
  <r>
    <n v="511"/>
    <x v="22"/>
    <x v="9"/>
    <x v="0"/>
    <x v="0"/>
    <x v="1"/>
    <x v="1"/>
    <x v="0"/>
    <x v="0"/>
    <x v="18"/>
    <x v="23"/>
    <x v="47"/>
    <x v="11"/>
    <x v="0"/>
    <x v="18"/>
    <x v="20"/>
  </r>
  <r>
    <n v="512"/>
    <x v="22"/>
    <x v="10"/>
    <x v="0"/>
    <x v="0"/>
    <x v="1"/>
    <x v="1"/>
    <x v="0"/>
    <x v="0"/>
    <x v="14"/>
    <x v="15"/>
    <x v="15"/>
    <x v="13"/>
    <x v="18"/>
    <x v="82"/>
    <x v="154"/>
  </r>
  <r>
    <n v="513"/>
    <x v="22"/>
    <x v="11"/>
    <x v="0"/>
    <x v="0"/>
    <x v="1"/>
    <x v="1"/>
    <x v="0"/>
    <x v="0"/>
    <x v="14"/>
    <x v="14"/>
    <x v="21"/>
    <x v="6"/>
    <x v="30"/>
    <x v="99"/>
    <x v="111"/>
  </r>
  <r>
    <n v="514"/>
    <x v="22"/>
    <x v="12"/>
    <x v="0"/>
    <x v="0"/>
    <x v="1"/>
    <x v="1"/>
    <x v="0"/>
    <x v="0"/>
    <x v="13"/>
    <x v="16"/>
    <x v="38"/>
    <x v="17"/>
    <x v="31"/>
    <x v="50"/>
    <x v="155"/>
  </r>
  <r>
    <n v="515"/>
    <x v="22"/>
    <x v="13"/>
    <x v="0"/>
    <x v="0"/>
    <x v="1"/>
    <x v="1"/>
    <x v="0"/>
    <x v="0"/>
    <x v="14"/>
    <x v="15"/>
    <x v="39"/>
    <x v="13"/>
    <x v="6"/>
    <x v="102"/>
    <x v="90"/>
  </r>
  <r>
    <n v="516"/>
    <x v="22"/>
    <x v="14"/>
    <x v="0"/>
    <x v="0"/>
    <x v="1"/>
    <x v="1"/>
    <x v="0"/>
    <x v="0"/>
    <x v="13"/>
    <x v="14"/>
    <x v="40"/>
    <x v="11"/>
    <x v="26"/>
    <x v="139"/>
    <x v="14"/>
  </r>
  <r>
    <n v="517"/>
    <x v="22"/>
    <x v="15"/>
    <x v="0"/>
    <x v="0"/>
    <x v="1"/>
    <x v="1"/>
    <x v="0"/>
    <x v="0"/>
    <x v="13"/>
    <x v="14"/>
    <x v="40"/>
    <x v="11"/>
    <x v="23"/>
    <x v="27"/>
    <x v="43"/>
  </r>
  <r>
    <n v="518"/>
    <x v="22"/>
    <x v="16"/>
    <x v="0"/>
    <x v="0"/>
    <x v="1"/>
    <x v="1"/>
    <x v="0"/>
    <x v="0"/>
    <x v="13"/>
    <x v="14"/>
    <x v="60"/>
    <x v="9"/>
    <x v="14"/>
    <x v="90"/>
    <x v="32"/>
  </r>
  <r>
    <n v="519"/>
    <x v="22"/>
    <x v="17"/>
    <x v="0"/>
    <x v="0"/>
    <x v="1"/>
    <x v="1"/>
    <x v="0"/>
    <x v="0"/>
    <x v="14"/>
    <x v="15"/>
    <x v="60"/>
    <x v="13"/>
    <x v="2"/>
    <x v="54"/>
    <x v="97"/>
  </r>
  <r>
    <n v="520"/>
    <x v="22"/>
    <x v="18"/>
    <x v="0"/>
    <x v="0"/>
    <x v="1"/>
    <x v="1"/>
    <x v="0"/>
    <x v="0"/>
    <x v="16"/>
    <x v="16"/>
    <x v="24"/>
    <x v="2"/>
    <x v="2"/>
    <x v="100"/>
    <x v="99"/>
  </r>
  <r>
    <n v="521"/>
    <x v="22"/>
    <x v="19"/>
    <x v="0"/>
    <x v="0"/>
    <x v="1"/>
    <x v="1"/>
    <x v="0"/>
    <x v="0"/>
    <x v="16"/>
    <x v="16"/>
    <x v="24"/>
    <x v="3"/>
    <x v="2"/>
    <x v="108"/>
    <x v="89"/>
  </r>
  <r>
    <n v="522"/>
    <x v="22"/>
    <x v="20"/>
    <x v="0"/>
    <x v="0"/>
    <x v="1"/>
    <x v="1"/>
    <x v="0"/>
    <x v="0"/>
    <x v="18"/>
    <x v="15"/>
    <x v="42"/>
    <x v="2"/>
    <x v="17"/>
    <x v="17"/>
    <x v="17"/>
  </r>
  <r>
    <n v="523"/>
    <x v="22"/>
    <x v="21"/>
    <x v="0"/>
    <x v="0"/>
    <x v="1"/>
    <x v="1"/>
    <x v="0"/>
    <x v="0"/>
    <x v="18"/>
    <x v="15"/>
    <x v="42"/>
    <x v="5"/>
    <x v="2"/>
    <x v="32"/>
    <x v="94"/>
  </r>
  <r>
    <n v="524"/>
    <x v="22"/>
    <x v="22"/>
    <x v="0"/>
    <x v="0"/>
    <x v="1"/>
    <x v="1"/>
    <x v="0"/>
    <x v="0"/>
    <x v="19"/>
    <x v="24"/>
    <x v="41"/>
    <x v="5"/>
    <x v="2"/>
    <x v="140"/>
    <x v="20"/>
  </r>
  <r>
    <n v="525"/>
    <x v="22"/>
    <x v="23"/>
    <x v="0"/>
    <x v="0"/>
    <x v="1"/>
    <x v="1"/>
    <x v="0"/>
    <x v="0"/>
    <x v="20"/>
    <x v="22"/>
    <x v="48"/>
    <x v="6"/>
    <x v="17"/>
    <x v="19"/>
    <x v="137"/>
  </r>
  <r>
    <n v="526"/>
    <x v="23"/>
    <x v="0"/>
    <x v="0"/>
    <x v="0"/>
    <x v="2"/>
    <x v="2"/>
    <x v="0"/>
    <x v="0"/>
    <x v="20"/>
    <x v="22"/>
    <x v="48"/>
    <x v="5"/>
    <x v="3"/>
    <x v="7"/>
    <x v="85"/>
  </r>
  <r>
    <n v="527"/>
    <x v="23"/>
    <x v="1"/>
    <x v="0"/>
    <x v="0"/>
    <x v="2"/>
    <x v="2"/>
    <x v="0"/>
    <x v="0"/>
    <x v="21"/>
    <x v="27"/>
    <x v="49"/>
    <x v="5"/>
    <x v="3"/>
    <x v="4"/>
    <x v="4"/>
  </r>
  <r>
    <n v="528"/>
    <x v="23"/>
    <x v="3"/>
    <x v="0"/>
    <x v="0"/>
    <x v="2"/>
    <x v="2"/>
    <x v="0"/>
    <x v="0"/>
    <x v="21"/>
    <x v="26"/>
    <x v="49"/>
    <x v="2"/>
    <x v="3"/>
    <x v="4"/>
    <x v="4"/>
  </r>
  <r>
    <n v="529"/>
    <x v="23"/>
    <x v="4"/>
    <x v="0"/>
    <x v="0"/>
    <x v="2"/>
    <x v="2"/>
    <x v="0"/>
    <x v="0"/>
    <x v="22"/>
    <x v="22"/>
    <x v="37"/>
    <x v="7"/>
    <x v="3"/>
    <x v="4"/>
    <x v="4"/>
  </r>
  <r>
    <n v="530"/>
    <x v="23"/>
    <x v="5"/>
    <x v="0"/>
    <x v="0"/>
    <x v="2"/>
    <x v="2"/>
    <x v="0"/>
    <x v="0"/>
    <x v="22"/>
    <x v="22"/>
    <x v="37"/>
    <x v="7"/>
    <x v="3"/>
    <x v="34"/>
    <x v="36"/>
  </r>
  <r>
    <n v="531"/>
    <x v="23"/>
    <x v="6"/>
    <x v="0"/>
    <x v="0"/>
    <x v="2"/>
    <x v="2"/>
    <x v="0"/>
    <x v="0"/>
    <x v="22"/>
    <x v="23"/>
    <x v="37"/>
    <x v="1"/>
    <x v="3"/>
    <x v="89"/>
    <x v="93"/>
  </r>
  <r>
    <n v="532"/>
    <x v="23"/>
    <x v="7"/>
    <x v="0"/>
    <x v="0"/>
    <x v="2"/>
    <x v="2"/>
    <x v="0"/>
    <x v="0"/>
    <x v="22"/>
    <x v="16"/>
    <x v="37"/>
    <x v="0"/>
    <x v="2"/>
    <x v="55"/>
    <x v="11"/>
  </r>
  <r>
    <n v="533"/>
    <x v="23"/>
    <x v="8"/>
    <x v="0"/>
    <x v="0"/>
    <x v="2"/>
    <x v="2"/>
    <x v="0"/>
    <x v="0"/>
    <x v="21"/>
    <x v="14"/>
    <x v="36"/>
    <x v="0"/>
    <x v="15"/>
    <x v="141"/>
    <x v="156"/>
  </r>
  <r>
    <n v="534"/>
    <x v="23"/>
    <x v="9"/>
    <x v="0"/>
    <x v="0"/>
    <x v="2"/>
    <x v="2"/>
    <x v="0"/>
    <x v="0"/>
    <x v="20"/>
    <x v="20"/>
    <x v="48"/>
    <x v="0"/>
    <x v="17"/>
    <x v="52"/>
    <x v="96"/>
  </r>
  <r>
    <n v="535"/>
    <x v="23"/>
    <x v="10"/>
    <x v="0"/>
    <x v="0"/>
    <x v="2"/>
    <x v="2"/>
    <x v="0"/>
    <x v="0"/>
    <x v="18"/>
    <x v="14"/>
    <x v="16"/>
    <x v="0"/>
    <x v="15"/>
    <x v="60"/>
    <x v="1"/>
  </r>
  <r>
    <n v="536"/>
    <x v="23"/>
    <x v="11"/>
    <x v="0"/>
    <x v="0"/>
    <x v="2"/>
    <x v="2"/>
    <x v="0"/>
    <x v="0"/>
    <x v="18"/>
    <x v="16"/>
    <x v="15"/>
    <x v="7"/>
    <x v="0"/>
    <x v="30"/>
    <x v="66"/>
  </r>
  <r>
    <n v="537"/>
    <x v="23"/>
    <x v="12"/>
    <x v="0"/>
    <x v="0"/>
    <x v="2"/>
    <x v="2"/>
    <x v="1"/>
    <x v="1"/>
    <x v="16"/>
    <x v="14"/>
    <x v="16"/>
    <x v="5"/>
    <x v="16"/>
    <x v="15"/>
    <x v="55"/>
  </r>
  <r>
    <n v="538"/>
    <x v="23"/>
    <x v="13"/>
    <x v="0"/>
    <x v="0"/>
    <x v="2"/>
    <x v="2"/>
    <x v="1"/>
    <x v="1"/>
    <x v="14"/>
    <x v="14"/>
    <x v="21"/>
    <x v="6"/>
    <x v="15"/>
    <x v="25"/>
    <x v="122"/>
  </r>
  <r>
    <n v="539"/>
    <x v="23"/>
    <x v="14"/>
    <x v="0"/>
    <x v="0"/>
    <x v="2"/>
    <x v="2"/>
    <x v="1"/>
    <x v="1"/>
    <x v="14"/>
    <x v="14"/>
    <x v="15"/>
    <x v="6"/>
    <x v="4"/>
    <x v="30"/>
    <x v="79"/>
  </r>
  <r>
    <n v="540"/>
    <x v="23"/>
    <x v="15"/>
    <x v="0"/>
    <x v="0"/>
    <x v="2"/>
    <x v="2"/>
    <x v="0"/>
    <x v="0"/>
    <x v="13"/>
    <x v="17"/>
    <x v="22"/>
    <x v="8"/>
    <x v="18"/>
    <x v="54"/>
    <x v="52"/>
  </r>
  <r>
    <n v="541"/>
    <x v="23"/>
    <x v="16"/>
    <x v="0"/>
    <x v="0"/>
    <x v="2"/>
    <x v="2"/>
    <x v="0"/>
    <x v="0"/>
    <x v="13"/>
    <x v="20"/>
    <x v="19"/>
    <x v="2"/>
    <x v="17"/>
    <x v="43"/>
    <x v="27"/>
  </r>
  <r>
    <n v="542"/>
    <x v="23"/>
    <x v="17"/>
    <x v="0"/>
    <x v="0"/>
    <x v="2"/>
    <x v="2"/>
    <x v="0"/>
    <x v="0"/>
    <x v="14"/>
    <x v="16"/>
    <x v="20"/>
    <x v="2"/>
    <x v="15"/>
    <x v="86"/>
    <x v="157"/>
  </r>
  <r>
    <n v="543"/>
    <x v="23"/>
    <x v="18"/>
    <x v="0"/>
    <x v="0"/>
    <x v="2"/>
    <x v="2"/>
    <x v="0"/>
    <x v="0"/>
    <x v="14"/>
    <x v="14"/>
    <x v="29"/>
    <x v="5"/>
    <x v="1"/>
    <x v="142"/>
    <x v="158"/>
  </r>
  <r>
    <n v="544"/>
    <x v="23"/>
    <x v="19"/>
    <x v="0"/>
    <x v="0"/>
    <x v="2"/>
    <x v="2"/>
    <x v="0"/>
    <x v="0"/>
    <x v="14"/>
    <x v="20"/>
    <x v="47"/>
    <x v="8"/>
    <x v="2"/>
    <x v="143"/>
    <x v="13"/>
  </r>
  <r>
    <n v="545"/>
    <x v="23"/>
    <x v="20"/>
    <x v="0"/>
    <x v="0"/>
    <x v="2"/>
    <x v="2"/>
    <x v="0"/>
    <x v="0"/>
    <x v="14"/>
    <x v="14"/>
    <x v="29"/>
    <x v="5"/>
    <x v="5"/>
    <x v="122"/>
    <x v="117"/>
  </r>
  <r>
    <n v="546"/>
    <x v="23"/>
    <x v="21"/>
    <x v="0"/>
    <x v="0"/>
    <x v="2"/>
    <x v="2"/>
    <x v="0"/>
    <x v="0"/>
    <x v="14"/>
    <x v="20"/>
    <x v="30"/>
    <x v="8"/>
    <x v="15"/>
    <x v="42"/>
    <x v="29"/>
  </r>
  <r>
    <n v="547"/>
    <x v="23"/>
    <x v="22"/>
    <x v="0"/>
    <x v="0"/>
    <x v="2"/>
    <x v="2"/>
    <x v="1"/>
    <x v="1"/>
    <x v="14"/>
    <x v="14"/>
    <x v="30"/>
    <x v="6"/>
    <x v="0"/>
    <x v="1"/>
    <x v="17"/>
  </r>
  <r>
    <n v="548"/>
    <x v="23"/>
    <x v="23"/>
    <x v="0"/>
    <x v="0"/>
    <x v="2"/>
    <x v="2"/>
    <x v="1"/>
    <x v="1"/>
    <x v="13"/>
    <x v="20"/>
    <x v="26"/>
    <x v="2"/>
    <x v="0"/>
    <x v="144"/>
    <x v="108"/>
  </r>
  <r>
    <n v="549"/>
    <x v="24"/>
    <x v="0"/>
    <x v="0"/>
    <x v="0"/>
    <x v="3"/>
    <x v="3"/>
    <x v="1"/>
    <x v="1"/>
    <x v="13"/>
    <x v="14"/>
    <x v="27"/>
    <x v="3"/>
    <x v="0"/>
    <x v="8"/>
    <x v="23"/>
  </r>
  <r>
    <n v="550"/>
    <x v="24"/>
    <x v="1"/>
    <x v="0"/>
    <x v="0"/>
    <x v="3"/>
    <x v="3"/>
    <x v="1"/>
    <x v="1"/>
    <x v="13"/>
    <x v="17"/>
    <x v="27"/>
    <x v="8"/>
    <x v="3"/>
    <x v="34"/>
    <x v="36"/>
  </r>
  <r>
    <n v="551"/>
    <x v="24"/>
    <x v="2"/>
    <x v="0"/>
    <x v="0"/>
    <x v="3"/>
    <x v="3"/>
    <x v="0"/>
    <x v="0"/>
    <x v="13"/>
    <x v="20"/>
    <x v="27"/>
    <x v="6"/>
    <x v="3"/>
    <x v="6"/>
    <x v="5"/>
  </r>
  <r>
    <n v="552"/>
    <x v="24"/>
    <x v="4"/>
    <x v="0"/>
    <x v="0"/>
    <x v="3"/>
    <x v="3"/>
    <x v="0"/>
    <x v="0"/>
    <x v="14"/>
    <x v="17"/>
    <x v="32"/>
    <x v="14"/>
    <x v="3"/>
    <x v="4"/>
    <x v="4"/>
  </r>
  <r>
    <n v="553"/>
    <x v="24"/>
    <x v="5"/>
    <x v="0"/>
    <x v="0"/>
    <x v="3"/>
    <x v="3"/>
    <x v="0"/>
    <x v="0"/>
    <x v="14"/>
    <x v="14"/>
    <x v="32"/>
    <x v="6"/>
    <x v="3"/>
    <x v="33"/>
    <x v="23"/>
  </r>
  <r>
    <n v="554"/>
    <x v="24"/>
    <x v="6"/>
    <x v="0"/>
    <x v="0"/>
    <x v="3"/>
    <x v="3"/>
    <x v="0"/>
    <x v="0"/>
    <x v="13"/>
    <x v="18"/>
    <x v="32"/>
    <x v="14"/>
    <x v="5"/>
    <x v="96"/>
    <x v="9"/>
  </r>
  <r>
    <n v="555"/>
    <x v="24"/>
    <x v="7"/>
    <x v="0"/>
    <x v="0"/>
    <x v="3"/>
    <x v="3"/>
    <x v="0"/>
    <x v="0"/>
    <x v="13"/>
    <x v="20"/>
    <x v="32"/>
    <x v="6"/>
    <x v="2"/>
    <x v="145"/>
    <x v="159"/>
  </r>
  <r>
    <n v="556"/>
    <x v="24"/>
    <x v="8"/>
    <x v="0"/>
    <x v="0"/>
    <x v="3"/>
    <x v="3"/>
    <x v="1"/>
    <x v="1"/>
    <x v="13"/>
    <x v="18"/>
    <x v="32"/>
    <x v="7"/>
    <x v="2"/>
    <x v="146"/>
    <x v="160"/>
  </r>
  <r>
    <n v="557"/>
    <x v="24"/>
    <x v="9"/>
    <x v="0"/>
    <x v="0"/>
    <x v="3"/>
    <x v="3"/>
    <x v="1"/>
    <x v="1"/>
    <x v="2"/>
    <x v="11"/>
    <x v="26"/>
    <x v="1"/>
    <x v="22"/>
    <x v="120"/>
    <x v="124"/>
  </r>
  <r>
    <n v="558"/>
    <x v="24"/>
    <x v="10"/>
    <x v="0"/>
    <x v="0"/>
    <x v="3"/>
    <x v="3"/>
    <x v="1"/>
    <x v="1"/>
    <x v="1"/>
    <x v="19"/>
    <x v="54"/>
    <x v="14"/>
    <x v="15"/>
    <x v="47"/>
    <x v="97"/>
  </r>
  <r>
    <n v="559"/>
    <x v="24"/>
    <x v="11"/>
    <x v="0"/>
    <x v="0"/>
    <x v="3"/>
    <x v="3"/>
    <x v="1"/>
    <x v="1"/>
    <x v="0"/>
    <x v="19"/>
    <x v="54"/>
    <x v="7"/>
    <x v="15"/>
    <x v="11"/>
    <x v="42"/>
  </r>
  <r>
    <n v="560"/>
    <x v="24"/>
    <x v="12"/>
    <x v="0"/>
    <x v="0"/>
    <x v="3"/>
    <x v="3"/>
    <x v="1"/>
    <x v="1"/>
    <x v="12"/>
    <x v="0"/>
    <x v="34"/>
    <x v="1"/>
    <x v="27"/>
    <x v="66"/>
    <x v="13"/>
  </r>
  <r>
    <n v="561"/>
    <x v="24"/>
    <x v="13"/>
    <x v="0"/>
    <x v="0"/>
    <x v="3"/>
    <x v="3"/>
    <x v="1"/>
    <x v="1"/>
    <x v="12"/>
    <x v="1"/>
    <x v="34"/>
    <x v="7"/>
    <x v="27"/>
    <x v="109"/>
    <x v="15"/>
  </r>
  <r>
    <n v="562"/>
    <x v="24"/>
    <x v="14"/>
    <x v="0"/>
    <x v="0"/>
    <x v="3"/>
    <x v="3"/>
    <x v="1"/>
    <x v="1"/>
    <x v="11"/>
    <x v="6"/>
    <x v="49"/>
    <x v="0"/>
    <x v="16"/>
    <x v="77"/>
    <x v="118"/>
  </r>
  <r>
    <n v="563"/>
    <x v="24"/>
    <x v="15"/>
    <x v="0"/>
    <x v="0"/>
    <x v="3"/>
    <x v="3"/>
    <x v="1"/>
    <x v="1"/>
    <x v="3"/>
    <x v="4"/>
    <x v="16"/>
    <x v="0"/>
    <x v="27"/>
    <x v="36"/>
    <x v="11"/>
  </r>
  <r>
    <n v="564"/>
    <x v="24"/>
    <x v="16"/>
    <x v="0"/>
    <x v="0"/>
    <x v="3"/>
    <x v="3"/>
    <x v="1"/>
    <x v="1"/>
    <x v="3"/>
    <x v="4"/>
    <x v="16"/>
    <x v="0"/>
    <x v="24"/>
    <x v="46"/>
    <x v="155"/>
  </r>
  <r>
    <n v="565"/>
    <x v="24"/>
    <x v="17"/>
    <x v="0"/>
    <x v="0"/>
    <x v="3"/>
    <x v="3"/>
    <x v="0"/>
    <x v="0"/>
    <x v="11"/>
    <x v="6"/>
    <x v="49"/>
    <x v="0"/>
    <x v="24"/>
    <x v="147"/>
    <x v="161"/>
  </r>
  <r>
    <n v="566"/>
    <x v="24"/>
    <x v="18"/>
    <x v="0"/>
    <x v="0"/>
    <x v="3"/>
    <x v="3"/>
    <x v="1"/>
    <x v="1"/>
    <x v="11"/>
    <x v="21"/>
    <x v="36"/>
    <x v="1"/>
    <x v="18"/>
    <x v="148"/>
    <x v="162"/>
  </r>
  <r>
    <n v="567"/>
    <x v="24"/>
    <x v="19"/>
    <x v="0"/>
    <x v="0"/>
    <x v="3"/>
    <x v="3"/>
    <x v="1"/>
    <x v="1"/>
    <x v="12"/>
    <x v="2"/>
    <x v="55"/>
    <x v="8"/>
    <x v="23"/>
    <x v="149"/>
    <x v="163"/>
  </r>
  <r>
    <n v="568"/>
    <x v="24"/>
    <x v="20"/>
    <x v="0"/>
    <x v="0"/>
    <x v="3"/>
    <x v="3"/>
    <x v="0"/>
    <x v="0"/>
    <x v="0"/>
    <x v="11"/>
    <x v="55"/>
    <x v="5"/>
    <x v="19"/>
    <x v="145"/>
    <x v="164"/>
  </r>
  <r>
    <n v="569"/>
    <x v="24"/>
    <x v="21"/>
    <x v="0"/>
    <x v="0"/>
    <x v="3"/>
    <x v="3"/>
    <x v="0"/>
    <x v="0"/>
    <x v="0"/>
    <x v="11"/>
    <x v="55"/>
    <x v="5"/>
    <x v="2"/>
    <x v="71"/>
    <x v="79"/>
  </r>
  <r>
    <n v="570"/>
    <x v="24"/>
    <x v="22"/>
    <x v="0"/>
    <x v="0"/>
    <x v="3"/>
    <x v="3"/>
    <x v="0"/>
    <x v="0"/>
    <x v="1"/>
    <x v="11"/>
    <x v="26"/>
    <x v="8"/>
    <x v="17"/>
    <x v="47"/>
    <x v="26"/>
  </r>
  <r>
    <n v="571"/>
    <x v="24"/>
    <x v="23"/>
    <x v="0"/>
    <x v="0"/>
    <x v="3"/>
    <x v="3"/>
    <x v="1"/>
    <x v="1"/>
    <x v="1"/>
    <x v="11"/>
    <x v="26"/>
    <x v="8"/>
    <x v="0"/>
    <x v="53"/>
    <x v="1"/>
  </r>
  <r>
    <n v="572"/>
    <x v="25"/>
    <x v="0"/>
    <x v="0"/>
    <x v="0"/>
    <x v="4"/>
    <x v="4"/>
    <x v="1"/>
    <x v="1"/>
    <x v="1"/>
    <x v="11"/>
    <x v="27"/>
    <x v="7"/>
    <x v="0"/>
    <x v="88"/>
    <x v="22"/>
  </r>
  <r>
    <n v="573"/>
    <x v="25"/>
    <x v="1"/>
    <x v="0"/>
    <x v="0"/>
    <x v="4"/>
    <x v="4"/>
    <x v="1"/>
    <x v="1"/>
    <x v="0"/>
    <x v="19"/>
    <x v="55"/>
    <x v="7"/>
    <x v="3"/>
    <x v="34"/>
    <x v="36"/>
  </r>
  <r>
    <n v="574"/>
    <x v="25"/>
    <x v="2"/>
    <x v="0"/>
    <x v="0"/>
    <x v="4"/>
    <x v="4"/>
    <x v="2"/>
    <x v="2"/>
    <x v="1"/>
    <x v="11"/>
    <x v="27"/>
    <x v="5"/>
    <x v="0"/>
    <x v="7"/>
    <x v="98"/>
  </r>
  <r>
    <n v="575"/>
    <x v="25"/>
    <x v="5"/>
    <x v="0"/>
    <x v="0"/>
    <x v="4"/>
    <x v="4"/>
    <x v="2"/>
    <x v="2"/>
    <x v="2"/>
    <x v="18"/>
    <x v="3"/>
    <x v="3"/>
    <x v="3"/>
    <x v="4"/>
    <x v="4"/>
  </r>
  <r>
    <n v="576"/>
    <x v="25"/>
    <x v="6"/>
    <x v="0"/>
    <x v="0"/>
    <x v="4"/>
    <x v="4"/>
    <x v="2"/>
    <x v="2"/>
    <x v="2"/>
    <x v="18"/>
    <x v="3"/>
    <x v="3"/>
    <x v="3"/>
    <x v="21"/>
    <x v="7"/>
  </r>
  <r>
    <n v="577"/>
    <x v="25"/>
    <x v="7"/>
    <x v="0"/>
    <x v="0"/>
    <x v="4"/>
    <x v="4"/>
    <x v="2"/>
    <x v="2"/>
    <x v="1"/>
    <x v="12"/>
    <x v="9"/>
    <x v="4"/>
    <x v="5"/>
    <x v="31"/>
    <x v="33"/>
  </r>
  <r>
    <n v="578"/>
    <x v="25"/>
    <x v="8"/>
    <x v="0"/>
    <x v="0"/>
    <x v="4"/>
    <x v="4"/>
    <x v="2"/>
    <x v="2"/>
    <x v="1"/>
    <x v="12"/>
    <x v="9"/>
    <x v="4"/>
    <x v="0"/>
    <x v="94"/>
    <x v="44"/>
  </r>
  <r>
    <n v="579"/>
    <x v="25"/>
    <x v="9"/>
    <x v="0"/>
    <x v="0"/>
    <x v="4"/>
    <x v="4"/>
    <x v="2"/>
    <x v="2"/>
    <x v="1"/>
    <x v="12"/>
    <x v="9"/>
    <x v="4"/>
    <x v="0"/>
    <x v="11"/>
    <x v="154"/>
  </r>
  <r>
    <n v="580"/>
    <x v="25"/>
    <x v="10"/>
    <x v="0"/>
    <x v="0"/>
    <x v="4"/>
    <x v="4"/>
    <x v="2"/>
    <x v="2"/>
    <x v="1"/>
    <x v="12"/>
    <x v="43"/>
    <x v="3"/>
    <x v="4"/>
    <x v="16"/>
    <x v="20"/>
  </r>
  <r>
    <n v="581"/>
    <x v="25"/>
    <x v="11"/>
    <x v="0"/>
    <x v="0"/>
    <x v="4"/>
    <x v="4"/>
    <x v="2"/>
    <x v="2"/>
    <x v="1"/>
    <x v="13"/>
    <x v="43"/>
    <x v="9"/>
    <x v="15"/>
    <x v="96"/>
    <x v="102"/>
  </r>
  <r>
    <n v="582"/>
    <x v="25"/>
    <x v="12"/>
    <x v="0"/>
    <x v="0"/>
    <x v="4"/>
    <x v="4"/>
    <x v="2"/>
    <x v="2"/>
    <x v="1"/>
    <x v="13"/>
    <x v="43"/>
    <x v="9"/>
    <x v="18"/>
    <x v="40"/>
    <x v="61"/>
  </r>
  <r>
    <n v="583"/>
    <x v="25"/>
    <x v="13"/>
    <x v="0"/>
    <x v="0"/>
    <x v="4"/>
    <x v="4"/>
    <x v="2"/>
    <x v="2"/>
    <x v="1"/>
    <x v="13"/>
    <x v="43"/>
    <x v="9"/>
    <x v="17"/>
    <x v="30"/>
    <x v="105"/>
  </r>
  <r>
    <n v="584"/>
    <x v="25"/>
    <x v="14"/>
    <x v="0"/>
    <x v="0"/>
    <x v="4"/>
    <x v="4"/>
    <x v="2"/>
    <x v="2"/>
    <x v="1"/>
    <x v="13"/>
    <x v="43"/>
    <x v="11"/>
    <x v="3"/>
    <x v="49"/>
    <x v="9"/>
  </r>
  <r>
    <n v="585"/>
    <x v="25"/>
    <x v="15"/>
    <x v="0"/>
    <x v="0"/>
    <x v="4"/>
    <x v="4"/>
    <x v="2"/>
    <x v="2"/>
    <x v="1"/>
    <x v="18"/>
    <x v="43"/>
    <x v="17"/>
    <x v="5"/>
    <x v="76"/>
    <x v="74"/>
  </r>
  <r>
    <n v="586"/>
    <x v="25"/>
    <x v="16"/>
    <x v="0"/>
    <x v="0"/>
    <x v="4"/>
    <x v="4"/>
    <x v="3"/>
    <x v="3"/>
    <x v="1"/>
    <x v="13"/>
    <x v="43"/>
    <x v="9"/>
    <x v="5"/>
    <x v="96"/>
    <x v="9"/>
  </r>
  <r>
    <n v="587"/>
    <x v="25"/>
    <x v="17"/>
    <x v="0"/>
    <x v="0"/>
    <x v="4"/>
    <x v="4"/>
    <x v="2"/>
    <x v="2"/>
    <x v="2"/>
    <x v="18"/>
    <x v="43"/>
    <x v="11"/>
    <x v="3"/>
    <x v="16"/>
    <x v="132"/>
  </r>
  <r>
    <n v="588"/>
    <x v="26"/>
    <x v="16"/>
    <x v="0"/>
    <x v="0"/>
    <x v="5"/>
    <x v="5"/>
    <x v="0"/>
    <x v="0"/>
    <x v="1"/>
    <x v="11"/>
    <x v="28"/>
    <x v="5"/>
    <x v="5"/>
    <x v="140"/>
    <x v="108"/>
  </r>
  <r>
    <n v="589"/>
    <x v="26"/>
    <x v="17"/>
    <x v="0"/>
    <x v="0"/>
    <x v="5"/>
    <x v="5"/>
    <x v="0"/>
    <x v="0"/>
    <x v="1"/>
    <x v="19"/>
    <x v="28"/>
    <x v="14"/>
    <x v="4"/>
    <x v="70"/>
    <x v="11"/>
  </r>
  <r>
    <n v="590"/>
    <x v="26"/>
    <x v="18"/>
    <x v="0"/>
    <x v="0"/>
    <x v="5"/>
    <x v="5"/>
    <x v="0"/>
    <x v="0"/>
    <x v="2"/>
    <x v="11"/>
    <x v="27"/>
    <x v="1"/>
    <x v="0"/>
    <x v="143"/>
    <x v="133"/>
  </r>
  <r>
    <n v="591"/>
    <x v="26"/>
    <x v="19"/>
    <x v="0"/>
    <x v="0"/>
    <x v="5"/>
    <x v="5"/>
    <x v="0"/>
    <x v="0"/>
    <x v="2"/>
    <x v="11"/>
    <x v="27"/>
    <x v="1"/>
    <x v="0"/>
    <x v="83"/>
    <x v="67"/>
  </r>
  <r>
    <n v="592"/>
    <x v="26"/>
    <x v="20"/>
    <x v="0"/>
    <x v="0"/>
    <x v="5"/>
    <x v="5"/>
    <x v="0"/>
    <x v="0"/>
    <x v="15"/>
    <x v="12"/>
    <x v="32"/>
    <x v="1"/>
    <x v="17"/>
    <x v="11"/>
    <x v="29"/>
  </r>
  <r>
    <n v="593"/>
    <x v="26"/>
    <x v="21"/>
    <x v="0"/>
    <x v="0"/>
    <x v="5"/>
    <x v="5"/>
    <x v="0"/>
    <x v="0"/>
    <x v="15"/>
    <x v="12"/>
    <x v="32"/>
    <x v="1"/>
    <x v="4"/>
    <x v="49"/>
    <x v="103"/>
  </r>
  <r>
    <n v="594"/>
    <x v="26"/>
    <x v="22"/>
    <x v="0"/>
    <x v="0"/>
    <x v="5"/>
    <x v="5"/>
    <x v="0"/>
    <x v="0"/>
    <x v="15"/>
    <x v="12"/>
    <x v="32"/>
    <x v="1"/>
    <x v="3"/>
    <x v="2"/>
    <x v="110"/>
  </r>
  <r>
    <n v="595"/>
    <x v="26"/>
    <x v="23"/>
    <x v="0"/>
    <x v="0"/>
    <x v="5"/>
    <x v="5"/>
    <x v="0"/>
    <x v="0"/>
    <x v="15"/>
    <x v="13"/>
    <x v="1"/>
    <x v="8"/>
    <x v="3"/>
    <x v="20"/>
    <x v="0"/>
  </r>
  <r>
    <n v="596"/>
    <x v="27"/>
    <x v="0"/>
    <x v="0"/>
    <x v="0"/>
    <x v="6"/>
    <x v="6"/>
    <x v="1"/>
    <x v="1"/>
    <x v="2"/>
    <x v="12"/>
    <x v="2"/>
    <x v="7"/>
    <x v="3"/>
    <x v="33"/>
    <x v="23"/>
  </r>
  <r>
    <n v="597"/>
    <x v="27"/>
    <x v="1"/>
    <x v="0"/>
    <x v="0"/>
    <x v="6"/>
    <x v="6"/>
    <x v="1"/>
    <x v="1"/>
    <x v="2"/>
    <x v="12"/>
    <x v="2"/>
    <x v="7"/>
    <x v="5"/>
    <x v="6"/>
    <x v="6"/>
  </r>
  <r>
    <n v="598"/>
    <x v="27"/>
    <x v="2"/>
    <x v="0"/>
    <x v="0"/>
    <x v="6"/>
    <x v="6"/>
    <x v="1"/>
    <x v="1"/>
    <x v="2"/>
    <x v="12"/>
    <x v="2"/>
    <x v="8"/>
    <x v="3"/>
    <x v="6"/>
    <x v="5"/>
  </r>
  <r>
    <n v="599"/>
    <x v="27"/>
    <x v="3"/>
    <x v="0"/>
    <x v="0"/>
    <x v="6"/>
    <x v="6"/>
    <x v="1"/>
    <x v="1"/>
    <x v="2"/>
    <x v="11"/>
    <x v="2"/>
    <x v="14"/>
    <x v="5"/>
    <x v="5"/>
    <x v="4"/>
  </r>
  <r>
    <n v="600"/>
    <x v="27"/>
    <x v="5"/>
    <x v="0"/>
    <x v="0"/>
    <x v="6"/>
    <x v="6"/>
    <x v="1"/>
    <x v="1"/>
    <x v="15"/>
    <x v="12"/>
    <x v="1"/>
    <x v="14"/>
    <x v="3"/>
    <x v="22"/>
    <x v="48"/>
  </r>
  <r>
    <n v="601"/>
    <x v="27"/>
    <x v="6"/>
    <x v="0"/>
    <x v="0"/>
    <x v="6"/>
    <x v="6"/>
    <x v="1"/>
    <x v="1"/>
    <x v="15"/>
    <x v="13"/>
    <x v="1"/>
    <x v="7"/>
    <x v="3"/>
    <x v="20"/>
    <x v="0"/>
  </r>
  <r>
    <n v="602"/>
    <x v="27"/>
    <x v="7"/>
    <x v="0"/>
    <x v="0"/>
    <x v="6"/>
    <x v="6"/>
    <x v="1"/>
    <x v="1"/>
    <x v="13"/>
    <x v="13"/>
    <x v="3"/>
    <x v="1"/>
    <x v="4"/>
    <x v="29"/>
    <x v="122"/>
  </r>
  <r>
    <n v="603"/>
    <x v="27"/>
    <x v="8"/>
    <x v="0"/>
    <x v="0"/>
    <x v="6"/>
    <x v="6"/>
    <x v="1"/>
    <x v="1"/>
    <x v="13"/>
    <x v="13"/>
    <x v="3"/>
    <x v="1"/>
    <x v="4"/>
    <x v="119"/>
    <x v="45"/>
  </r>
  <r>
    <n v="604"/>
    <x v="27"/>
    <x v="9"/>
    <x v="0"/>
    <x v="0"/>
    <x v="6"/>
    <x v="6"/>
    <x v="2"/>
    <x v="2"/>
    <x v="15"/>
    <x v="12"/>
    <x v="3"/>
    <x v="1"/>
    <x v="15"/>
    <x v="73"/>
    <x v="129"/>
  </r>
  <r>
    <n v="605"/>
    <x v="27"/>
    <x v="10"/>
    <x v="0"/>
    <x v="0"/>
    <x v="6"/>
    <x v="6"/>
    <x v="2"/>
    <x v="2"/>
    <x v="15"/>
    <x v="12"/>
    <x v="3"/>
    <x v="14"/>
    <x v="3"/>
    <x v="47"/>
    <x v="99"/>
  </r>
  <r>
    <n v="606"/>
    <x v="27"/>
    <x v="11"/>
    <x v="0"/>
    <x v="0"/>
    <x v="6"/>
    <x v="6"/>
    <x v="2"/>
    <x v="2"/>
    <x v="15"/>
    <x v="12"/>
    <x v="43"/>
    <x v="14"/>
    <x v="3"/>
    <x v="10"/>
    <x v="33"/>
  </r>
  <r>
    <n v="607"/>
    <x v="27"/>
    <x v="12"/>
    <x v="0"/>
    <x v="0"/>
    <x v="6"/>
    <x v="6"/>
    <x v="2"/>
    <x v="2"/>
    <x v="15"/>
    <x v="12"/>
    <x v="43"/>
    <x v="14"/>
    <x v="5"/>
    <x v="95"/>
    <x v="115"/>
  </r>
  <r>
    <n v="608"/>
    <x v="27"/>
    <x v="13"/>
    <x v="0"/>
    <x v="0"/>
    <x v="6"/>
    <x v="6"/>
    <x v="2"/>
    <x v="2"/>
    <x v="15"/>
    <x v="12"/>
    <x v="43"/>
    <x v="14"/>
    <x v="3"/>
    <x v="17"/>
    <x v="35"/>
  </r>
  <r>
    <n v="609"/>
    <x v="27"/>
    <x v="14"/>
    <x v="0"/>
    <x v="0"/>
    <x v="6"/>
    <x v="6"/>
    <x v="2"/>
    <x v="2"/>
    <x v="1"/>
    <x v="1"/>
    <x v="1"/>
    <x v="0"/>
    <x v="4"/>
    <x v="49"/>
    <x v="103"/>
  </r>
  <r>
    <n v="610"/>
    <x v="27"/>
    <x v="15"/>
    <x v="0"/>
    <x v="0"/>
    <x v="6"/>
    <x v="6"/>
    <x v="1"/>
    <x v="1"/>
    <x v="2"/>
    <x v="2"/>
    <x v="3"/>
    <x v="0"/>
    <x v="5"/>
    <x v="71"/>
    <x v="102"/>
  </r>
  <r>
    <n v="611"/>
    <x v="27"/>
    <x v="16"/>
    <x v="0"/>
    <x v="0"/>
    <x v="6"/>
    <x v="6"/>
    <x v="0"/>
    <x v="0"/>
    <x v="1"/>
    <x v="1"/>
    <x v="1"/>
    <x v="0"/>
    <x v="22"/>
    <x v="14"/>
    <x v="138"/>
  </r>
  <r>
    <n v="612"/>
    <x v="27"/>
    <x v="17"/>
    <x v="0"/>
    <x v="0"/>
    <x v="6"/>
    <x v="6"/>
    <x v="0"/>
    <x v="0"/>
    <x v="0"/>
    <x v="19"/>
    <x v="2"/>
    <x v="7"/>
    <x v="4"/>
    <x v="150"/>
    <x v="165"/>
  </r>
  <r>
    <n v="613"/>
    <x v="27"/>
    <x v="18"/>
    <x v="0"/>
    <x v="0"/>
    <x v="6"/>
    <x v="6"/>
    <x v="0"/>
    <x v="0"/>
    <x v="0"/>
    <x v="11"/>
    <x v="2"/>
    <x v="5"/>
    <x v="4"/>
    <x v="128"/>
    <x v="142"/>
  </r>
  <r>
    <n v="614"/>
    <x v="27"/>
    <x v="19"/>
    <x v="0"/>
    <x v="0"/>
    <x v="6"/>
    <x v="6"/>
    <x v="1"/>
    <x v="1"/>
    <x v="0"/>
    <x v="19"/>
    <x v="2"/>
    <x v="7"/>
    <x v="2"/>
    <x v="151"/>
    <x v="70"/>
  </r>
  <r>
    <n v="615"/>
    <x v="27"/>
    <x v="20"/>
    <x v="0"/>
    <x v="0"/>
    <x v="6"/>
    <x v="6"/>
    <x v="1"/>
    <x v="1"/>
    <x v="0"/>
    <x v="11"/>
    <x v="56"/>
    <x v="5"/>
    <x v="5"/>
    <x v="124"/>
    <x v="69"/>
  </r>
  <r>
    <n v="616"/>
    <x v="27"/>
    <x v="21"/>
    <x v="0"/>
    <x v="0"/>
    <x v="6"/>
    <x v="6"/>
    <x v="1"/>
    <x v="1"/>
    <x v="1"/>
    <x v="11"/>
    <x v="2"/>
    <x v="7"/>
    <x v="5"/>
    <x v="77"/>
    <x v="154"/>
  </r>
  <r>
    <n v="617"/>
    <x v="27"/>
    <x v="22"/>
    <x v="0"/>
    <x v="0"/>
    <x v="6"/>
    <x v="6"/>
    <x v="0"/>
    <x v="0"/>
    <x v="0"/>
    <x v="12"/>
    <x v="55"/>
    <x v="11"/>
    <x v="3"/>
    <x v="16"/>
    <x v="132"/>
  </r>
  <r>
    <n v="618"/>
    <x v="27"/>
    <x v="23"/>
    <x v="0"/>
    <x v="0"/>
    <x v="6"/>
    <x v="6"/>
    <x v="0"/>
    <x v="0"/>
    <x v="0"/>
    <x v="11"/>
    <x v="54"/>
    <x v="6"/>
    <x v="5"/>
    <x v="97"/>
    <x v="84"/>
  </r>
  <r>
    <n v="619"/>
    <x v="28"/>
    <x v="0"/>
    <x v="0"/>
    <x v="0"/>
    <x v="0"/>
    <x v="0"/>
    <x v="0"/>
    <x v="0"/>
    <x v="1"/>
    <x v="13"/>
    <x v="26"/>
    <x v="11"/>
    <x v="4"/>
    <x v="16"/>
    <x v="20"/>
  </r>
  <r>
    <n v="620"/>
    <x v="28"/>
    <x v="1"/>
    <x v="0"/>
    <x v="0"/>
    <x v="0"/>
    <x v="0"/>
    <x v="0"/>
    <x v="0"/>
    <x v="1"/>
    <x v="11"/>
    <x v="26"/>
    <x v="5"/>
    <x v="3"/>
    <x v="32"/>
    <x v="25"/>
  </r>
  <r>
    <n v="621"/>
    <x v="28"/>
    <x v="2"/>
    <x v="0"/>
    <x v="0"/>
    <x v="0"/>
    <x v="0"/>
    <x v="0"/>
    <x v="0"/>
    <x v="1"/>
    <x v="11"/>
    <x v="26"/>
    <x v="8"/>
    <x v="3"/>
    <x v="89"/>
    <x v="93"/>
  </r>
  <r>
    <n v="622"/>
    <x v="28"/>
    <x v="3"/>
    <x v="0"/>
    <x v="0"/>
    <x v="0"/>
    <x v="0"/>
    <x v="0"/>
    <x v="0"/>
    <x v="2"/>
    <x v="12"/>
    <x v="26"/>
    <x v="7"/>
    <x v="0"/>
    <x v="34"/>
    <x v="7"/>
  </r>
  <r>
    <n v="623"/>
    <x v="28"/>
    <x v="4"/>
    <x v="0"/>
    <x v="0"/>
    <x v="0"/>
    <x v="0"/>
    <x v="0"/>
    <x v="0"/>
    <x v="13"/>
    <x v="18"/>
    <x v="27"/>
    <x v="14"/>
    <x v="5"/>
    <x v="6"/>
    <x v="6"/>
  </r>
  <r>
    <n v="624"/>
    <x v="28"/>
    <x v="6"/>
    <x v="0"/>
    <x v="0"/>
    <x v="0"/>
    <x v="0"/>
    <x v="0"/>
    <x v="0"/>
    <x v="13"/>
    <x v="18"/>
    <x v="26"/>
    <x v="7"/>
    <x v="3"/>
    <x v="6"/>
    <x v="5"/>
  </r>
  <r>
    <n v="625"/>
    <x v="28"/>
    <x v="7"/>
    <x v="0"/>
    <x v="0"/>
    <x v="0"/>
    <x v="0"/>
    <x v="0"/>
    <x v="0"/>
    <x v="13"/>
    <x v="18"/>
    <x v="29"/>
    <x v="14"/>
    <x v="5"/>
    <x v="22"/>
    <x v="36"/>
  </r>
  <r>
    <n v="626"/>
    <x v="28"/>
    <x v="8"/>
    <x v="0"/>
    <x v="0"/>
    <x v="0"/>
    <x v="0"/>
    <x v="0"/>
    <x v="0"/>
    <x v="15"/>
    <x v="13"/>
    <x v="28"/>
    <x v="8"/>
    <x v="0"/>
    <x v="17"/>
    <x v="19"/>
  </r>
  <r>
    <n v="627"/>
    <x v="28"/>
    <x v="9"/>
    <x v="0"/>
    <x v="0"/>
    <x v="0"/>
    <x v="0"/>
    <x v="0"/>
    <x v="0"/>
    <x v="15"/>
    <x v="12"/>
    <x v="29"/>
    <x v="1"/>
    <x v="3"/>
    <x v="60"/>
    <x v="19"/>
  </r>
  <r>
    <n v="628"/>
    <x v="28"/>
    <x v="10"/>
    <x v="0"/>
    <x v="0"/>
    <x v="0"/>
    <x v="0"/>
    <x v="1"/>
    <x v="1"/>
    <x v="15"/>
    <x v="12"/>
    <x v="26"/>
    <x v="14"/>
    <x v="17"/>
    <x v="82"/>
    <x v="97"/>
  </r>
  <r>
    <n v="629"/>
    <x v="28"/>
    <x v="11"/>
    <x v="0"/>
    <x v="0"/>
    <x v="0"/>
    <x v="0"/>
    <x v="1"/>
    <x v="1"/>
    <x v="15"/>
    <x v="13"/>
    <x v="26"/>
    <x v="7"/>
    <x v="17"/>
    <x v="91"/>
    <x v="37"/>
  </r>
  <r>
    <n v="630"/>
    <x v="28"/>
    <x v="12"/>
    <x v="0"/>
    <x v="0"/>
    <x v="0"/>
    <x v="0"/>
    <x v="1"/>
    <x v="1"/>
    <x v="2"/>
    <x v="13"/>
    <x v="29"/>
    <x v="5"/>
    <x v="6"/>
    <x v="43"/>
    <x v="53"/>
  </r>
  <r>
    <n v="631"/>
    <x v="28"/>
    <x v="13"/>
    <x v="0"/>
    <x v="0"/>
    <x v="0"/>
    <x v="0"/>
    <x v="1"/>
    <x v="1"/>
    <x v="1"/>
    <x v="11"/>
    <x v="28"/>
    <x v="8"/>
    <x v="14"/>
    <x v="90"/>
    <x v="32"/>
  </r>
  <r>
    <n v="632"/>
    <x v="28"/>
    <x v="14"/>
    <x v="0"/>
    <x v="0"/>
    <x v="0"/>
    <x v="0"/>
    <x v="1"/>
    <x v="1"/>
    <x v="1"/>
    <x v="11"/>
    <x v="54"/>
    <x v="7"/>
    <x v="22"/>
    <x v="121"/>
    <x v="111"/>
  </r>
  <r>
    <n v="633"/>
    <x v="28"/>
    <x v="15"/>
    <x v="0"/>
    <x v="0"/>
    <x v="0"/>
    <x v="0"/>
    <x v="0"/>
    <x v="0"/>
    <x v="1"/>
    <x v="12"/>
    <x v="27"/>
    <x v="2"/>
    <x v="30"/>
    <x v="52"/>
    <x v="151"/>
  </r>
  <r>
    <n v="634"/>
    <x v="28"/>
    <x v="16"/>
    <x v="0"/>
    <x v="0"/>
    <x v="0"/>
    <x v="0"/>
    <x v="0"/>
    <x v="0"/>
    <x v="0"/>
    <x v="19"/>
    <x v="54"/>
    <x v="8"/>
    <x v="21"/>
    <x v="152"/>
    <x v="166"/>
  </r>
  <r>
    <n v="635"/>
    <x v="28"/>
    <x v="17"/>
    <x v="0"/>
    <x v="0"/>
    <x v="0"/>
    <x v="0"/>
    <x v="0"/>
    <x v="0"/>
    <x v="0"/>
    <x v="0"/>
    <x v="54"/>
    <x v="0"/>
    <x v="14"/>
    <x v="70"/>
    <x v="134"/>
  </r>
  <r>
    <n v="636"/>
    <x v="28"/>
    <x v="18"/>
    <x v="0"/>
    <x v="0"/>
    <x v="0"/>
    <x v="0"/>
    <x v="0"/>
    <x v="0"/>
    <x v="1"/>
    <x v="11"/>
    <x v="27"/>
    <x v="7"/>
    <x v="14"/>
    <x v="79"/>
    <x v="118"/>
  </r>
  <r>
    <n v="637"/>
    <x v="28"/>
    <x v="19"/>
    <x v="0"/>
    <x v="0"/>
    <x v="0"/>
    <x v="0"/>
    <x v="1"/>
    <x v="1"/>
    <x v="1"/>
    <x v="12"/>
    <x v="27"/>
    <x v="2"/>
    <x v="15"/>
    <x v="15"/>
    <x v="154"/>
  </r>
  <r>
    <n v="638"/>
    <x v="28"/>
    <x v="20"/>
    <x v="0"/>
    <x v="0"/>
    <x v="0"/>
    <x v="0"/>
    <x v="0"/>
    <x v="0"/>
    <x v="15"/>
    <x v="12"/>
    <x v="32"/>
    <x v="1"/>
    <x v="5"/>
    <x v="76"/>
    <x v="74"/>
  </r>
  <r>
    <n v="639"/>
    <x v="28"/>
    <x v="21"/>
    <x v="0"/>
    <x v="0"/>
    <x v="0"/>
    <x v="0"/>
    <x v="0"/>
    <x v="0"/>
    <x v="15"/>
    <x v="12"/>
    <x v="32"/>
    <x v="1"/>
    <x v="5"/>
    <x v="96"/>
    <x v="9"/>
  </r>
  <r>
    <n v="640"/>
    <x v="28"/>
    <x v="22"/>
    <x v="0"/>
    <x v="0"/>
    <x v="0"/>
    <x v="0"/>
    <x v="0"/>
    <x v="0"/>
    <x v="13"/>
    <x v="13"/>
    <x v="1"/>
    <x v="1"/>
    <x v="17"/>
    <x v="95"/>
    <x v="2"/>
  </r>
  <r>
    <n v="641"/>
    <x v="28"/>
    <x v="23"/>
    <x v="0"/>
    <x v="0"/>
    <x v="0"/>
    <x v="0"/>
    <x v="0"/>
    <x v="0"/>
    <x v="13"/>
    <x v="13"/>
    <x v="1"/>
    <x v="1"/>
    <x v="0"/>
    <x v="10"/>
    <x v="63"/>
  </r>
  <r>
    <n v="642"/>
    <x v="29"/>
    <x v="0"/>
    <x v="0"/>
    <x v="0"/>
    <x v="1"/>
    <x v="1"/>
    <x v="0"/>
    <x v="0"/>
    <x v="13"/>
    <x v="18"/>
    <x v="1"/>
    <x v="14"/>
    <x v="3"/>
    <x v="39"/>
    <x v="63"/>
  </r>
  <r>
    <n v="643"/>
    <x v="29"/>
    <x v="1"/>
    <x v="0"/>
    <x v="0"/>
    <x v="1"/>
    <x v="1"/>
    <x v="0"/>
    <x v="0"/>
    <x v="14"/>
    <x v="12"/>
    <x v="1"/>
    <x v="0"/>
    <x v="18"/>
    <x v="97"/>
    <x v="115"/>
  </r>
  <r>
    <n v="644"/>
    <x v="29"/>
    <x v="2"/>
    <x v="0"/>
    <x v="0"/>
    <x v="1"/>
    <x v="1"/>
    <x v="0"/>
    <x v="0"/>
    <x v="13"/>
    <x v="11"/>
    <x v="1"/>
    <x v="0"/>
    <x v="5"/>
    <x v="3"/>
    <x v="62"/>
  </r>
  <r>
    <n v="645"/>
    <x v="29"/>
    <x v="3"/>
    <x v="0"/>
    <x v="0"/>
    <x v="1"/>
    <x v="1"/>
    <x v="0"/>
    <x v="0"/>
    <x v="14"/>
    <x v="12"/>
    <x v="43"/>
    <x v="0"/>
    <x v="5"/>
    <x v="7"/>
    <x v="7"/>
  </r>
  <r>
    <n v="646"/>
    <x v="29"/>
    <x v="4"/>
    <x v="0"/>
    <x v="0"/>
    <x v="1"/>
    <x v="1"/>
    <x v="0"/>
    <x v="0"/>
    <x v="14"/>
    <x v="12"/>
    <x v="43"/>
    <x v="0"/>
    <x v="3"/>
    <x v="4"/>
    <x v="4"/>
  </r>
  <r>
    <n v="647"/>
    <x v="29"/>
    <x v="5"/>
    <x v="0"/>
    <x v="0"/>
    <x v="1"/>
    <x v="1"/>
    <x v="0"/>
    <x v="0"/>
    <x v="14"/>
    <x v="12"/>
    <x v="3"/>
    <x v="0"/>
    <x v="3"/>
    <x v="35"/>
    <x v="6"/>
  </r>
  <r>
    <n v="648"/>
    <x v="29"/>
    <x v="7"/>
    <x v="0"/>
    <x v="0"/>
    <x v="1"/>
    <x v="1"/>
    <x v="0"/>
    <x v="0"/>
    <x v="14"/>
    <x v="12"/>
    <x v="3"/>
    <x v="0"/>
    <x v="3"/>
    <x v="35"/>
    <x v="6"/>
  </r>
  <r>
    <n v="649"/>
    <x v="29"/>
    <x v="8"/>
    <x v="0"/>
    <x v="0"/>
    <x v="1"/>
    <x v="1"/>
    <x v="1"/>
    <x v="1"/>
    <x v="14"/>
    <x v="12"/>
    <x v="3"/>
    <x v="0"/>
    <x v="5"/>
    <x v="48"/>
    <x v="47"/>
  </r>
  <r>
    <n v="650"/>
    <x v="29"/>
    <x v="9"/>
    <x v="0"/>
    <x v="0"/>
    <x v="1"/>
    <x v="1"/>
    <x v="1"/>
    <x v="1"/>
    <x v="13"/>
    <x v="11"/>
    <x v="1"/>
    <x v="0"/>
    <x v="17"/>
    <x v="60"/>
    <x v="103"/>
  </r>
  <r>
    <n v="651"/>
    <x v="29"/>
    <x v="10"/>
    <x v="0"/>
    <x v="0"/>
    <x v="1"/>
    <x v="1"/>
    <x v="1"/>
    <x v="1"/>
    <x v="15"/>
    <x v="19"/>
    <x v="1"/>
    <x v="0"/>
    <x v="18"/>
    <x v="77"/>
    <x v="37"/>
  </r>
  <r>
    <n v="652"/>
    <x v="29"/>
    <x v="11"/>
    <x v="0"/>
    <x v="0"/>
    <x v="1"/>
    <x v="1"/>
    <x v="0"/>
    <x v="0"/>
    <x v="1"/>
    <x v="1"/>
    <x v="2"/>
    <x v="0"/>
    <x v="14"/>
    <x v="54"/>
    <x v="29"/>
  </r>
  <r>
    <n v="653"/>
    <x v="29"/>
    <x v="12"/>
    <x v="0"/>
    <x v="0"/>
    <x v="1"/>
    <x v="1"/>
    <x v="0"/>
    <x v="0"/>
    <x v="11"/>
    <x v="21"/>
    <x v="35"/>
    <x v="14"/>
    <x v="22"/>
    <x v="61"/>
    <x v="54"/>
  </r>
  <r>
    <n v="654"/>
    <x v="29"/>
    <x v="13"/>
    <x v="0"/>
    <x v="0"/>
    <x v="1"/>
    <x v="1"/>
    <x v="0"/>
    <x v="0"/>
    <x v="17"/>
    <x v="0"/>
    <x v="53"/>
    <x v="14"/>
    <x v="23"/>
    <x v="13"/>
    <x v="11"/>
  </r>
  <r>
    <n v="655"/>
    <x v="29"/>
    <x v="14"/>
    <x v="0"/>
    <x v="0"/>
    <x v="1"/>
    <x v="1"/>
    <x v="0"/>
    <x v="0"/>
    <x v="17"/>
    <x v="25"/>
    <x v="53"/>
    <x v="1"/>
    <x v="25"/>
    <x v="153"/>
    <x v="78"/>
  </r>
  <r>
    <n v="656"/>
    <x v="29"/>
    <x v="15"/>
    <x v="0"/>
    <x v="0"/>
    <x v="1"/>
    <x v="1"/>
    <x v="0"/>
    <x v="0"/>
    <x v="11"/>
    <x v="6"/>
    <x v="34"/>
    <x v="0"/>
    <x v="24"/>
    <x v="73"/>
    <x v="142"/>
  </r>
  <r>
    <n v="657"/>
    <x v="29"/>
    <x v="16"/>
    <x v="0"/>
    <x v="0"/>
    <x v="1"/>
    <x v="1"/>
    <x v="0"/>
    <x v="0"/>
    <x v="11"/>
    <x v="6"/>
    <x v="34"/>
    <x v="0"/>
    <x v="21"/>
    <x v="153"/>
    <x v="92"/>
  </r>
  <r>
    <n v="658"/>
    <x v="29"/>
    <x v="17"/>
    <x v="0"/>
    <x v="0"/>
    <x v="1"/>
    <x v="1"/>
    <x v="0"/>
    <x v="0"/>
    <x v="11"/>
    <x v="0"/>
    <x v="34"/>
    <x v="5"/>
    <x v="15"/>
    <x v="13"/>
    <x v="43"/>
  </r>
  <r>
    <n v="659"/>
    <x v="29"/>
    <x v="18"/>
    <x v="0"/>
    <x v="0"/>
    <x v="1"/>
    <x v="1"/>
    <x v="0"/>
    <x v="0"/>
    <x v="12"/>
    <x v="2"/>
    <x v="55"/>
    <x v="8"/>
    <x v="1"/>
    <x v="77"/>
    <x v="32"/>
  </r>
  <r>
    <n v="660"/>
    <x v="29"/>
    <x v="19"/>
    <x v="0"/>
    <x v="0"/>
    <x v="1"/>
    <x v="1"/>
    <x v="0"/>
    <x v="0"/>
    <x v="12"/>
    <x v="2"/>
    <x v="55"/>
    <x v="5"/>
    <x v="14"/>
    <x v="24"/>
    <x v="97"/>
  </r>
  <r>
    <n v="661"/>
    <x v="29"/>
    <x v="20"/>
    <x v="0"/>
    <x v="0"/>
    <x v="1"/>
    <x v="1"/>
    <x v="1"/>
    <x v="1"/>
    <x v="12"/>
    <x v="1"/>
    <x v="55"/>
    <x v="14"/>
    <x v="0"/>
    <x v="10"/>
    <x v="63"/>
  </r>
  <r>
    <n v="662"/>
    <x v="29"/>
    <x v="21"/>
    <x v="0"/>
    <x v="0"/>
    <x v="1"/>
    <x v="1"/>
    <x v="1"/>
    <x v="1"/>
    <x v="0"/>
    <x v="19"/>
    <x v="56"/>
    <x v="8"/>
    <x v="0"/>
    <x v="18"/>
    <x v="20"/>
  </r>
  <r>
    <n v="663"/>
    <x v="29"/>
    <x v="22"/>
    <x v="0"/>
    <x v="0"/>
    <x v="1"/>
    <x v="1"/>
    <x v="1"/>
    <x v="1"/>
    <x v="0"/>
    <x v="11"/>
    <x v="56"/>
    <x v="5"/>
    <x v="4"/>
    <x v="23"/>
    <x v="137"/>
  </r>
  <r>
    <n v="664"/>
    <x v="29"/>
    <x v="23"/>
    <x v="0"/>
    <x v="0"/>
    <x v="1"/>
    <x v="1"/>
    <x v="1"/>
    <x v="1"/>
    <x v="0"/>
    <x v="12"/>
    <x v="55"/>
    <x v="3"/>
    <x v="2"/>
    <x v="20"/>
    <x v="137"/>
  </r>
  <r>
    <n v="665"/>
    <x v="30"/>
    <x v="0"/>
    <x v="0"/>
    <x v="0"/>
    <x v="2"/>
    <x v="2"/>
    <x v="1"/>
    <x v="1"/>
    <x v="0"/>
    <x v="11"/>
    <x v="55"/>
    <x v="6"/>
    <x v="5"/>
    <x v="8"/>
    <x v="85"/>
  </r>
  <r>
    <n v="666"/>
    <x v="30"/>
    <x v="1"/>
    <x v="0"/>
    <x v="0"/>
    <x v="2"/>
    <x v="2"/>
    <x v="0"/>
    <x v="0"/>
    <x v="1"/>
    <x v="12"/>
    <x v="26"/>
    <x v="2"/>
    <x v="4"/>
    <x v="34"/>
    <x v="85"/>
  </r>
  <r>
    <n v="667"/>
    <x v="30"/>
    <x v="2"/>
    <x v="0"/>
    <x v="0"/>
    <x v="2"/>
    <x v="2"/>
    <x v="0"/>
    <x v="0"/>
    <x v="1"/>
    <x v="11"/>
    <x v="26"/>
    <x v="5"/>
    <x v="3"/>
    <x v="4"/>
    <x v="4"/>
  </r>
  <r>
    <n v="668"/>
    <x v="30"/>
    <x v="3"/>
    <x v="0"/>
    <x v="0"/>
    <x v="2"/>
    <x v="2"/>
    <x v="0"/>
    <x v="0"/>
    <x v="1"/>
    <x v="11"/>
    <x v="26"/>
    <x v="5"/>
    <x v="3"/>
    <x v="6"/>
    <x v="5"/>
  </r>
  <r>
    <n v="669"/>
    <x v="30"/>
    <x v="4"/>
    <x v="0"/>
    <x v="0"/>
    <x v="2"/>
    <x v="2"/>
    <x v="0"/>
    <x v="0"/>
    <x v="2"/>
    <x v="13"/>
    <x v="29"/>
    <x v="6"/>
    <x v="3"/>
    <x v="6"/>
    <x v="5"/>
  </r>
  <r>
    <n v="670"/>
    <x v="30"/>
    <x v="5"/>
    <x v="0"/>
    <x v="0"/>
    <x v="2"/>
    <x v="2"/>
    <x v="0"/>
    <x v="0"/>
    <x v="15"/>
    <x v="17"/>
    <x v="26"/>
    <x v="3"/>
    <x v="3"/>
    <x v="21"/>
    <x v="7"/>
  </r>
  <r>
    <n v="671"/>
    <x v="30"/>
    <x v="6"/>
    <x v="0"/>
    <x v="0"/>
    <x v="2"/>
    <x v="2"/>
    <x v="0"/>
    <x v="0"/>
    <x v="13"/>
    <x v="14"/>
    <x v="27"/>
    <x v="9"/>
    <x v="3"/>
    <x v="53"/>
    <x v="18"/>
  </r>
  <r>
    <n v="672"/>
    <x v="30"/>
    <x v="7"/>
    <x v="0"/>
    <x v="0"/>
    <x v="2"/>
    <x v="2"/>
    <x v="1"/>
    <x v="1"/>
    <x v="13"/>
    <x v="14"/>
    <x v="26"/>
    <x v="3"/>
    <x v="5"/>
    <x v="13"/>
    <x v="44"/>
  </r>
  <r>
    <n v="673"/>
    <x v="30"/>
    <x v="8"/>
    <x v="0"/>
    <x v="0"/>
    <x v="2"/>
    <x v="2"/>
    <x v="1"/>
    <x v="1"/>
    <x v="13"/>
    <x v="14"/>
    <x v="29"/>
    <x v="3"/>
    <x v="0"/>
    <x v="154"/>
    <x v="147"/>
  </r>
  <r>
    <n v="674"/>
    <x v="30"/>
    <x v="9"/>
    <x v="0"/>
    <x v="0"/>
    <x v="2"/>
    <x v="2"/>
    <x v="1"/>
    <x v="1"/>
    <x v="13"/>
    <x v="14"/>
    <x v="29"/>
    <x v="4"/>
    <x v="3"/>
    <x v="155"/>
    <x v="59"/>
  </r>
  <r>
    <n v="675"/>
    <x v="30"/>
    <x v="10"/>
    <x v="0"/>
    <x v="0"/>
    <x v="2"/>
    <x v="2"/>
    <x v="1"/>
    <x v="1"/>
    <x v="13"/>
    <x v="20"/>
    <x v="29"/>
    <x v="5"/>
    <x v="5"/>
    <x v="56"/>
    <x v="83"/>
  </r>
  <r>
    <n v="676"/>
    <x v="30"/>
    <x v="11"/>
    <x v="0"/>
    <x v="0"/>
    <x v="2"/>
    <x v="2"/>
    <x v="1"/>
    <x v="1"/>
    <x v="13"/>
    <x v="20"/>
    <x v="29"/>
    <x v="5"/>
    <x v="4"/>
    <x v="24"/>
    <x v="61"/>
  </r>
  <r>
    <n v="677"/>
    <x v="30"/>
    <x v="12"/>
    <x v="0"/>
    <x v="0"/>
    <x v="2"/>
    <x v="2"/>
    <x v="1"/>
    <x v="1"/>
    <x v="15"/>
    <x v="12"/>
    <x v="28"/>
    <x v="14"/>
    <x v="15"/>
    <x v="133"/>
    <x v="118"/>
  </r>
  <r>
    <n v="678"/>
    <x v="30"/>
    <x v="13"/>
    <x v="0"/>
    <x v="0"/>
    <x v="2"/>
    <x v="2"/>
    <x v="1"/>
    <x v="1"/>
    <x v="13"/>
    <x v="11"/>
    <x v="29"/>
    <x v="0"/>
    <x v="4"/>
    <x v="15"/>
    <x v="60"/>
  </r>
  <r>
    <n v="679"/>
    <x v="30"/>
    <x v="14"/>
    <x v="0"/>
    <x v="0"/>
    <x v="2"/>
    <x v="2"/>
    <x v="1"/>
    <x v="1"/>
    <x v="15"/>
    <x v="13"/>
    <x v="28"/>
    <x v="7"/>
    <x v="5"/>
    <x v="66"/>
    <x v="80"/>
  </r>
  <r>
    <n v="680"/>
    <x v="30"/>
    <x v="15"/>
    <x v="0"/>
    <x v="0"/>
    <x v="2"/>
    <x v="2"/>
    <x v="1"/>
    <x v="1"/>
    <x v="13"/>
    <x v="18"/>
    <x v="29"/>
    <x v="7"/>
    <x v="0"/>
    <x v="40"/>
    <x v="40"/>
  </r>
  <r>
    <n v="681"/>
    <x v="30"/>
    <x v="16"/>
    <x v="0"/>
    <x v="0"/>
    <x v="2"/>
    <x v="2"/>
    <x v="1"/>
    <x v="1"/>
    <x v="13"/>
    <x v="18"/>
    <x v="34"/>
    <x v="5"/>
    <x v="0"/>
    <x v="93"/>
    <x v="80"/>
  </r>
  <r>
    <n v="682"/>
    <x v="30"/>
    <x v="17"/>
    <x v="0"/>
    <x v="0"/>
    <x v="2"/>
    <x v="2"/>
    <x v="1"/>
    <x v="1"/>
    <x v="13"/>
    <x v="20"/>
    <x v="29"/>
    <x v="5"/>
    <x v="15"/>
    <x v="119"/>
    <x v="143"/>
  </r>
  <r>
    <n v="683"/>
    <x v="30"/>
    <x v="18"/>
    <x v="0"/>
    <x v="0"/>
    <x v="2"/>
    <x v="2"/>
    <x v="1"/>
    <x v="1"/>
    <x v="13"/>
    <x v="20"/>
    <x v="28"/>
    <x v="6"/>
    <x v="0"/>
    <x v="37"/>
    <x v="167"/>
  </r>
  <r>
    <n v="684"/>
    <x v="30"/>
    <x v="19"/>
    <x v="0"/>
    <x v="0"/>
    <x v="2"/>
    <x v="2"/>
    <x v="0"/>
    <x v="0"/>
    <x v="11"/>
    <x v="21"/>
    <x v="53"/>
    <x v="14"/>
    <x v="0"/>
    <x v="123"/>
    <x v="168"/>
  </r>
  <r>
    <n v="685"/>
    <x v="30"/>
    <x v="20"/>
    <x v="0"/>
    <x v="0"/>
    <x v="2"/>
    <x v="2"/>
    <x v="2"/>
    <x v="2"/>
    <x v="13"/>
    <x v="17"/>
    <x v="29"/>
    <x v="8"/>
    <x v="3"/>
    <x v="78"/>
    <x v="53"/>
  </r>
  <r>
    <n v="686"/>
    <x v="30"/>
    <x v="21"/>
    <x v="0"/>
    <x v="0"/>
    <x v="2"/>
    <x v="2"/>
    <x v="2"/>
    <x v="2"/>
    <x v="13"/>
    <x v="13"/>
    <x v="29"/>
    <x v="1"/>
    <x v="0"/>
    <x v="42"/>
    <x v="10"/>
  </r>
  <r>
    <n v="687"/>
    <x v="30"/>
    <x v="22"/>
    <x v="0"/>
    <x v="0"/>
    <x v="2"/>
    <x v="2"/>
    <x v="1"/>
    <x v="1"/>
    <x v="13"/>
    <x v="18"/>
    <x v="29"/>
    <x v="14"/>
    <x v="3"/>
    <x v="60"/>
    <x v="19"/>
  </r>
  <r>
    <n v="688"/>
    <x v="30"/>
    <x v="23"/>
    <x v="0"/>
    <x v="0"/>
    <x v="2"/>
    <x v="2"/>
    <x v="1"/>
    <x v="1"/>
    <x v="13"/>
    <x v="13"/>
    <x v="26"/>
    <x v="1"/>
    <x v="4"/>
    <x v="89"/>
    <x v="22"/>
  </r>
  <r>
    <n v="689"/>
    <x v="31"/>
    <x v="0"/>
    <x v="0"/>
    <x v="0"/>
    <x v="3"/>
    <x v="3"/>
    <x v="1"/>
    <x v="1"/>
    <x v="13"/>
    <x v="18"/>
    <x v="26"/>
    <x v="14"/>
    <x v="4"/>
    <x v="8"/>
    <x v="7"/>
  </r>
  <r>
    <n v="690"/>
    <x v="31"/>
    <x v="1"/>
    <x v="0"/>
    <x v="0"/>
    <x v="3"/>
    <x v="3"/>
    <x v="1"/>
    <x v="1"/>
    <x v="13"/>
    <x v="18"/>
    <x v="27"/>
    <x v="14"/>
    <x v="3"/>
    <x v="35"/>
    <x v="6"/>
  </r>
  <r>
    <n v="691"/>
    <x v="31"/>
    <x v="2"/>
    <x v="0"/>
    <x v="0"/>
    <x v="3"/>
    <x v="3"/>
    <x v="1"/>
    <x v="1"/>
    <x v="13"/>
    <x v="11"/>
    <x v="27"/>
    <x v="0"/>
    <x v="3"/>
    <x v="6"/>
    <x v="5"/>
  </r>
  <r>
    <n v="692"/>
    <x v="31"/>
    <x v="3"/>
    <x v="0"/>
    <x v="0"/>
    <x v="3"/>
    <x v="3"/>
    <x v="1"/>
    <x v="1"/>
    <x v="13"/>
    <x v="11"/>
    <x v="27"/>
    <x v="0"/>
    <x v="3"/>
    <x v="6"/>
    <x v="5"/>
  </r>
  <r>
    <n v="693"/>
    <x v="31"/>
    <x v="5"/>
    <x v="0"/>
    <x v="0"/>
    <x v="3"/>
    <x v="3"/>
    <x v="2"/>
    <x v="2"/>
    <x v="14"/>
    <x v="12"/>
    <x v="43"/>
    <x v="0"/>
    <x v="3"/>
    <x v="35"/>
    <x v="6"/>
  </r>
  <r>
    <n v="694"/>
    <x v="31"/>
    <x v="6"/>
    <x v="0"/>
    <x v="0"/>
    <x v="3"/>
    <x v="3"/>
    <x v="2"/>
    <x v="2"/>
    <x v="14"/>
    <x v="12"/>
    <x v="43"/>
    <x v="0"/>
    <x v="3"/>
    <x v="97"/>
    <x v="34"/>
  </r>
  <r>
    <n v="695"/>
    <x v="31"/>
    <x v="7"/>
    <x v="0"/>
    <x v="0"/>
    <x v="3"/>
    <x v="3"/>
    <x v="2"/>
    <x v="2"/>
    <x v="13"/>
    <x v="11"/>
    <x v="43"/>
    <x v="0"/>
    <x v="3"/>
    <x v="15"/>
    <x v="46"/>
  </r>
  <r>
    <n v="696"/>
    <x v="31"/>
    <x v="8"/>
    <x v="0"/>
    <x v="0"/>
    <x v="3"/>
    <x v="3"/>
    <x v="2"/>
    <x v="2"/>
    <x v="13"/>
    <x v="11"/>
    <x v="43"/>
    <x v="0"/>
    <x v="0"/>
    <x v="126"/>
    <x v="169"/>
  </r>
  <r>
    <n v="697"/>
    <x v="31"/>
    <x v="9"/>
    <x v="0"/>
    <x v="0"/>
    <x v="3"/>
    <x v="3"/>
    <x v="1"/>
    <x v="1"/>
    <x v="13"/>
    <x v="11"/>
    <x v="43"/>
    <x v="0"/>
    <x v="4"/>
    <x v="156"/>
    <x v="155"/>
  </r>
  <r>
    <n v="698"/>
    <x v="31"/>
    <x v="10"/>
    <x v="0"/>
    <x v="0"/>
    <x v="3"/>
    <x v="3"/>
    <x v="1"/>
    <x v="1"/>
    <x v="13"/>
    <x v="11"/>
    <x v="43"/>
    <x v="0"/>
    <x v="3"/>
    <x v="12"/>
    <x v="105"/>
  </r>
  <r>
    <n v="699"/>
    <x v="31"/>
    <x v="11"/>
    <x v="0"/>
    <x v="0"/>
    <x v="3"/>
    <x v="3"/>
    <x v="1"/>
    <x v="1"/>
    <x v="15"/>
    <x v="19"/>
    <x v="3"/>
    <x v="0"/>
    <x v="4"/>
    <x v="47"/>
    <x v="41"/>
  </r>
  <r>
    <n v="700"/>
    <x v="31"/>
    <x v="12"/>
    <x v="0"/>
    <x v="0"/>
    <x v="3"/>
    <x v="3"/>
    <x v="1"/>
    <x v="1"/>
    <x v="2"/>
    <x v="2"/>
    <x v="3"/>
    <x v="0"/>
    <x v="4"/>
    <x v="42"/>
    <x v="97"/>
  </r>
  <r>
    <n v="701"/>
    <x v="31"/>
    <x v="13"/>
    <x v="0"/>
    <x v="0"/>
    <x v="3"/>
    <x v="3"/>
    <x v="1"/>
    <x v="1"/>
    <x v="2"/>
    <x v="2"/>
    <x v="3"/>
    <x v="0"/>
    <x v="0"/>
    <x v="47"/>
    <x v="46"/>
  </r>
  <r>
    <n v="702"/>
    <x v="31"/>
    <x v="14"/>
    <x v="0"/>
    <x v="0"/>
    <x v="3"/>
    <x v="3"/>
    <x v="1"/>
    <x v="1"/>
    <x v="1"/>
    <x v="2"/>
    <x v="1"/>
    <x v="1"/>
    <x v="2"/>
    <x v="47"/>
    <x v="60"/>
  </r>
  <r>
    <n v="703"/>
    <x v="31"/>
    <x v="15"/>
    <x v="0"/>
    <x v="0"/>
    <x v="3"/>
    <x v="3"/>
    <x v="1"/>
    <x v="1"/>
    <x v="0"/>
    <x v="0"/>
    <x v="2"/>
    <x v="0"/>
    <x v="18"/>
    <x v="108"/>
    <x v="46"/>
  </r>
  <r>
    <n v="704"/>
    <x v="31"/>
    <x v="16"/>
    <x v="0"/>
    <x v="0"/>
    <x v="3"/>
    <x v="3"/>
    <x v="1"/>
    <x v="1"/>
    <x v="0"/>
    <x v="19"/>
    <x v="2"/>
    <x v="7"/>
    <x v="0"/>
    <x v="124"/>
    <x v="37"/>
  </r>
  <r>
    <n v="705"/>
    <x v="31"/>
    <x v="17"/>
    <x v="0"/>
    <x v="0"/>
    <x v="3"/>
    <x v="3"/>
    <x v="1"/>
    <x v="1"/>
    <x v="0"/>
    <x v="0"/>
    <x v="2"/>
    <x v="0"/>
    <x v="17"/>
    <x v="157"/>
    <x v="170"/>
  </r>
  <r>
    <n v="706"/>
    <x v="31"/>
    <x v="18"/>
    <x v="0"/>
    <x v="0"/>
    <x v="3"/>
    <x v="3"/>
    <x v="1"/>
    <x v="1"/>
    <x v="0"/>
    <x v="2"/>
    <x v="0"/>
    <x v="14"/>
    <x v="0"/>
    <x v="158"/>
    <x v="171"/>
  </r>
  <r>
    <n v="707"/>
    <x v="31"/>
    <x v="19"/>
    <x v="0"/>
    <x v="0"/>
    <x v="3"/>
    <x v="3"/>
    <x v="1"/>
    <x v="1"/>
    <x v="0"/>
    <x v="19"/>
    <x v="0"/>
    <x v="7"/>
    <x v="0"/>
    <x v="159"/>
    <x v="159"/>
  </r>
  <r>
    <n v="708"/>
    <x v="31"/>
    <x v="20"/>
    <x v="0"/>
    <x v="0"/>
    <x v="3"/>
    <x v="3"/>
    <x v="1"/>
    <x v="1"/>
    <x v="1"/>
    <x v="11"/>
    <x v="9"/>
    <x v="7"/>
    <x v="2"/>
    <x v="94"/>
    <x v="30"/>
  </r>
  <r>
    <n v="709"/>
    <x v="31"/>
    <x v="21"/>
    <x v="0"/>
    <x v="0"/>
    <x v="3"/>
    <x v="3"/>
    <x v="1"/>
    <x v="1"/>
    <x v="1"/>
    <x v="11"/>
    <x v="9"/>
    <x v="7"/>
    <x v="3"/>
    <x v="27"/>
    <x v="37"/>
  </r>
  <r>
    <n v="710"/>
    <x v="31"/>
    <x v="22"/>
    <x v="0"/>
    <x v="0"/>
    <x v="3"/>
    <x v="3"/>
    <x v="1"/>
    <x v="1"/>
    <x v="1"/>
    <x v="2"/>
    <x v="9"/>
    <x v="1"/>
    <x v="4"/>
    <x v="60"/>
    <x v="9"/>
  </r>
  <r>
    <n v="711"/>
    <x v="31"/>
    <x v="23"/>
    <x v="0"/>
    <x v="0"/>
    <x v="3"/>
    <x v="3"/>
    <x v="2"/>
    <x v="2"/>
    <x v="2"/>
    <x v="13"/>
    <x v="43"/>
    <x v="5"/>
    <x v="5"/>
    <x v="89"/>
    <x v="0"/>
  </r>
  <r>
    <n v="712"/>
    <x v="32"/>
    <x v="0"/>
    <x v="0"/>
    <x v="0"/>
    <x v="4"/>
    <x v="4"/>
    <x v="2"/>
    <x v="2"/>
    <x v="1"/>
    <x v="19"/>
    <x v="43"/>
    <x v="14"/>
    <x v="3"/>
    <x v="6"/>
    <x v="5"/>
  </r>
  <r>
    <n v="713"/>
    <x v="32"/>
    <x v="1"/>
    <x v="0"/>
    <x v="0"/>
    <x v="4"/>
    <x v="4"/>
    <x v="2"/>
    <x v="2"/>
    <x v="1"/>
    <x v="11"/>
    <x v="43"/>
    <x v="5"/>
    <x v="3"/>
    <x v="35"/>
    <x v="6"/>
  </r>
  <r>
    <n v="714"/>
    <x v="32"/>
    <x v="2"/>
    <x v="0"/>
    <x v="0"/>
    <x v="4"/>
    <x v="4"/>
    <x v="2"/>
    <x v="2"/>
    <x v="1"/>
    <x v="11"/>
    <x v="43"/>
    <x v="7"/>
    <x v="17"/>
    <x v="5"/>
    <x v="48"/>
  </r>
  <r>
    <n v="715"/>
    <x v="32"/>
    <x v="3"/>
    <x v="0"/>
    <x v="0"/>
    <x v="4"/>
    <x v="4"/>
    <x v="2"/>
    <x v="2"/>
    <x v="1"/>
    <x v="11"/>
    <x v="43"/>
    <x v="7"/>
    <x v="3"/>
    <x v="4"/>
    <x v="4"/>
  </r>
  <r>
    <n v="716"/>
    <x v="32"/>
    <x v="4"/>
    <x v="0"/>
    <x v="0"/>
    <x v="4"/>
    <x v="4"/>
    <x v="2"/>
    <x v="2"/>
    <x v="1"/>
    <x v="12"/>
    <x v="43"/>
    <x v="3"/>
    <x v="3"/>
    <x v="4"/>
    <x v="4"/>
  </r>
  <r>
    <n v="717"/>
    <x v="32"/>
    <x v="5"/>
    <x v="0"/>
    <x v="0"/>
    <x v="4"/>
    <x v="4"/>
    <x v="2"/>
    <x v="2"/>
    <x v="1"/>
    <x v="19"/>
    <x v="43"/>
    <x v="14"/>
    <x v="3"/>
    <x v="35"/>
    <x v="6"/>
  </r>
  <r>
    <n v="718"/>
    <x v="32"/>
    <x v="6"/>
    <x v="0"/>
    <x v="0"/>
    <x v="4"/>
    <x v="4"/>
    <x v="2"/>
    <x v="2"/>
    <x v="1"/>
    <x v="19"/>
    <x v="43"/>
    <x v="14"/>
    <x v="5"/>
    <x v="19"/>
    <x v="109"/>
  </r>
  <r>
    <n v="719"/>
    <x v="32"/>
    <x v="7"/>
    <x v="0"/>
    <x v="0"/>
    <x v="4"/>
    <x v="4"/>
    <x v="2"/>
    <x v="2"/>
    <x v="1"/>
    <x v="12"/>
    <x v="43"/>
    <x v="6"/>
    <x v="5"/>
    <x v="41"/>
    <x v="99"/>
  </r>
  <r>
    <n v="720"/>
    <x v="32"/>
    <x v="8"/>
    <x v="0"/>
    <x v="0"/>
    <x v="4"/>
    <x v="4"/>
    <x v="2"/>
    <x v="2"/>
    <x v="1"/>
    <x v="12"/>
    <x v="43"/>
    <x v="6"/>
    <x v="5"/>
    <x v="105"/>
    <x v="107"/>
  </r>
  <r>
    <n v="721"/>
    <x v="32"/>
    <x v="9"/>
    <x v="0"/>
    <x v="0"/>
    <x v="4"/>
    <x v="4"/>
    <x v="1"/>
    <x v="1"/>
    <x v="0"/>
    <x v="2"/>
    <x v="43"/>
    <x v="1"/>
    <x v="17"/>
    <x v="138"/>
    <x v="92"/>
  </r>
  <r>
    <n v="722"/>
    <x v="32"/>
    <x v="10"/>
    <x v="0"/>
    <x v="0"/>
    <x v="4"/>
    <x v="4"/>
    <x v="1"/>
    <x v="1"/>
    <x v="1"/>
    <x v="1"/>
    <x v="11"/>
    <x v="0"/>
    <x v="4"/>
    <x v="79"/>
    <x v="42"/>
  </r>
  <r>
    <n v="723"/>
    <x v="32"/>
    <x v="11"/>
    <x v="0"/>
    <x v="0"/>
    <x v="4"/>
    <x v="4"/>
    <x v="1"/>
    <x v="1"/>
    <x v="0"/>
    <x v="11"/>
    <x v="43"/>
    <x v="5"/>
    <x v="2"/>
    <x v="12"/>
    <x v="46"/>
  </r>
  <r>
    <n v="724"/>
    <x v="32"/>
    <x v="12"/>
    <x v="0"/>
    <x v="0"/>
    <x v="4"/>
    <x v="4"/>
    <x v="1"/>
    <x v="1"/>
    <x v="0"/>
    <x v="11"/>
    <x v="43"/>
    <x v="6"/>
    <x v="0"/>
    <x v="124"/>
    <x v="37"/>
  </r>
  <r>
    <n v="725"/>
    <x v="32"/>
    <x v="13"/>
    <x v="0"/>
    <x v="0"/>
    <x v="4"/>
    <x v="4"/>
    <x v="0"/>
    <x v="0"/>
    <x v="10"/>
    <x v="6"/>
    <x v="43"/>
    <x v="8"/>
    <x v="5"/>
    <x v="64"/>
    <x v="28"/>
  </r>
  <r>
    <n v="726"/>
    <x v="32"/>
    <x v="14"/>
    <x v="0"/>
    <x v="0"/>
    <x v="4"/>
    <x v="4"/>
    <x v="0"/>
    <x v="0"/>
    <x v="4"/>
    <x v="5"/>
    <x v="7"/>
    <x v="13"/>
    <x v="4"/>
    <x v="124"/>
    <x v="55"/>
  </r>
  <r>
    <n v="727"/>
    <x v="32"/>
    <x v="15"/>
    <x v="0"/>
    <x v="0"/>
    <x v="4"/>
    <x v="4"/>
    <x v="0"/>
    <x v="0"/>
    <x v="4"/>
    <x v="5"/>
    <x v="4"/>
    <x v="9"/>
    <x v="22"/>
    <x v="43"/>
    <x v="31"/>
  </r>
  <r>
    <n v="728"/>
    <x v="32"/>
    <x v="16"/>
    <x v="0"/>
    <x v="0"/>
    <x v="4"/>
    <x v="4"/>
    <x v="0"/>
    <x v="0"/>
    <x v="5"/>
    <x v="6"/>
    <x v="12"/>
    <x v="4"/>
    <x v="1"/>
    <x v="73"/>
    <x v="153"/>
  </r>
  <r>
    <n v="729"/>
    <x v="32"/>
    <x v="17"/>
    <x v="0"/>
    <x v="0"/>
    <x v="4"/>
    <x v="4"/>
    <x v="0"/>
    <x v="0"/>
    <x v="5"/>
    <x v="21"/>
    <x v="45"/>
    <x v="18"/>
    <x v="18"/>
    <x v="160"/>
    <x v="71"/>
  </r>
  <r>
    <n v="730"/>
    <x v="32"/>
    <x v="18"/>
    <x v="0"/>
    <x v="0"/>
    <x v="4"/>
    <x v="4"/>
    <x v="0"/>
    <x v="0"/>
    <x v="10"/>
    <x v="0"/>
    <x v="16"/>
    <x v="16"/>
    <x v="18"/>
    <x v="161"/>
    <x v="58"/>
  </r>
  <r>
    <n v="731"/>
    <x v="32"/>
    <x v="19"/>
    <x v="0"/>
    <x v="0"/>
    <x v="4"/>
    <x v="4"/>
    <x v="0"/>
    <x v="0"/>
    <x v="17"/>
    <x v="19"/>
    <x v="49"/>
    <x v="15"/>
    <x v="0"/>
    <x v="152"/>
    <x v="134"/>
  </r>
  <r>
    <n v="732"/>
    <x v="32"/>
    <x v="20"/>
    <x v="0"/>
    <x v="0"/>
    <x v="4"/>
    <x v="4"/>
    <x v="0"/>
    <x v="0"/>
    <x v="0"/>
    <x v="13"/>
    <x v="37"/>
    <x v="16"/>
    <x v="17"/>
    <x v="13"/>
    <x v="28"/>
  </r>
  <r>
    <n v="733"/>
    <x v="32"/>
    <x v="21"/>
    <x v="0"/>
    <x v="0"/>
    <x v="4"/>
    <x v="4"/>
    <x v="0"/>
    <x v="0"/>
    <x v="1"/>
    <x v="13"/>
    <x v="19"/>
    <x v="9"/>
    <x v="5"/>
    <x v="133"/>
    <x v="55"/>
  </r>
  <r>
    <n v="734"/>
    <x v="32"/>
    <x v="22"/>
    <x v="0"/>
    <x v="0"/>
    <x v="4"/>
    <x v="4"/>
    <x v="0"/>
    <x v="0"/>
    <x v="1"/>
    <x v="12"/>
    <x v="18"/>
    <x v="2"/>
    <x v="2"/>
    <x v="96"/>
    <x v="1"/>
  </r>
  <r>
    <n v="735"/>
    <x v="32"/>
    <x v="23"/>
    <x v="0"/>
    <x v="0"/>
    <x v="4"/>
    <x v="4"/>
    <x v="0"/>
    <x v="0"/>
    <x v="2"/>
    <x v="17"/>
    <x v="18"/>
    <x v="10"/>
    <x v="0"/>
    <x v="31"/>
    <x v="2"/>
  </r>
  <r>
    <n v="736"/>
    <x v="33"/>
    <x v="0"/>
    <x v="0"/>
    <x v="0"/>
    <x v="5"/>
    <x v="5"/>
    <x v="0"/>
    <x v="0"/>
    <x v="2"/>
    <x v="17"/>
    <x v="22"/>
    <x v="10"/>
    <x v="5"/>
    <x v="48"/>
    <x v="47"/>
  </r>
  <r>
    <n v="737"/>
    <x v="33"/>
    <x v="1"/>
    <x v="0"/>
    <x v="0"/>
    <x v="5"/>
    <x v="5"/>
    <x v="0"/>
    <x v="0"/>
    <x v="2"/>
    <x v="20"/>
    <x v="18"/>
    <x v="18"/>
    <x v="3"/>
    <x v="34"/>
    <x v="36"/>
  </r>
  <r>
    <n v="738"/>
    <x v="33"/>
    <x v="2"/>
    <x v="0"/>
    <x v="0"/>
    <x v="5"/>
    <x v="5"/>
    <x v="0"/>
    <x v="0"/>
    <x v="15"/>
    <x v="17"/>
    <x v="21"/>
    <x v="2"/>
    <x v="3"/>
    <x v="6"/>
    <x v="5"/>
  </r>
  <r>
    <n v="739"/>
    <x v="33"/>
    <x v="3"/>
    <x v="0"/>
    <x v="0"/>
    <x v="5"/>
    <x v="5"/>
    <x v="0"/>
    <x v="0"/>
    <x v="15"/>
    <x v="17"/>
    <x v="21"/>
    <x v="2"/>
    <x v="3"/>
    <x v="4"/>
    <x v="4"/>
  </r>
  <r>
    <n v="740"/>
    <x v="33"/>
    <x v="5"/>
    <x v="0"/>
    <x v="0"/>
    <x v="5"/>
    <x v="5"/>
    <x v="0"/>
    <x v="0"/>
    <x v="13"/>
    <x v="14"/>
    <x v="20"/>
    <x v="4"/>
    <x v="3"/>
    <x v="6"/>
    <x v="5"/>
  </r>
  <r>
    <n v="741"/>
    <x v="33"/>
    <x v="6"/>
    <x v="0"/>
    <x v="0"/>
    <x v="5"/>
    <x v="5"/>
    <x v="0"/>
    <x v="0"/>
    <x v="13"/>
    <x v="14"/>
    <x v="21"/>
    <x v="11"/>
    <x v="3"/>
    <x v="87"/>
    <x v="21"/>
  </r>
  <r>
    <n v="742"/>
    <x v="33"/>
    <x v="7"/>
    <x v="0"/>
    <x v="0"/>
    <x v="5"/>
    <x v="5"/>
    <x v="0"/>
    <x v="0"/>
    <x v="14"/>
    <x v="16"/>
    <x v="20"/>
    <x v="9"/>
    <x v="5"/>
    <x v="132"/>
    <x v="90"/>
  </r>
  <r>
    <n v="743"/>
    <x v="33"/>
    <x v="8"/>
    <x v="0"/>
    <x v="0"/>
    <x v="5"/>
    <x v="5"/>
    <x v="0"/>
    <x v="0"/>
    <x v="14"/>
    <x v="16"/>
    <x v="20"/>
    <x v="11"/>
    <x v="17"/>
    <x v="103"/>
    <x v="104"/>
  </r>
  <r>
    <n v="744"/>
    <x v="33"/>
    <x v="9"/>
    <x v="0"/>
    <x v="0"/>
    <x v="5"/>
    <x v="5"/>
    <x v="0"/>
    <x v="0"/>
    <x v="13"/>
    <x v="14"/>
    <x v="19"/>
    <x v="4"/>
    <x v="15"/>
    <x v="69"/>
    <x v="140"/>
  </r>
  <r>
    <n v="745"/>
    <x v="33"/>
    <x v="10"/>
    <x v="0"/>
    <x v="0"/>
    <x v="5"/>
    <x v="5"/>
    <x v="0"/>
    <x v="0"/>
    <x v="15"/>
    <x v="20"/>
    <x v="21"/>
    <x v="9"/>
    <x v="4"/>
    <x v="54"/>
    <x v="46"/>
  </r>
  <r>
    <n v="746"/>
    <x v="33"/>
    <x v="11"/>
    <x v="0"/>
    <x v="0"/>
    <x v="5"/>
    <x v="5"/>
    <x v="0"/>
    <x v="0"/>
    <x v="15"/>
    <x v="14"/>
    <x v="21"/>
    <x v="10"/>
    <x v="14"/>
    <x v="11"/>
    <x v="37"/>
  </r>
  <r>
    <n v="747"/>
    <x v="33"/>
    <x v="12"/>
    <x v="0"/>
    <x v="0"/>
    <x v="5"/>
    <x v="5"/>
    <x v="0"/>
    <x v="0"/>
    <x v="2"/>
    <x v="18"/>
    <x v="22"/>
    <x v="11"/>
    <x v="4"/>
    <x v="28"/>
    <x v="83"/>
  </r>
  <r>
    <n v="748"/>
    <x v="33"/>
    <x v="13"/>
    <x v="0"/>
    <x v="0"/>
    <x v="5"/>
    <x v="5"/>
    <x v="0"/>
    <x v="0"/>
    <x v="2"/>
    <x v="17"/>
    <x v="22"/>
    <x v="12"/>
    <x v="17"/>
    <x v="12"/>
    <x v="41"/>
  </r>
  <r>
    <n v="749"/>
    <x v="33"/>
    <x v="14"/>
    <x v="0"/>
    <x v="0"/>
    <x v="5"/>
    <x v="5"/>
    <x v="0"/>
    <x v="0"/>
    <x v="1"/>
    <x v="13"/>
    <x v="38"/>
    <x v="13"/>
    <x v="17"/>
    <x v="30"/>
    <x v="105"/>
  </r>
  <r>
    <n v="750"/>
    <x v="33"/>
    <x v="15"/>
    <x v="0"/>
    <x v="0"/>
    <x v="5"/>
    <x v="5"/>
    <x v="0"/>
    <x v="0"/>
    <x v="1"/>
    <x v="13"/>
    <x v="38"/>
    <x v="9"/>
    <x v="17"/>
    <x v="90"/>
    <x v="122"/>
  </r>
  <r>
    <n v="751"/>
    <x v="33"/>
    <x v="16"/>
    <x v="0"/>
    <x v="0"/>
    <x v="5"/>
    <x v="5"/>
    <x v="0"/>
    <x v="0"/>
    <x v="1"/>
    <x v="12"/>
    <x v="38"/>
    <x v="2"/>
    <x v="2"/>
    <x v="26"/>
    <x v="53"/>
  </r>
  <r>
    <n v="752"/>
    <x v="33"/>
    <x v="17"/>
    <x v="0"/>
    <x v="0"/>
    <x v="5"/>
    <x v="5"/>
    <x v="0"/>
    <x v="0"/>
    <x v="2"/>
    <x v="13"/>
    <x v="22"/>
    <x v="5"/>
    <x v="2"/>
    <x v="162"/>
    <x v="172"/>
  </r>
  <r>
    <n v="753"/>
    <x v="33"/>
    <x v="18"/>
    <x v="0"/>
    <x v="0"/>
    <x v="5"/>
    <x v="5"/>
    <x v="0"/>
    <x v="0"/>
    <x v="2"/>
    <x v="12"/>
    <x v="22"/>
    <x v="8"/>
    <x v="4"/>
    <x v="142"/>
    <x v="173"/>
  </r>
  <r>
    <n v="754"/>
    <x v="33"/>
    <x v="19"/>
    <x v="0"/>
    <x v="0"/>
    <x v="5"/>
    <x v="5"/>
    <x v="0"/>
    <x v="0"/>
    <x v="2"/>
    <x v="2"/>
    <x v="22"/>
    <x v="0"/>
    <x v="17"/>
    <x v="50"/>
    <x v="152"/>
  </r>
  <r>
    <n v="755"/>
    <x v="33"/>
    <x v="20"/>
    <x v="0"/>
    <x v="0"/>
    <x v="5"/>
    <x v="5"/>
    <x v="0"/>
    <x v="0"/>
    <x v="2"/>
    <x v="11"/>
    <x v="19"/>
    <x v="1"/>
    <x v="5"/>
    <x v="123"/>
    <x v="142"/>
  </r>
  <r>
    <n v="756"/>
    <x v="33"/>
    <x v="21"/>
    <x v="0"/>
    <x v="0"/>
    <x v="5"/>
    <x v="5"/>
    <x v="0"/>
    <x v="0"/>
    <x v="15"/>
    <x v="12"/>
    <x v="28"/>
    <x v="14"/>
    <x v="5"/>
    <x v="42"/>
    <x v="60"/>
  </r>
  <r>
    <n v="757"/>
    <x v="33"/>
    <x v="22"/>
    <x v="0"/>
    <x v="0"/>
    <x v="5"/>
    <x v="5"/>
    <x v="0"/>
    <x v="0"/>
    <x v="15"/>
    <x v="12"/>
    <x v="33"/>
    <x v="1"/>
    <x v="4"/>
    <x v="87"/>
    <x v="102"/>
  </r>
  <r>
    <n v="758"/>
    <x v="33"/>
    <x v="23"/>
    <x v="0"/>
    <x v="0"/>
    <x v="5"/>
    <x v="5"/>
    <x v="0"/>
    <x v="0"/>
    <x v="2"/>
    <x v="11"/>
    <x v="19"/>
    <x v="14"/>
    <x v="17"/>
    <x v="60"/>
    <x v="103"/>
  </r>
  <r>
    <n v="759"/>
    <x v="34"/>
    <x v="0"/>
    <x v="0"/>
    <x v="0"/>
    <x v="6"/>
    <x v="6"/>
    <x v="1"/>
    <x v="1"/>
    <x v="2"/>
    <x v="2"/>
    <x v="18"/>
    <x v="0"/>
    <x v="0"/>
    <x v="3"/>
    <x v="3"/>
  </r>
  <r>
    <n v="760"/>
    <x v="34"/>
    <x v="1"/>
    <x v="0"/>
    <x v="0"/>
    <x v="6"/>
    <x v="6"/>
    <x v="1"/>
    <x v="1"/>
    <x v="13"/>
    <x v="11"/>
    <x v="29"/>
    <x v="0"/>
    <x v="3"/>
    <x v="7"/>
    <x v="85"/>
  </r>
  <r>
    <n v="761"/>
    <x v="34"/>
    <x v="2"/>
    <x v="0"/>
    <x v="0"/>
    <x v="6"/>
    <x v="6"/>
    <x v="1"/>
    <x v="1"/>
    <x v="14"/>
    <x v="17"/>
    <x v="30"/>
    <x v="14"/>
    <x v="3"/>
    <x v="4"/>
    <x v="4"/>
  </r>
  <r>
    <n v="762"/>
    <x v="34"/>
    <x v="3"/>
    <x v="0"/>
    <x v="0"/>
    <x v="6"/>
    <x v="6"/>
    <x v="1"/>
    <x v="1"/>
    <x v="14"/>
    <x v="17"/>
    <x v="30"/>
    <x v="14"/>
    <x v="3"/>
    <x v="4"/>
    <x v="4"/>
  </r>
  <r>
    <n v="763"/>
    <x v="34"/>
    <x v="5"/>
    <x v="0"/>
    <x v="0"/>
    <x v="6"/>
    <x v="6"/>
    <x v="1"/>
    <x v="1"/>
    <x v="14"/>
    <x v="20"/>
    <x v="30"/>
    <x v="7"/>
    <x v="3"/>
    <x v="7"/>
    <x v="85"/>
  </r>
  <r>
    <n v="764"/>
    <x v="34"/>
    <x v="6"/>
    <x v="0"/>
    <x v="0"/>
    <x v="6"/>
    <x v="6"/>
    <x v="1"/>
    <x v="1"/>
    <x v="13"/>
    <x v="11"/>
    <x v="28"/>
    <x v="0"/>
    <x v="4"/>
    <x v="16"/>
    <x v="20"/>
  </r>
  <r>
    <n v="765"/>
    <x v="34"/>
    <x v="7"/>
    <x v="0"/>
    <x v="0"/>
    <x v="6"/>
    <x v="6"/>
    <x v="0"/>
    <x v="0"/>
    <x v="14"/>
    <x v="12"/>
    <x v="29"/>
    <x v="0"/>
    <x v="3"/>
    <x v="61"/>
    <x v="90"/>
  </r>
  <r>
    <n v="766"/>
    <x v="34"/>
    <x v="8"/>
    <x v="0"/>
    <x v="0"/>
    <x v="6"/>
    <x v="6"/>
    <x v="0"/>
    <x v="0"/>
    <x v="14"/>
    <x v="20"/>
    <x v="32"/>
    <x v="7"/>
    <x v="0"/>
    <x v="163"/>
    <x v="174"/>
  </r>
  <r>
    <n v="767"/>
    <x v="34"/>
    <x v="9"/>
    <x v="0"/>
    <x v="0"/>
    <x v="6"/>
    <x v="6"/>
    <x v="1"/>
    <x v="1"/>
    <x v="13"/>
    <x v="18"/>
    <x v="1"/>
    <x v="7"/>
    <x v="0"/>
    <x v="125"/>
    <x v="175"/>
  </r>
  <r>
    <n v="768"/>
    <x v="34"/>
    <x v="10"/>
    <x v="0"/>
    <x v="0"/>
    <x v="6"/>
    <x v="6"/>
    <x v="1"/>
    <x v="1"/>
    <x v="2"/>
    <x v="12"/>
    <x v="33"/>
    <x v="7"/>
    <x v="2"/>
    <x v="24"/>
    <x v="41"/>
  </r>
  <r>
    <n v="769"/>
    <x v="34"/>
    <x v="11"/>
    <x v="0"/>
    <x v="0"/>
    <x v="6"/>
    <x v="6"/>
    <x v="0"/>
    <x v="0"/>
    <x v="1"/>
    <x v="11"/>
    <x v="33"/>
    <x v="8"/>
    <x v="0"/>
    <x v="124"/>
    <x v="37"/>
  </r>
  <r>
    <n v="770"/>
    <x v="34"/>
    <x v="12"/>
    <x v="0"/>
    <x v="0"/>
    <x v="6"/>
    <x v="6"/>
    <x v="1"/>
    <x v="1"/>
    <x v="0"/>
    <x v="19"/>
    <x v="37"/>
    <x v="8"/>
    <x v="1"/>
    <x v="78"/>
    <x v="80"/>
  </r>
  <r>
    <n v="771"/>
    <x v="34"/>
    <x v="13"/>
    <x v="0"/>
    <x v="0"/>
    <x v="6"/>
    <x v="6"/>
    <x v="1"/>
    <x v="1"/>
    <x v="12"/>
    <x v="2"/>
    <x v="20"/>
    <x v="6"/>
    <x v="14"/>
    <x v="26"/>
    <x v="100"/>
  </r>
  <r>
    <n v="772"/>
    <x v="34"/>
    <x v="14"/>
    <x v="0"/>
    <x v="0"/>
    <x v="6"/>
    <x v="6"/>
    <x v="1"/>
    <x v="1"/>
    <x v="17"/>
    <x v="1"/>
    <x v="49"/>
    <x v="8"/>
    <x v="13"/>
    <x v="83"/>
    <x v="134"/>
  </r>
  <r>
    <n v="773"/>
    <x v="34"/>
    <x v="15"/>
    <x v="0"/>
    <x v="0"/>
    <x v="6"/>
    <x v="6"/>
    <x v="1"/>
    <x v="1"/>
    <x v="17"/>
    <x v="1"/>
    <x v="37"/>
    <x v="2"/>
    <x v="14"/>
    <x v="38"/>
    <x v="127"/>
  </r>
  <r>
    <n v="774"/>
    <x v="34"/>
    <x v="16"/>
    <x v="0"/>
    <x v="0"/>
    <x v="6"/>
    <x v="6"/>
    <x v="1"/>
    <x v="1"/>
    <x v="11"/>
    <x v="0"/>
    <x v="16"/>
    <x v="6"/>
    <x v="1"/>
    <x v="164"/>
    <x v="111"/>
  </r>
  <r>
    <n v="775"/>
    <x v="34"/>
    <x v="17"/>
    <x v="0"/>
    <x v="0"/>
    <x v="6"/>
    <x v="6"/>
    <x v="1"/>
    <x v="1"/>
    <x v="12"/>
    <x v="1"/>
    <x v="34"/>
    <x v="7"/>
    <x v="22"/>
    <x v="165"/>
    <x v="176"/>
  </r>
  <r>
    <n v="776"/>
    <x v="34"/>
    <x v="18"/>
    <x v="0"/>
    <x v="0"/>
    <x v="6"/>
    <x v="6"/>
    <x v="1"/>
    <x v="1"/>
    <x v="0"/>
    <x v="2"/>
    <x v="54"/>
    <x v="14"/>
    <x v="0"/>
    <x v="166"/>
    <x v="107"/>
  </r>
  <r>
    <n v="777"/>
    <x v="34"/>
    <x v="19"/>
    <x v="0"/>
    <x v="0"/>
    <x v="6"/>
    <x v="6"/>
    <x v="1"/>
    <x v="1"/>
    <x v="0"/>
    <x v="19"/>
    <x v="55"/>
    <x v="7"/>
    <x v="5"/>
    <x v="46"/>
    <x v="153"/>
  </r>
  <r>
    <n v="778"/>
    <x v="34"/>
    <x v="20"/>
    <x v="0"/>
    <x v="0"/>
    <x v="6"/>
    <x v="6"/>
    <x v="1"/>
    <x v="1"/>
    <x v="0"/>
    <x v="19"/>
    <x v="55"/>
    <x v="8"/>
    <x v="4"/>
    <x v="94"/>
    <x v="68"/>
  </r>
  <r>
    <n v="779"/>
    <x v="34"/>
    <x v="21"/>
    <x v="0"/>
    <x v="0"/>
    <x v="6"/>
    <x v="6"/>
    <x v="1"/>
    <x v="1"/>
    <x v="0"/>
    <x v="19"/>
    <x v="56"/>
    <x v="8"/>
    <x v="4"/>
    <x v="40"/>
    <x v="74"/>
  </r>
  <r>
    <n v="780"/>
    <x v="34"/>
    <x v="22"/>
    <x v="0"/>
    <x v="0"/>
    <x v="6"/>
    <x v="6"/>
    <x v="1"/>
    <x v="1"/>
    <x v="0"/>
    <x v="19"/>
    <x v="55"/>
    <x v="8"/>
    <x v="5"/>
    <x v="108"/>
    <x v="66"/>
  </r>
  <r>
    <n v="781"/>
    <x v="34"/>
    <x v="23"/>
    <x v="0"/>
    <x v="0"/>
    <x v="6"/>
    <x v="6"/>
    <x v="1"/>
    <x v="1"/>
    <x v="0"/>
    <x v="19"/>
    <x v="56"/>
    <x v="7"/>
    <x v="5"/>
    <x v="10"/>
    <x v="35"/>
  </r>
  <r>
    <n v="782"/>
    <x v="35"/>
    <x v="0"/>
    <x v="0"/>
    <x v="0"/>
    <x v="0"/>
    <x v="0"/>
    <x v="1"/>
    <x v="1"/>
    <x v="0"/>
    <x v="19"/>
    <x v="56"/>
    <x v="8"/>
    <x v="0"/>
    <x v="49"/>
    <x v="21"/>
  </r>
  <r>
    <n v="783"/>
    <x v="35"/>
    <x v="1"/>
    <x v="0"/>
    <x v="0"/>
    <x v="0"/>
    <x v="0"/>
    <x v="1"/>
    <x v="1"/>
    <x v="0"/>
    <x v="19"/>
    <x v="55"/>
    <x v="8"/>
    <x v="5"/>
    <x v="19"/>
    <x v="109"/>
  </r>
  <r>
    <n v="784"/>
    <x v="35"/>
    <x v="2"/>
    <x v="0"/>
    <x v="0"/>
    <x v="0"/>
    <x v="0"/>
    <x v="1"/>
    <x v="1"/>
    <x v="0"/>
    <x v="19"/>
    <x v="2"/>
    <x v="8"/>
    <x v="2"/>
    <x v="98"/>
    <x v="22"/>
  </r>
  <r>
    <n v="785"/>
    <x v="35"/>
    <x v="3"/>
    <x v="0"/>
    <x v="0"/>
    <x v="0"/>
    <x v="0"/>
    <x v="1"/>
    <x v="1"/>
    <x v="0"/>
    <x v="19"/>
    <x v="2"/>
    <x v="8"/>
    <x v="5"/>
    <x v="3"/>
    <x v="62"/>
  </r>
  <r>
    <n v="786"/>
    <x v="35"/>
    <x v="4"/>
    <x v="0"/>
    <x v="0"/>
    <x v="0"/>
    <x v="0"/>
    <x v="2"/>
    <x v="2"/>
    <x v="1"/>
    <x v="11"/>
    <x v="43"/>
    <x v="7"/>
    <x v="3"/>
    <x v="21"/>
    <x v="7"/>
  </r>
  <r>
    <n v="787"/>
    <x v="35"/>
    <x v="5"/>
    <x v="0"/>
    <x v="0"/>
    <x v="0"/>
    <x v="0"/>
    <x v="2"/>
    <x v="2"/>
    <x v="2"/>
    <x v="11"/>
    <x v="11"/>
    <x v="1"/>
    <x v="3"/>
    <x v="33"/>
    <x v="23"/>
  </r>
  <r>
    <n v="788"/>
    <x v="35"/>
    <x v="6"/>
    <x v="0"/>
    <x v="0"/>
    <x v="0"/>
    <x v="0"/>
    <x v="2"/>
    <x v="2"/>
    <x v="2"/>
    <x v="2"/>
    <x v="11"/>
    <x v="0"/>
    <x v="3"/>
    <x v="22"/>
    <x v="48"/>
  </r>
  <r>
    <n v="789"/>
    <x v="35"/>
    <x v="7"/>
    <x v="0"/>
    <x v="0"/>
    <x v="0"/>
    <x v="0"/>
    <x v="2"/>
    <x v="2"/>
    <x v="1"/>
    <x v="2"/>
    <x v="43"/>
    <x v="1"/>
    <x v="3"/>
    <x v="22"/>
    <x v="48"/>
  </r>
  <r>
    <n v="790"/>
    <x v="35"/>
    <x v="8"/>
    <x v="0"/>
    <x v="0"/>
    <x v="0"/>
    <x v="0"/>
    <x v="2"/>
    <x v="2"/>
    <x v="2"/>
    <x v="11"/>
    <x v="11"/>
    <x v="1"/>
    <x v="3"/>
    <x v="3"/>
    <x v="98"/>
  </r>
  <r>
    <n v="791"/>
    <x v="35"/>
    <x v="9"/>
    <x v="0"/>
    <x v="0"/>
    <x v="0"/>
    <x v="0"/>
    <x v="2"/>
    <x v="2"/>
    <x v="2"/>
    <x v="11"/>
    <x v="11"/>
    <x v="1"/>
    <x v="0"/>
    <x v="19"/>
    <x v="25"/>
  </r>
  <r>
    <n v="792"/>
    <x v="35"/>
    <x v="10"/>
    <x v="0"/>
    <x v="0"/>
    <x v="0"/>
    <x v="0"/>
    <x v="2"/>
    <x v="2"/>
    <x v="2"/>
    <x v="12"/>
    <x v="11"/>
    <x v="7"/>
    <x v="0"/>
    <x v="17"/>
    <x v="19"/>
  </r>
  <r>
    <n v="793"/>
    <x v="35"/>
    <x v="11"/>
    <x v="0"/>
    <x v="0"/>
    <x v="0"/>
    <x v="0"/>
    <x v="2"/>
    <x v="2"/>
    <x v="1"/>
    <x v="11"/>
    <x v="11"/>
    <x v="7"/>
    <x v="5"/>
    <x v="24"/>
    <x v="105"/>
  </r>
  <r>
    <n v="794"/>
    <x v="35"/>
    <x v="12"/>
    <x v="0"/>
    <x v="0"/>
    <x v="0"/>
    <x v="0"/>
    <x v="2"/>
    <x v="2"/>
    <x v="1"/>
    <x v="11"/>
    <x v="11"/>
    <x v="8"/>
    <x v="22"/>
    <x v="76"/>
    <x v="46"/>
  </r>
  <r>
    <n v="795"/>
    <x v="35"/>
    <x v="13"/>
    <x v="0"/>
    <x v="0"/>
    <x v="0"/>
    <x v="0"/>
    <x v="2"/>
    <x v="2"/>
    <x v="1"/>
    <x v="11"/>
    <x v="11"/>
    <x v="8"/>
    <x v="22"/>
    <x v="133"/>
    <x v="44"/>
  </r>
  <r>
    <n v="796"/>
    <x v="35"/>
    <x v="14"/>
    <x v="0"/>
    <x v="0"/>
    <x v="0"/>
    <x v="0"/>
    <x v="2"/>
    <x v="2"/>
    <x v="1"/>
    <x v="1"/>
    <x v="11"/>
    <x v="0"/>
    <x v="2"/>
    <x v="54"/>
    <x v="97"/>
  </r>
  <r>
    <n v="797"/>
    <x v="35"/>
    <x v="15"/>
    <x v="0"/>
    <x v="0"/>
    <x v="0"/>
    <x v="0"/>
    <x v="2"/>
    <x v="2"/>
    <x v="1"/>
    <x v="1"/>
    <x v="11"/>
    <x v="0"/>
    <x v="16"/>
    <x v="47"/>
    <x v="122"/>
  </r>
  <r>
    <n v="798"/>
    <x v="35"/>
    <x v="16"/>
    <x v="0"/>
    <x v="0"/>
    <x v="0"/>
    <x v="0"/>
    <x v="2"/>
    <x v="2"/>
    <x v="1"/>
    <x v="11"/>
    <x v="11"/>
    <x v="7"/>
    <x v="1"/>
    <x v="36"/>
    <x v="68"/>
  </r>
  <r>
    <n v="799"/>
    <x v="35"/>
    <x v="17"/>
    <x v="0"/>
    <x v="0"/>
    <x v="0"/>
    <x v="0"/>
    <x v="1"/>
    <x v="1"/>
    <x v="0"/>
    <x v="12"/>
    <x v="11"/>
    <x v="3"/>
    <x v="24"/>
    <x v="27"/>
    <x v="53"/>
  </r>
  <r>
    <n v="800"/>
    <x v="35"/>
    <x v="18"/>
    <x v="0"/>
    <x v="0"/>
    <x v="0"/>
    <x v="0"/>
    <x v="1"/>
    <x v="1"/>
    <x v="17"/>
    <x v="19"/>
    <x v="43"/>
    <x v="10"/>
    <x v="4"/>
    <x v="38"/>
    <x v="56"/>
  </r>
  <r>
    <n v="801"/>
    <x v="35"/>
    <x v="19"/>
    <x v="0"/>
    <x v="0"/>
    <x v="0"/>
    <x v="0"/>
    <x v="1"/>
    <x v="1"/>
    <x v="17"/>
    <x v="19"/>
    <x v="43"/>
    <x v="10"/>
    <x v="15"/>
    <x v="78"/>
    <x v="11"/>
  </r>
  <r>
    <n v="802"/>
    <x v="35"/>
    <x v="20"/>
    <x v="0"/>
    <x v="0"/>
    <x v="0"/>
    <x v="0"/>
    <x v="0"/>
    <x v="0"/>
    <x v="11"/>
    <x v="0"/>
    <x v="9"/>
    <x v="2"/>
    <x v="2"/>
    <x v="27"/>
    <x v="83"/>
  </r>
  <r>
    <n v="803"/>
    <x v="35"/>
    <x v="21"/>
    <x v="0"/>
    <x v="0"/>
    <x v="0"/>
    <x v="0"/>
    <x v="0"/>
    <x v="0"/>
    <x v="12"/>
    <x v="2"/>
    <x v="11"/>
    <x v="5"/>
    <x v="0"/>
    <x v="42"/>
    <x v="10"/>
  </r>
  <r>
    <n v="804"/>
    <x v="35"/>
    <x v="22"/>
    <x v="0"/>
    <x v="0"/>
    <x v="0"/>
    <x v="0"/>
    <x v="0"/>
    <x v="0"/>
    <x v="12"/>
    <x v="1"/>
    <x v="43"/>
    <x v="7"/>
    <x v="4"/>
    <x v="30"/>
    <x v="79"/>
  </r>
  <r>
    <n v="805"/>
    <x v="35"/>
    <x v="23"/>
    <x v="0"/>
    <x v="0"/>
    <x v="0"/>
    <x v="0"/>
    <x v="0"/>
    <x v="0"/>
    <x v="12"/>
    <x v="2"/>
    <x v="43"/>
    <x v="6"/>
    <x v="18"/>
    <x v="15"/>
    <x v="29"/>
  </r>
  <r>
    <n v="806"/>
    <x v="36"/>
    <x v="0"/>
    <x v="0"/>
    <x v="0"/>
    <x v="1"/>
    <x v="1"/>
    <x v="0"/>
    <x v="0"/>
    <x v="12"/>
    <x v="2"/>
    <x v="56"/>
    <x v="5"/>
    <x v="4"/>
    <x v="53"/>
    <x v="21"/>
  </r>
  <r>
    <n v="807"/>
    <x v="36"/>
    <x v="1"/>
    <x v="0"/>
    <x v="0"/>
    <x v="1"/>
    <x v="1"/>
    <x v="0"/>
    <x v="0"/>
    <x v="12"/>
    <x v="11"/>
    <x v="55"/>
    <x v="12"/>
    <x v="17"/>
    <x v="71"/>
    <x v="40"/>
  </r>
  <r>
    <n v="808"/>
    <x v="36"/>
    <x v="2"/>
    <x v="0"/>
    <x v="0"/>
    <x v="1"/>
    <x v="1"/>
    <x v="0"/>
    <x v="0"/>
    <x v="12"/>
    <x v="11"/>
    <x v="54"/>
    <x v="9"/>
    <x v="3"/>
    <x v="32"/>
    <x v="25"/>
  </r>
  <r>
    <n v="809"/>
    <x v="36"/>
    <x v="3"/>
    <x v="0"/>
    <x v="0"/>
    <x v="1"/>
    <x v="1"/>
    <x v="0"/>
    <x v="0"/>
    <x v="12"/>
    <x v="0"/>
    <x v="54"/>
    <x v="1"/>
    <x v="0"/>
    <x v="3"/>
    <x v="3"/>
  </r>
  <r>
    <n v="810"/>
    <x v="36"/>
    <x v="4"/>
    <x v="0"/>
    <x v="0"/>
    <x v="1"/>
    <x v="1"/>
    <x v="0"/>
    <x v="0"/>
    <x v="12"/>
    <x v="11"/>
    <x v="54"/>
    <x v="11"/>
    <x v="3"/>
    <x v="6"/>
    <x v="5"/>
  </r>
  <r>
    <n v="811"/>
    <x v="36"/>
    <x v="5"/>
    <x v="0"/>
    <x v="0"/>
    <x v="1"/>
    <x v="1"/>
    <x v="0"/>
    <x v="0"/>
    <x v="12"/>
    <x v="2"/>
    <x v="54"/>
    <x v="6"/>
    <x v="3"/>
    <x v="4"/>
    <x v="4"/>
  </r>
  <r>
    <n v="812"/>
    <x v="36"/>
    <x v="6"/>
    <x v="0"/>
    <x v="0"/>
    <x v="1"/>
    <x v="1"/>
    <x v="0"/>
    <x v="0"/>
    <x v="12"/>
    <x v="2"/>
    <x v="54"/>
    <x v="6"/>
    <x v="3"/>
    <x v="4"/>
    <x v="4"/>
  </r>
  <r>
    <n v="813"/>
    <x v="36"/>
    <x v="7"/>
    <x v="0"/>
    <x v="0"/>
    <x v="1"/>
    <x v="1"/>
    <x v="0"/>
    <x v="0"/>
    <x v="0"/>
    <x v="19"/>
    <x v="55"/>
    <x v="8"/>
    <x v="3"/>
    <x v="21"/>
    <x v="7"/>
  </r>
  <r>
    <n v="814"/>
    <x v="36"/>
    <x v="8"/>
    <x v="0"/>
    <x v="0"/>
    <x v="1"/>
    <x v="1"/>
    <x v="0"/>
    <x v="0"/>
    <x v="0"/>
    <x v="2"/>
    <x v="55"/>
    <x v="14"/>
    <x v="4"/>
    <x v="144"/>
    <x v="84"/>
  </r>
  <r>
    <n v="815"/>
    <x v="36"/>
    <x v="9"/>
    <x v="0"/>
    <x v="0"/>
    <x v="1"/>
    <x v="1"/>
    <x v="0"/>
    <x v="0"/>
    <x v="17"/>
    <x v="0"/>
    <x v="34"/>
    <x v="14"/>
    <x v="18"/>
    <x v="101"/>
    <x v="79"/>
  </r>
  <r>
    <n v="816"/>
    <x v="36"/>
    <x v="10"/>
    <x v="0"/>
    <x v="0"/>
    <x v="1"/>
    <x v="1"/>
    <x v="0"/>
    <x v="0"/>
    <x v="11"/>
    <x v="0"/>
    <x v="35"/>
    <x v="2"/>
    <x v="13"/>
    <x v="64"/>
    <x v="70"/>
  </r>
  <r>
    <n v="817"/>
    <x v="36"/>
    <x v="11"/>
    <x v="0"/>
    <x v="0"/>
    <x v="1"/>
    <x v="1"/>
    <x v="0"/>
    <x v="0"/>
    <x v="3"/>
    <x v="25"/>
    <x v="36"/>
    <x v="2"/>
    <x v="32"/>
    <x v="121"/>
    <x v="126"/>
  </r>
  <r>
    <n v="818"/>
    <x v="36"/>
    <x v="12"/>
    <x v="0"/>
    <x v="0"/>
    <x v="1"/>
    <x v="1"/>
    <x v="0"/>
    <x v="0"/>
    <x v="10"/>
    <x v="6"/>
    <x v="15"/>
    <x v="0"/>
    <x v="33"/>
    <x v="167"/>
    <x v="177"/>
  </r>
  <r>
    <n v="819"/>
    <x v="36"/>
    <x v="13"/>
    <x v="0"/>
    <x v="0"/>
    <x v="1"/>
    <x v="1"/>
    <x v="0"/>
    <x v="0"/>
    <x v="10"/>
    <x v="30"/>
    <x v="15"/>
    <x v="0"/>
    <x v="9"/>
    <x v="113"/>
    <x v="58"/>
  </r>
  <r>
    <n v="820"/>
    <x v="36"/>
    <x v="14"/>
    <x v="0"/>
    <x v="0"/>
    <x v="1"/>
    <x v="1"/>
    <x v="0"/>
    <x v="0"/>
    <x v="10"/>
    <x v="4"/>
    <x v="15"/>
    <x v="1"/>
    <x v="9"/>
    <x v="156"/>
    <x v="143"/>
  </r>
  <r>
    <n v="821"/>
    <x v="36"/>
    <x v="15"/>
    <x v="0"/>
    <x v="0"/>
    <x v="1"/>
    <x v="1"/>
    <x v="0"/>
    <x v="0"/>
    <x v="10"/>
    <x v="4"/>
    <x v="15"/>
    <x v="1"/>
    <x v="34"/>
    <x v="110"/>
    <x v="58"/>
  </r>
  <r>
    <n v="822"/>
    <x v="36"/>
    <x v="16"/>
    <x v="0"/>
    <x v="0"/>
    <x v="1"/>
    <x v="1"/>
    <x v="0"/>
    <x v="0"/>
    <x v="10"/>
    <x v="4"/>
    <x v="36"/>
    <x v="14"/>
    <x v="35"/>
    <x v="168"/>
    <x v="45"/>
  </r>
  <r>
    <n v="823"/>
    <x v="36"/>
    <x v="17"/>
    <x v="0"/>
    <x v="0"/>
    <x v="1"/>
    <x v="1"/>
    <x v="0"/>
    <x v="0"/>
    <x v="10"/>
    <x v="30"/>
    <x v="15"/>
    <x v="0"/>
    <x v="31"/>
    <x v="106"/>
    <x v="178"/>
  </r>
  <r>
    <n v="824"/>
    <x v="36"/>
    <x v="18"/>
    <x v="0"/>
    <x v="0"/>
    <x v="1"/>
    <x v="1"/>
    <x v="0"/>
    <x v="0"/>
    <x v="11"/>
    <x v="25"/>
    <x v="34"/>
    <x v="8"/>
    <x v="23"/>
    <x v="65"/>
    <x v="53"/>
  </r>
  <r>
    <n v="825"/>
    <x v="36"/>
    <x v="19"/>
    <x v="0"/>
    <x v="0"/>
    <x v="1"/>
    <x v="1"/>
    <x v="0"/>
    <x v="0"/>
    <x v="17"/>
    <x v="0"/>
    <x v="53"/>
    <x v="7"/>
    <x v="5"/>
    <x v="32"/>
    <x v="137"/>
  </r>
  <r>
    <n v="826"/>
    <x v="36"/>
    <x v="20"/>
    <x v="0"/>
    <x v="0"/>
    <x v="1"/>
    <x v="1"/>
    <x v="0"/>
    <x v="0"/>
    <x v="17"/>
    <x v="0"/>
    <x v="53"/>
    <x v="14"/>
    <x v="2"/>
    <x v="144"/>
    <x v="132"/>
  </r>
  <r>
    <n v="827"/>
    <x v="36"/>
    <x v="21"/>
    <x v="0"/>
    <x v="0"/>
    <x v="1"/>
    <x v="1"/>
    <x v="0"/>
    <x v="0"/>
    <x v="12"/>
    <x v="25"/>
    <x v="54"/>
    <x v="0"/>
    <x v="2"/>
    <x v="97"/>
    <x v="110"/>
  </r>
  <r>
    <n v="828"/>
    <x v="36"/>
    <x v="22"/>
    <x v="0"/>
    <x v="0"/>
    <x v="1"/>
    <x v="1"/>
    <x v="0"/>
    <x v="0"/>
    <x v="12"/>
    <x v="25"/>
    <x v="54"/>
    <x v="0"/>
    <x v="2"/>
    <x v="77"/>
    <x v="69"/>
  </r>
  <r>
    <n v="829"/>
    <x v="36"/>
    <x v="23"/>
    <x v="0"/>
    <x v="0"/>
    <x v="1"/>
    <x v="1"/>
    <x v="0"/>
    <x v="0"/>
    <x v="0"/>
    <x v="0"/>
    <x v="55"/>
    <x v="0"/>
    <x v="17"/>
    <x v="16"/>
    <x v="33"/>
  </r>
  <r>
    <n v="830"/>
    <x v="37"/>
    <x v="0"/>
    <x v="0"/>
    <x v="0"/>
    <x v="2"/>
    <x v="2"/>
    <x v="0"/>
    <x v="0"/>
    <x v="0"/>
    <x v="0"/>
    <x v="55"/>
    <x v="0"/>
    <x v="5"/>
    <x v="88"/>
    <x v="93"/>
  </r>
  <r>
    <n v="831"/>
    <x v="37"/>
    <x v="1"/>
    <x v="0"/>
    <x v="0"/>
    <x v="2"/>
    <x v="2"/>
    <x v="0"/>
    <x v="0"/>
    <x v="1"/>
    <x v="1"/>
    <x v="2"/>
    <x v="0"/>
    <x v="5"/>
    <x v="22"/>
    <x v="36"/>
  </r>
  <r>
    <n v="832"/>
    <x v="37"/>
    <x v="2"/>
    <x v="0"/>
    <x v="0"/>
    <x v="2"/>
    <x v="2"/>
    <x v="0"/>
    <x v="0"/>
    <x v="2"/>
    <x v="2"/>
    <x v="1"/>
    <x v="0"/>
    <x v="3"/>
    <x v="35"/>
    <x v="6"/>
  </r>
  <r>
    <n v="833"/>
    <x v="37"/>
    <x v="3"/>
    <x v="0"/>
    <x v="0"/>
    <x v="2"/>
    <x v="2"/>
    <x v="0"/>
    <x v="0"/>
    <x v="2"/>
    <x v="2"/>
    <x v="3"/>
    <x v="0"/>
    <x v="3"/>
    <x v="4"/>
    <x v="4"/>
  </r>
  <r>
    <n v="834"/>
    <x v="37"/>
    <x v="4"/>
    <x v="0"/>
    <x v="0"/>
    <x v="2"/>
    <x v="2"/>
    <x v="0"/>
    <x v="0"/>
    <x v="2"/>
    <x v="2"/>
    <x v="3"/>
    <x v="0"/>
    <x v="5"/>
    <x v="4"/>
    <x v="5"/>
  </r>
  <r>
    <n v="835"/>
    <x v="37"/>
    <x v="5"/>
    <x v="0"/>
    <x v="0"/>
    <x v="2"/>
    <x v="2"/>
    <x v="0"/>
    <x v="0"/>
    <x v="2"/>
    <x v="2"/>
    <x v="3"/>
    <x v="0"/>
    <x v="5"/>
    <x v="33"/>
    <x v="98"/>
  </r>
  <r>
    <n v="836"/>
    <x v="37"/>
    <x v="6"/>
    <x v="0"/>
    <x v="0"/>
    <x v="2"/>
    <x v="2"/>
    <x v="0"/>
    <x v="0"/>
    <x v="15"/>
    <x v="19"/>
    <x v="43"/>
    <x v="0"/>
    <x v="5"/>
    <x v="31"/>
    <x v="33"/>
  </r>
  <r>
    <n v="837"/>
    <x v="37"/>
    <x v="7"/>
    <x v="0"/>
    <x v="0"/>
    <x v="2"/>
    <x v="2"/>
    <x v="0"/>
    <x v="0"/>
    <x v="15"/>
    <x v="19"/>
    <x v="3"/>
    <x v="0"/>
    <x v="15"/>
    <x v="121"/>
    <x v="76"/>
  </r>
  <r>
    <n v="838"/>
    <x v="37"/>
    <x v="8"/>
    <x v="0"/>
    <x v="0"/>
    <x v="2"/>
    <x v="2"/>
    <x v="1"/>
    <x v="1"/>
    <x v="13"/>
    <x v="11"/>
    <x v="11"/>
    <x v="0"/>
    <x v="18"/>
    <x v="169"/>
    <x v="179"/>
  </r>
  <r>
    <n v="839"/>
    <x v="37"/>
    <x v="9"/>
    <x v="0"/>
    <x v="0"/>
    <x v="2"/>
    <x v="2"/>
    <x v="0"/>
    <x v="0"/>
    <x v="1"/>
    <x v="1"/>
    <x v="1"/>
    <x v="0"/>
    <x v="0"/>
    <x v="168"/>
    <x v="130"/>
  </r>
  <r>
    <n v="840"/>
    <x v="37"/>
    <x v="10"/>
    <x v="0"/>
    <x v="0"/>
    <x v="2"/>
    <x v="2"/>
    <x v="0"/>
    <x v="0"/>
    <x v="0"/>
    <x v="2"/>
    <x v="2"/>
    <x v="14"/>
    <x v="15"/>
    <x v="47"/>
    <x v="97"/>
  </r>
  <r>
    <n v="841"/>
    <x v="37"/>
    <x v="11"/>
    <x v="0"/>
    <x v="0"/>
    <x v="2"/>
    <x v="2"/>
    <x v="0"/>
    <x v="0"/>
    <x v="11"/>
    <x v="21"/>
    <x v="55"/>
    <x v="1"/>
    <x v="16"/>
    <x v="49"/>
    <x v="105"/>
  </r>
  <r>
    <n v="842"/>
    <x v="37"/>
    <x v="12"/>
    <x v="0"/>
    <x v="0"/>
    <x v="2"/>
    <x v="2"/>
    <x v="1"/>
    <x v="1"/>
    <x v="3"/>
    <x v="4"/>
    <x v="51"/>
    <x v="0"/>
    <x v="18"/>
    <x v="79"/>
    <x v="180"/>
  </r>
  <r>
    <n v="843"/>
    <x v="37"/>
    <x v="13"/>
    <x v="0"/>
    <x v="0"/>
    <x v="2"/>
    <x v="2"/>
    <x v="1"/>
    <x v="1"/>
    <x v="5"/>
    <x v="30"/>
    <x v="14"/>
    <x v="1"/>
    <x v="22"/>
    <x v="25"/>
    <x v="37"/>
  </r>
  <r>
    <n v="844"/>
    <x v="37"/>
    <x v="14"/>
    <x v="0"/>
    <x v="0"/>
    <x v="2"/>
    <x v="2"/>
    <x v="1"/>
    <x v="1"/>
    <x v="5"/>
    <x v="30"/>
    <x v="14"/>
    <x v="1"/>
    <x v="1"/>
    <x v="15"/>
    <x v="122"/>
  </r>
  <r>
    <n v="845"/>
    <x v="37"/>
    <x v="15"/>
    <x v="0"/>
    <x v="0"/>
    <x v="2"/>
    <x v="2"/>
    <x v="1"/>
    <x v="1"/>
    <x v="4"/>
    <x v="5"/>
    <x v="47"/>
    <x v="1"/>
    <x v="17"/>
    <x v="24"/>
    <x v="89"/>
  </r>
  <r>
    <n v="846"/>
    <x v="37"/>
    <x v="16"/>
    <x v="0"/>
    <x v="0"/>
    <x v="2"/>
    <x v="2"/>
    <x v="1"/>
    <x v="1"/>
    <x v="5"/>
    <x v="4"/>
    <x v="14"/>
    <x v="7"/>
    <x v="19"/>
    <x v="52"/>
    <x v="181"/>
  </r>
  <r>
    <n v="847"/>
    <x v="37"/>
    <x v="17"/>
    <x v="0"/>
    <x v="0"/>
    <x v="2"/>
    <x v="2"/>
    <x v="1"/>
    <x v="1"/>
    <x v="3"/>
    <x v="21"/>
    <x v="56"/>
    <x v="8"/>
    <x v="14"/>
    <x v="134"/>
    <x v="182"/>
  </r>
  <r>
    <n v="848"/>
    <x v="37"/>
    <x v="18"/>
    <x v="0"/>
    <x v="0"/>
    <x v="2"/>
    <x v="2"/>
    <x v="1"/>
    <x v="1"/>
    <x v="10"/>
    <x v="6"/>
    <x v="13"/>
    <x v="7"/>
    <x v="2"/>
    <x v="162"/>
    <x v="172"/>
  </r>
  <r>
    <n v="849"/>
    <x v="37"/>
    <x v="19"/>
    <x v="0"/>
    <x v="0"/>
    <x v="2"/>
    <x v="2"/>
    <x v="1"/>
    <x v="1"/>
    <x v="3"/>
    <x v="4"/>
    <x v="56"/>
    <x v="0"/>
    <x v="2"/>
    <x v="170"/>
    <x v="116"/>
  </r>
  <r>
    <n v="850"/>
    <x v="37"/>
    <x v="20"/>
    <x v="0"/>
    <x v="0"/>
    <x v="2"/>
    <x v="2"/>
    <x v="1"/>
    <x v="1"/>
    <x v="3"/>
    <x v="6"/>
    <x v="56"/>
    <x v="14"/>
    <x v="15"/>
    <x v="70"/>
    <x v="39"/>
  </r>
  <r>
    <n v="851"/>
    <x v="37"/>
    <x v="21"/>
    <x v="0"/>
    <x v="0"/>
    <x v="2"/>
    <x v="2"/>
    <x v="0"/>
    <x v="0"/>
    <x v="3"/>
    <x v="4"/>
    <x v="56"/>
    <x v="0"/>
    <x v="0"/>
    <x v="102"/>
    <x v="53"/>
  </r>
  <r>
    <n v="852"/>
    <x v="37"/>
    <x v="22"/>
    <x v="0"/>
    <x v="0"/>
    <x v="2"/>
    <x v="2"/>
    <x v="0"/>
    <x v="0"/>
    <x v="17"/>
    <x v="25"/>
    <x v="0"/>
    <x v="1"/>
    <x v="0"/>
    <x v="60"/>
    <x v="18"/>
  </r>
  <r>
    <n v="853"/>
    <x v="37"/>
    <x v="23"/>
    <x v="0"/>
    <x v="0"/>
    <x v="2"/>
    <x v="2"/>
    <x v="1"/>
    <x v="1"/>
    <x v="11"/>
    <x v="6"/>
    <x v="0"/>
    <x v="0"/>
    <x v="15"/>
    <x v="23"/>
    <x v="94"/>
  </r>
  <r>
    <n v="854"/>
    <x v="38"/>
    <x v="0"/>
    <x v="0"/>
    <x v="0"/>
    <x v="3"/>
    <x v="3"/>
    <x v="1"/>
    <x v="1"/>
    <x v="17"/>
    <x v="21"/>
    <x v="9"/>
    <x v="0"/>
    <x v="17"/>
    <x v="8"/>
    <x v="98"/>
  </r>
  <r>
    <n v="855"/>
    <x v="38"/>
    <x v="1"/>
    <x v="0"/>
    <x v="0"/>
    <x v="3"/>
    <x v="3"/>
    <x v="1"/>
    <x v="1"/>
    <x v="17"/>
    <x v="21"/>
    <x v="9"/>
    <x v="0"/>
    <x v="3"/>
    <x v="22"/>
    <x v="48"/>
  </r>
  <r>
    <n v="856"/>
    <x v="38"/>
    <x v="2"/>
    <x v="0"/>
    <x v="0"/>
    <x v="3"/>
    <x v="3"/>
    <x v="1"/>
    <x v="1"/>
    <x v="12"/>
    <x v="1"/>
    <x v="43"/>
    <x v="14"/>
    <x v="5"/>
    <x v="4"/>
    <x v="5"/>
  </r>
  <r>
    <n v="857"/>
    <x v="38"/>
    <x v="3"/>
    <x v="0"/>
    <x v="0"/>
    <x v="3"/>
    <x v="3"/>
    <x v="2"/>
    <x v="2"/>
    <x v="17"/>
    <x v="1"/>
    <x v="43"/>
    <x v="8"/>
    <x v="3"/>
    <x v="4"/>
    <x v="4"/>
  </r>
  <r>
    <n v="858"/>
    <x v="38"/>
    <x v="4"/>
    <x v="0"/>
    <x v="0"/>
    <x v="3"/>
    <x v="3"/>
    <x v="0"/>
    <x v="0"/>
    <x v="12"/>
    <x v="2"/>
    <x v="43"/>
    <x v="8"/>
    <x v="3"/>
    <x v="35"/>
    <x v="6"/>
  </r>
  <r>
    <n v="859"/>
    <x v="38"/>
    <x v="5"/>
    <x v="0"/>
    <x v="0"/>
    <x v="3"/>
    <x v="3"/>
    <x v="0"/>
    <x v="0"/>
    <x v="12"/>
    <x v="11"/>
    <x v="0"/>
    <x v="9"/>
    <x v="3"/>
    <x v="6"/>
    <x v="5"/>
  </r>
  <r>
    <n v="860"/>
    <x v="38"/>
    <x v="6"/>
    <x v="0"/>
    <x v="0"/>
    <x v="3"/>
    <x v="3"/>
    <x v="0"/>
    <x v="0"/>
    <x v="12"/>
    <x v="11"/>
    <x v="56"/>
    <x v="9"/>
    <x v="3"/>
    <x v="87"/>
    <x v="21"/>
  </r>
  <r>
    <n v="861"/>
    <x v="38"/>
    <x v="7"/>
    <x v="0"/>
    <x v="0"/>
    <x v="3"/>
    <x v="3"/>
    <x v="0"/>
    <x v="0"/>
    <x v="0"/>
    <x v="13"/>
    <x v="55"/>
    <x v="12"/>
    <x v="0"/>
    <x v="106"/>
    <x v="50"/>
  </r>
  <r>
    <n v="862"/>
    <x v="38"/>
    <x v="8"/>
    <x v="0"/>
    <x v="0"/>
    <x v="3"/>
    <x v="3"/>
    <x v="0"/>
    <x v="0"/>
    <x v="0"/>
    <x v="13"/>
    <x v="34"/>
    <x v="15"/>
    <x v="18"/>
    <x v="171"/>
    <x v="183"/>
  </r>
  <r>
    <n v="863"/>
    <x v="38"/>
    <x v="9"/>
    <x v="0"/>
    <x v="0"/>
    <x v="3"/>
    <x v="3"/>
    <x v="0"/>
    <x v="0"/>
    <x v="0"/>
    <x v="13"/>
    <x v="35"/>
    <x v="15"/>
    <x v="18"/>
    <x v="172"/>
    <x v="169"/>
  </r>
  <r>
    <n v="864"/>
    <x v="38"/>
    <x v="10"/>
    <x v="0"/>
    <x v="0"/>
    <x v="3"/>
    <x v="3"/>
    <x v="0"/>
    <x v="0"/>
    <x v="1"/>
    <x v="18"/>
    <x v="19"/>
    <x v="16"/>
    <x v="17"/>
    <x v="100"/>
    <x v="61"/>
  </r>
  <r>
    <n v="865"/>
    <x v="38"/>
    <x v="11"/>
    <x v="0"/>
    <x v="0"/>
    <x v="3"/>
    <x v="3"/>
    <x v="0"/>
    <x v="0"/>
    <x v="1"/>
    <x v="18"/>
    <x v="19"/>
    <x v="17"/>
    <x v="5"/>
    <x v="47"/>
    <x v="89"/>
  </r>
  <r>
    <n v="866"/>
    <x v="38"/>
    <x v="12"/>
    <x v="0"/>
    <x v="0"/>
    <x v="3"/>
    <x v="3"/>
    <x v="0"/>
    <x v="0"/>
    <x v="0"/>
    <x v="13"/>
    <x v="41"/>
    <x v="15"/>
    <x v="4"/>
    <x v="36"/>
    <x v="32"/>
  </r>
  <r>
    <n v="867"/>
    <x v="38"/>
    <x v="13"/>
    <x v="0"/>
    <x v="0"/>
    <x v="3"/>
    <x v="3"/>
    <x v="1"/>
    <x v="1"/>
    <x v="0"/>
    <x v="13"/>
    <x v="25"/>
    <x v="10"/>
    <x v="4"/>
    <x v="41"/>
    <x v="89"/>
  </r>
  <r>
    <n v="868"/>
    <x v="38"/>
    <x v="14"/>
    <x v="0"/>
    <x v="0"/>
    <x v="3"/>
    <x v="3"/>
    <x v="0"/>
    <x v="0"/>
    <x v="1"/>
    <x v="13"/>
    <x v="38"/>
    <x v="12"/>
    <x v="0"/>
    <x v="124"/>
    <x v="37"/>
  </r>
  <r>
    <n v="869"/>
    <x v="38"/>
    <x v="15"/>
    <x v="0"/>
    <x v="0"/>
    <x v="3"/>
    <x v="3"/>
    <x v="0"/>
    <x v="0"/>
    <x v="1"/>
    <x v="13"/>
    <x v="23"/>
    <x v="13"/>
    <x v="15"/>
    <x v="108"/>
    <x v="41"/>
  </r>
  <r>
    <n v="870"/>
    <x v="38"/>
    <x v="16"/>
    <x v="0"/>
    <x v="0"/>
    <x v="3"/>
    <x v="3"/>
    <x v="0"/>
    <x v="0"/>
    <x v="1"/>
    <x v="18"/>
    <x v="23"/>
    <x v="18"/>
    <x v="17"/>
    <x v="55"/>
    <x v="56"/>
  </r>
  <r>
    <n v="871"/>
    <x v="38"/>
    <x v="17"/>
    <x v="0"/>
    <x v="0"/>
    <x v="3"/>
    <x v="3"/>
    <x v="0"/>
    <x v="0"/>
    <x v="1"/>
    <x v="18"/>
    <x v="25"/>
    <x v="19"/>
    <x v="17"/>
    <x v="157"/>
    <x v="170"/>
  </r>
  <r>
    <n v="872"/>
    <x v="38"/>
    <x v="18"/>
    <x v="0"/>
    <x v="0"/>
    <x v="3"/>
    <x v="3"/>
    <x v="0"/>
    <x v="0"/>
    <x v="2"/>
    <x v="18"/>
    <x v="25"/>
    <x v="13"/>
    <x v="5"/>
    <x v="137"/>
    <x v="148"/>
  </r>
  <r>
    <n v="873"/>
    <x v="38"/>
    <x v="19"/>
    <x v="0"/>
    <x v="0"/>
    <x v="3"/>
    <x v="3"/>
    <x v="0"/>
    <x v="0"/>
    <x v="13"/>
    <x v="16"/>
    <x v="22"/>
    <x v="17"/>
    <x v="5"/>
    <x v="129"/>
    <x v="129"/>
  </r>
  <r>
    <n v="874"/>
    <x v="38"/>
    <x v="20"/>
    <x v="0"/>
    <x v="0"/>
    <x v="3"/>
    <x v="3"/>
    <x v="0"/>
    <x v="0"/>
    <x v="13"/>
    <x v="14"/>
    <x v="22"/>
    <x v="9"/>
    <x v="0"/>
    <x v="42"/>
    <x v="10"/>
  </r>
  <r>
    <n v="875"/>
    <x v="38"/>
    <x v="21"/>
    <x v="0"/>
    <x v="0"/>
    <x v="3"/>
    <x v="3"/>
    <x v="0"/>
    <x v="0"/>
    <x v="14"/>
    <x v="15"/>
    <x v="39"/>
    <x v="17"/>
    <x v="1"/>
    <x v="24"/>
    <x v="60"/>
  </r>
  <r>
    <n v="876"/>
    <x v="38"/>
    <x v="22"/>
    <x v="0"/>
    <x v="0"/>
    <x v="3"/>
    <x v="3"/>
    <x v="0"/>
    <x v="0"/>
    <x v="16"/>
    <x v="15"/>
    <x v="39"/>
    <x v="11"/>
    <x v="3"/>
    <x v="31"/>
    <x v="115"/>
  </r>
  <r>
    <n v="877"/>
    <x v="38"/>
    <x v="23"/>
    <x v="0"/>
    <x v="0"/>
    <x v="3"/>
    <x v="3"/>
    <x v="0"/>
    <x v="0"/>
    <x v="16"/>
    <x v="15"/>
    <x v="39"/>
    <x v="9"/>
    <x v="0"/>
    <x v="33"/>
    <x v="47"/>
  </r>
  <r>
    <n v="878"/>
    <x v="39"/>
    <x v="0"/>
    <x v="0"/>
    <x v="0"/>
    <x v="4"/>
    <x v="4"/>
    <x v="0"/>
    <x v="0"/>
    <x v="18"/>
    <x v="23"/>
    <x v="42"/>
    <x v="11"/>
    <x v="3"/>
    <x v="19"/>
    <x v="22"/>
  </r>
  <r>
    <n v="879"/>
    <x v="39"/>
    <x v="1"/>
    <x v="0"/>
    <x v="0"/>
    <x v="4"/>
    <x v="4"/>
    <x v="0"/>
    <x v="0"/>
    <x v="18"/>
    <x v="15"/>
    <x v="42"/>
    <x v="6"/>
    <x v="3"/>
    <x v="7"/>
    <x v="85"/>
  </r>
  <r>
    <n v="880"/>
    <x v="39"/>
    <x v="2"/>
    <x v="0"/>
    <x v="0"/>
    <x v="4"/>
    <x v="4"/>
    <x v="0"/>
    <x v="0"/>
    <x v="19"/>
    <x v="23"/>
    <x v="41"/>
    <x v="3"/>
    <x v="5"/>
    <x v="6"/>
    <x v="6"/>
  </r>
  <r>
    <n v="881"/>
    <x v="39"/>
    <x v="3"/>
    <x v="0"/>
    <x v="0"/>
    <x v="4"/>
    <x v="4"/>
    <x v="0"/>
    <x v="0"/>
    <x v="20"/>
    <x v="23"/>
    <x v="49"/>
    <x v="7"/>
    <x v="3"/>
    <x v="6"/>
    <x v="5"/>
  </r>
  <r>
    <n v="882"/>
    <x v="39"/>
    <x v="5"/>
    <x v="0"/>
    <x v="0"/>
    <x v="4"/>
    <x v="4"/>
    <x v="0"/>
    <x v="0"/>
    <x v="20"/>
    <x v="15"/>
    <x v="49"/>
    <x v="14"/>
    <x v="3"/>
    <x v="7"/>
    <x v="85"/>
  </r>
  <r>
    <n v="883"/>
    <x v="39"/>
    <x v="6"/>
    <x v="0"/>
    <x v="0"/>
    <x v="4"/>
    <x v="4"/>
    <x v="0"/>
    <x v="0"/>
    <x v="20"/>
    <x v="20"/>
    <x v="49"/>
    <x v="0"/>
    <x v="3"/>
    <x v="30"/>
    <x v="74"/>
  </r>
  <r>
    <n v="884"/>
    <x v="39"/>
    <x v="7"/>
    <x v="0"/>
    <x v="0"/>
    <x v="4"/>
    <x v="4"/>
    <x v="0"/>
    <x v="0"/>
    <x v="20"/>
    <x v="15"/>
    <x v="36"/>
    <x v="14"/>
    <x v="17"/>
    <x v="73"/>
    <x v="111"/>
  </r>
  <r>
    <n v="885"/>
    <x v="39"/>
    <x v="8"/>
    <x v="0"/>
    <x v="0"/>
    <x v="4"/>
    <x v="4"/>
    <x v="0"/>
    <x v="0"/>
    <x v="18"/>
    <x v="14"/>
    <x v="16"/>
    <x v="0"/>
    <x v="5"/>
    <x v="173"/>
    <x v="184"/>
  </r>
  <r>
    <n v="886"/>
    <x v="39"/>
    <x v="9"/>
    <x v="0"/>
    <x v="0"/>
    <x v="4"/>
    <x v="4"/>
    <x v="0"/>
    <x v="0"/>
    <x v="16"/>
    <x v="14"/>
    <x v="17"/>
    <x v="8"/>
    <x v="17"/>
    <x v="138"/>
    <x v="92"/>
  </r>
  <r>
    <n v="887"/>
    <x v="39"/>
    <x v="10"/>
    <x v="0"/>
    <x v="0"/>
    <x v="4"/>
    <x v="4"/>
    <x v="0"/>
    <x v="0"/>
    <x v="14"/>
    <x v="18"/>
    <x v="42"/>
    <x v="0"/>
    <x v="1"/>
    <x v="82"/>
    <x v="29"/>
  </r>
  <r>
    <n v="888"/>
    <x v="39"/>
    <x v="11"/>
    <x v="0"/>
    <x v="0"/>
    <x v="4"/>
    <x v="4"/>
    <x v="1"/>
    <x v="1"/>
    <x v="14"/>
    <x v="20"/>
    <x v="21"/>
    <x v="8"/>
    <x v="5"/>
    <x v="71"/>
    <x v="102"/>
  </r>
  <r>
    <n v="889"/>
    <x v="39"/>
    <x v="12"/>
    <x v="0"/>
    <x v="0"/>
    <x v="4"/>
    <x v="4"/>
    <x v="1"/>
    <x v="1"/>
    <x v="15"/>
    <x v="18"/>
    <x v="22"/>
    <x v="6"/>
    <x v="17"/>
    <x v="77"/>
    <x v="42"/>
  </r>
  <r>
    <n v="890"/>
    <x v="39"/>
    <x v="13"/>
    <x v="0"/>
    <x v="0"/>
    <x v="4"/>
    <x v="4"/>
    <x v="0"/>
    <x v="0"/>
    <x v="15"/>
    <x v="17"/>
    <x v="22"/>
    <x v="2"/>
    <x v="4"/>
    <x v="28"/>
    <x v="83"/>
  </r>
  <r>
    <n v="891"/>
    <x v="39"/>
    <x v="14"/>
    <x v="0"/>
    <x v="0"/>
    <x v="4"/>
    <x v="4"/>
    <x v="0"/>
    <x v="0"/>
    <x v="2"/>
    <x v="18"/>
    <x v="46"/>
    <x v="4"/>
    <x v="4"/>
    <x v="90"/>
    <x v="154"/>
  </r>
  <r>
    <n v="892"/>
    <x v="39"/>
    <x v="15"/>
    <x v="0"/>
    <x v="0"/>
    <x v="4"/>
    <x v="4"/>
    <x v="1"/>
    <x v="1"/>
    <x v="2"/>
    <x v="18"/>
    <x v="46"/>
    <x v="3"/>
    <x v="0"/>
    <x v="124"/>
    <x v="37"/>
  </r>
  <r>
    <n v="893"/>
    <x v="39"/>
    <x v="16"/>
    <x v="0"/>
    <x v="0"/>
    <x v="4"/>
    <x v="4"/>
    <x v="1"/>
    <x v="1"/>
    <x v="2"/>
    <x v="13"/>
    <x v="38"/>
    <x v="2"/>
    <x v="18"/>
    <x v="109"/>
    <x v="67"/>
  </r>
  <r>
    <n v="894"/>
    <x v="39"/>
    <x v="17"/>
    <x v="0"/>
    <x v="0"/>
    <x v="4"/>
    <x v="4"/>
    <x v="1"/>
    <x v="1"/>
    <x v="2"/>
    <x v="13"/>
    <x v="46"/>
    <x v="2"/>
    <x v="14"/>
    <x v="174"/>
    <x v="150"/>
  </r>
  <r>
    <n v="895"/>
    <x v="39"/>
    <x v="18"/>
    <x v="0"/>
    <x v="0"/>
    <x v="4"/>
    <x v="4"/>
    <x v="1"/>
    <x v="1"/>
    <x v="15"/>
    <x v="17"/>
    <x v="19"/>
    <x v="4"/>
    <x v="4"/>
    <x v="175"/>
    <x v="185"/>
  </r>
  <r>
    <n v="896"/>
    <x v="39"/>
    <x v="19"/>
    <x v="0"/>
    <x v="0"/>
    <x v="4"/>
    <x v="4"/>
    <x v="2"/>
    <x v="2"/>
    <x v="14"/>
    <x v="16"/>
    <x v="3"/>
    <x v="2"/>
    <x v="5"/>
    <x v="61"/>
    <x v="39"/>
  </r>
  <r>
    <n v="897"/>
    <x v="39"/>
    <x v="20"/>
    <x v="0"/>
    <x v="0"/>
    <x v="4"/>
    <x v="4"/>
    <x v="2"/>
    <x v="2"/>
    <x v="14"/>
    <x v="20"/>
    <x v="3"/>
    <x v="8"/>
    <x v="3"/>
    <x v="151"/>
    <x v="11"/>
  </r>
  <r>
    <n v="898"/>
    <x v="39"/>
    <x v="21"/>
    <x v="0"/>
    <x v="0"/>
    <x v="4"/>
    <x v="4"/>
    <x v="1"/>
    <x v="1"/>
    <x v="14"/>
    <x v="20"/>
    <x v="3"/>
    <x v="8"/>
    <x v="3"/>
    <x v="93"/>
    <x v="56"/>
  </r>
  <r>
    <n v="899"/>
    <x v="39"/>
    <x v="22"/>
    <x v="0"/>
    <x v="0"/>
    <x v="4"/>
    <x v="4"/>
    <x v="2"/>
    <x v="2"/>
    <x v="13"/>
    <x v="17"/>
    <x v="1"/>
    <x v="8"/>
    <x v="17"/>
    <x v="76"/>
    <x v="66"/>
  </r>
  <r>
    <n v="900"/>
    <x v="39"/>
    <x v="23"/>
    <x v="0"/>
    <x v="0"/>
    <x v="4"/>
    <x v="4"/>
    <x v="2"/>
    <x v="2"/>
    <x v="13"/>
    <x v="20"/>
    <x v="1"/>
    <x v="5"/>
    <x v="3"/>
    <x v="53"/>
    <x v="18"/>
  </r>
  <r>
    <n v="901"/>
    <x v="40"/>
    <x v="0"/>
    <x v="0"/>
    <x v="0"/>
    <x v="5"/>
    <x v="5"/>
    <x v="2"/>
    <x v="2"/>
    <x v="14"/>
    <x v="14"/>
    <x v="3"/>
    <x v="5"/>
    <x v="3"/>
    <x v="20"/>
    <x v="0"/>
  </r>
  <r>
    <n v="902"/>
    <x v="40"/>
    <x v="1"/>
    <x v="0"/>
    <x v="0"/>
    <x v="5"/>
    <x v="5"/>
    <x v="2"/>
    <x v="2"/>
    <x v="14"/>
    <x v="20"/>
    <x v="1"/>
    <x v="7"/>
    <x v="3"/>
    <x v="7"/>
    <x v="85"/>
  </r>
  <r>
    <n v="903"/>
    <x v="40"/>
    <x v="2"/>
    <x v="0"/>
    <x v="0"/>
    <x v="5"/>
    <x v="5"/>
    <x v="2"/>
    <x v="2"/>
    <x v="14"/>
    <x v="20"/>
    <x v="1"/>
    <x v="7"/>
    <x v="3"/>
    <x v="35"/>
    <x v="6"/>
  </r>
  <r>
    <n v="904"/>
    <x v="40"/>
    <x v="4"/>
    <x v="0"/>
    <x v="0"/>
    <x v="5"/>
    <x v="5"/>
    <x v="1"/>
    <x v="1"/>
    <x v="14"/>
    <x v="14"/>
    <x v="29"/>
    <x v="6"/>
    <x v="3"/>
    <x v="4"/>
    <x v="4"/>
  </r>
  <r>
    <n v="905"/>
    <x v="40"/>
    <x v="5"/>
    <x v="0"/>
    <x v="0"/>
    <x v="5"/>
    <x v="5"/>
    <x v="1"/>
    <x v="1"/>
    <x v="16"/>
    <x v="16"/>
    <x v="20"/>
    <x v="6"/>
    <x v="3"/>
    <x v="8"/>
    <x v="24"/>
  </r>
  <r>
    <n v="906"/>
    <x v="40"/>
    <x v="6"/>
    <x v="0"/>
    <x v="0"/>
    <x v="5"/>
    <x v="5"/>
    <x v="1"/>
    <x v="1"/>
    <x v="16"/>
    <x v="16"/>
    <x v="47"/>
    <x v="3"/>
    <x v="3"/>
    <x v="16"/>
    <x v="132"/>
  </r>
  <r>
    <n v="907"/>
    <x v="40"/>
    <x v="7"/>
    <x v="0"/>
    <x v="0"/>
    <x v="5"/>
    <x v="5"/>
    <x v="0"/>
    <x v="0"/>
    <x v="18"/>
    <x v="23"/>
    <x v="20"/>
    <x v="12"/>
    <x v="3"/>
    <x v="176"/>
    <x v="111"/>
  </r>
  <r>
    <n v="908"/>
    <x v="40"/>
    <x v="8"/>
    <x v="0"/>
    <x v="0"/>
    <x v="5"/>
    <x v="5"/>
    <x v="0"/>
    <x v="0"/>
    <x v="18"/>
    <x v="23"/>
    <x v="36"/>
    <x v="9"/>
    <x v="2"/>
    <x v="177"/>
    <x v="106"/>
  </r>
  <r>
    <n v="909"/>
    <x v="40"/>
    <x v="9"/>
    <x v="0"/>
    <x v="0"/>
    <x v="5"/>
    <x v="5"/>
    <x v="0"/>
    <x v="0"/>
    <x v="16"/>
    <x v="15"/>
    <x v="16"/>
    <x v="11"/>
    <x v="5"/>
    <x v="178"/>
    <x v="78"/>
  </r>
  <r>
    <n v="910"/>
    <x v="40"/>
    <x v="10"/>
    <x v="0"/>
    <x v="0"/>
    <x v="5"/>
    <x v="5"/>
    <x v="0"/>
    <x v="0"/>
    <x v="16"/>
    <x v="15"/>
    <x v="16"/>
    <x v="4"/>
    <x v="5"/>
    <x v="60"/>
    <x v="17"/>
  </r>
  <r>
    <n v="911"/>
    <x v="40"/>
    <x v="11"/>
    <x v="0"/>
    <x v="0"/>
    <x v="5"/>
    <x v="5"/>
    <x v="0"/>
    <x v="0"/>
    <x v="14"/>
    <x v="16"/>
    <x v="17"/>
    <x v="11"/>
    <x v="5"/>
    <x v="100"/>
    <x v="79"/>
  </r>
  <r>
    <n v="912"/>
    <x v="40"/>
    <x v="12"/>
    <x v="0"/>
    <x v="0"/>
    <x v="5"/>
    <x v="5"/>
    <x v="0"/>
    <x v="0"/>
    <x v="13"/>
    <x v="14"/>
    <x v="46"/>
    <x v="13"/>
    <x v="17"/>
    <x v="65"/>
    <x v="83"/>
  </r>
  <r>
    <n v="913"/>
    <x v="40"/>
    <x v="13"/>
    <x v="0"/>
    <x v="0"/>
    <x v="5"/>
    <x v="5"/>
    <x v="0"/>
    <x v="0"/>
    <x v="15"/>
    <x v="17"/>
    <x v="44"/>
    <x v="4"/>
    <x v="0"/>
    <x v="79"/>
    <x v="69"/>
  </r>
  <r>
    <n v="914"/>
    <x v="40"/>
    <x v="14"/>
    <x v="0"/>
    <x v="0"/>
    <x v="5"/>
    <x v="5"/>
    <x v="0"/>
    <x v="0"/>
    <x v="2"/>
    <x v="18"/>
    <x v="57"/>
    <x v="3"/>
    <x v="15"/>
    <x v="76"/>
    <x v="61"/>
  </r>
  <r>
    <n v="915"/>
    <x v="40"/>
    <x v="15"/>
    <x v="0"/>
    <x v="0"/>
    <x v="5"/>
    <x v="5"/>
    <x v="0"/>
    <x v="0"/>
    <x v="2"/>
    <x v="13"/>
    <x v="59"/>
    <x v="2"/>
    <x v="3"/>
    <x v="54"/>
    <x v="89"/>
  </r>
  <r>
    <n v="916"/>
    <x v="40"/>
    <x v="16"/>
    <x v="0"/>
    <x v="0"/>
    <x v="5"/>
    <x v="5"/>
    <x v="0"/>
    <x v="0"/>
    <x v="2"/>
    <x v="18"/>
    <x v="57"/>
    <x v="4"/>
    <x v="17"/>
    <x v="83"/>
    <x v="138"/>
  </r>
  <r>
    <n v="917"/>
    <x v="40"/>
    <x v="17"/>
    <x v="0"/>
    <x v="0"/>
    <x v="5"/>
    <x v="5"/>
    <x v="0"/>
    <x v="0"/>
    <x v="15"/>
    <x v="18"/>
    <x v="60"/>
    <x v="5"/>
    <x v="15"/>
    <x v="136"/>
    <x v="186"/>
  </r>
  <r>
    <n v="918"/>
    <x v="40"/>
    <x v="18"/>
    <x v="0"/>
    <x v="0"/>
    <x v="5"/>
    <x v="5"/>
    <x v="0"/>
    <x v="0"/>
    <x v="13"/>
    <x v="18"/>
    <x v="40"/>
    <x v="7"/>
    <x v="0"/>
    <x v="174"/>
    <x v="187"/>
  </r>
  <r>
    <n v="919"/>
    <x v="40"/>
    <x v="19"/>
    <x v="0"/>
    <x v="0"/>
    <x v="5"/>
    <x v="5"/>
    <x v="0"/>
    <x v="0"/>
    <x v="14"/>
    <x v="17"/>
    <x v="40"/>
    <x v="14"/>
    <x v="4"/>
    <x v="59"/>
    <x v="59"/>
  </r>
  <r>
    <n v="920"/>
    <x v="40"/>
    <x v="20"/>
    <x v="0"/>
    <x v="0"/>
    <x v="5"/>
    <x v="5"/>
    <x v="0"/>
    <x v="0"/>
    <x v="14"/>
    <x v="18"/>
    <x v="61"/>
    <x v="1"/>
    <x v="17"/>
    <x v="139"/>
    <x v="54"/>
  </r>
  <r>
    <n v="921"/>
    <x v="40"/>
    <x v="21"/>
    <x v="0"/>
    <x v="0"/>
    <x v="5"/>
    <x v="5"/>
    <x v="0"/>
    <x v="0"/>
    <x v="14"/>
    <x v="12"/>
    <x v="17"/>
    <x v="0"/>
    <x v="4"/>
    <x v="14"/>
    <x v="44"/>
  </r>
  <r>
    <n v="922"/>
    <x v="40"/>
    <x v="22"/>
    <x v="0"/>
    <x v="0"/>
    <x v="5"/>
    <x v="5"/>
    <x v="0"/>
    <x v="0"/>
    <x v="16"/>
    <x v="13"/>
    <x v="17"/>
    <x v="0"/>
    <x v="17"/>
    <x v="12"/>
    <x v="41"/>
  </r>
  <r>
    <n v="923"/>
    <x v="40"/>
    <x v="23"/>
    <x v="0"/>
    <x v="0"/>
    <x v="5"/>
    <x v="5"/>
    <x v="0"/>
    <x v="0"/>
    <x v="16"/>
    <x v="20"/>
    <x v="16"/>
    <x v="14"/>
    <x v="5"/>
    <x v="39"/>
    <x v="19"/>
  </r>
  <r>
    <n v="924"/>
    <x v="41"/>
    <x v="0"/>
    <x v="0"/>
    <x v="0"/>
    <x v="6"/>
    <x v="6"/>
    <x v="0"/>
    <x v="0"/>
    <x v="18"/>
    <x v="14"/>
    <x v="36"/>
    <x v="14"/>
    <x v="4"/>
    <x v="98"/>
    <x v="8"/>
  </r>
  <r>
    <n v="925"/>
    <x v="41"/>
    <x v="1"/>
    <x v="0"/>
    <x v="0"/>
    <x v="6"/>
    <x v="6"/>
    <x v="0"/>
    <x v="0"/>
    <x v="18"/>
    <x v="14"/>
    <x v="47"/>
    <x v="1"/>
    <x v="5"/>
    <x v="8"/>
    <x v="85"/>
  </r>
  <r>
    <n v="926"/>
    <x v="41"/>
    <x v="2"/>
    <x v="0"/>
    <x v="0"/>
    <x v="6"/>
    <x v="6"/>
    <x v="0"/>
    <x v="0"/>
    <x v="18"/>
    <x v="14"/>
    <x v="47"/>
    <x v="1"/>
    <x v="3"/>
    <x v="35"/>
    <x v="6"/>
  </r>
  <r>
    <n v="927"/>
    <x v="41"/>
    <x v="5"/>
    <x v="0"/>
    <x v="0"/>
    <x v="6"/>
    <x v="6"/>
    <x v="0"/>
    <x v="0"/>
    <x v="19"/>
    <x v="16"/>
    <x v="30"/>
    <x v="1"/>
    <x v="3"/>
    <x v="22"/>
    <x v="48"/>
  </r>
  <r>
    <n v="928"/>
    <x v="41"/>
    <x v="6"/>
    <x v="0"/>
    <x v="0"/>
    <x v="6"/>
    <x v="6"/>
    <x v="0"/>
    <x v="0"/>
    <x v="18"/>
    <x v="18"/>
    <x v="31"/>
    <x v="0"/>
    <x v="5"/>
    <x v="140"/>
    <x v="108"/>
  </r>
  <r>
    <n v="929"/>
    <x v="41"/>
    <x v="7"/>
    <x v="0"/>
    <x v="0"/>
    <x v="6"/>
    <x v="6"/>
    <x v="0"/>
    <x v="0"/>
    <x v="19"/>
    <x v="17"/>
    <x v="62"/>
    <x v="0"/>
    <x v="5"/>
    <x v="26"/>
    <x v="30"/>
  </r>
  <r>
    <n v="930"/>
    <x v="41"/>
    <x v="8"/>
    <x v="0"/>
    <x v="0"/>
    <x v="6"/>
    <x v="6"/>
    <x v="0"/>
    <x v="0"/>
    <x v="18"/>
    <x v="16"/>
    <x v="32"/>
    <x v="8"/>
    <x v="17"/>
    <x v="179"/>
    <x v="182"/>
  </r>
  <r>
    <n v="931"/>
    <x v="41"/>
    <x v="9"/>
    <x v="0"/>
    <x v="0"/>
    <x v="6"/>
    <x v="6"/>
    <x v="0"/>
    <x v="0"/>
    <x v="16"/>
    <x v="16"/>
    <x v="32"/>
    <x v="6"/>
    <x v="1"/>
    <x v="126"/>
    <x v="188"/>
  </r>
  <r>
    <n v="932"/>
    <x v="41"/>
    <x v="10"/>
    <x v="0"/>
    <x v="0"/>
    <x v="6"/>
    <x v="6"/>
    <x v="0"/>
    <x v="0"/>
    <x v="14"/>
    <x v="14"/>
    <x v="27"/>
    <x v="5"/>
    <x v="2"/>
    <x v="87"/>
    <x v="40"/>
  </r>
  <r>
    <n v="933"/>
    <x v="41"/>
    <x v="11"/>
    <x v="0"/>
    <x v="0"/>
    <x v="6"/>
    <x v="6"/>
    <x v="0"/>
    <x v="0"/>
    <x v="1"/>
    <x v="11"/>
    <x v="19"/>
    <x v="7"/>
    <x v="6"/>
    <x v="15"/>
    <x v="37"/>
  </r>
  <r>
    <n v="934"/>
    <x v="41"/>
    <x v="12"/>
    <x v="0"/>
    <x v="0"/>
    <x v="6"/>
    <x v="6"/>
    <x v="0"/>
    <x v="0"/>
    <x v="1"/>
    <x v="11"/>
    <x v="19"/>
    <x v="7"/>
    <x v="18"/>
    <x v="27"/>
    <x v="68"/>
  </r>
  <r>
    <n v="935"/>
    <x v="41"/>
    <x v="13"/>
    <x v="0"/>
    <x v="0"/>
    <x v="6"/>
    <x v="6"/>
    <x v="0"/>
    <x v="0"/>
    <x v="0"/>
    <x v="11"/>
    <x v="23"/>
    <x v="5"/>
    <x v="27"/>
    <x v="121"/>
    <x v="14"/>
  </r>
  <r>
    <n v="936"/>
    <x v="41"/>
    <x v="14"/>
    <x v="0"/>
    <x v="0"/>
    <x v="6"/>
    <x v="6"/>
    <x v="0"/>
    <x v="0"/>
    <x v="11"/>
    <x v="0"/>
    <x v="60"/>
    <x v="2"/>
    <x v="26"/>
    <x v="28"/>
    <x v="11"/>
  </r>
  <r>
    <n v="937"/>
    <x v="41"/>
    <x v="15"/>
    <x v="0"/>
    <x v="0"/>
    <x v="6"/>
    <x v="6"/>
    <x v="0"/>
    <x v="0"/>
    <x v="3"/>
    <x v="21"/>
    <x v="58"/>
    <x v="8"/>
    <x v="6"/>
    <x v="133"/>
    <x v="30"/>
  </r>
  <r>
    <n v="938"/>
    <x v="41"/>
    <x v="16"/>
    <x v="0"/>
    <x v="0"/>
    <x v="6"/>
    <x v="6"/>
    <x v="0"/>
    <x v="0"/>
    <x v="11"/>
    <x v="0"/>
    <x v="40"/>
    <x v="5"/>
    <x v="24"/>
    <x v="180"/>
    <x v="139"/>
  </r>
  <r>
    <n v="939"/>
    <x v="41"/>
    <x v="17"/>
    <x v="0"/>
    <x v="0"/>
    <x v="6"/>
    <x v="6"/>
    <x v="0"/>
    <x v="0"/>
    <x v="11"/>
    <x v="6"/>
    <x v="63"/>
    <x v="0"/>
    <x v="25"/>
    <x v="181"/>
    <x v="189"/>
  </r>
  <r>
    <n v="940"/>
    <x v="41"/>
    <x v="18"/>
    <x v="0"/>
    <x v="0"/>
    <x v="6"/>
    <x v="6"/>
    <x v="0"/>
    <x v="0"/>
    <x v="17"/>
    <x v="21"/>
    <x v="40"/>
    <x v="0"/>
    <x v="14"/>
    <x v="158"/>
    <x v="177"/>
  </r>
  <r>
    <n v="941"/>
    <x v="41"/>
    <x v="19"/>
    <x v="0"/>
    <x v="0"/>
    <x v="6"/>
    <x v="6"/>
    <x v="0"/>
    <x v="0"/>
    <x v="12"/>
    <x v="25"/>
    <x v="39"/>
    <x v="0"/>
    <x v="18"/>
    <x v="111"/>
    <x v="129"/>
  </r>
  <r>
    <n v="942"/>
    <x v="41"/>
    <x v="20"/>
    <x v="0"/>
    <x v="0"/>
    <x v="6"/>
    <x v="6"/>
    <x v="0"/>
    <x v="0"/>
    <x v="1"/>
    <x v="11"/>
    <x v="28"/>
    <x v="7"/>
    <x v="4"/>
    <x v="124"/>
    <x v="55"/>
  </r>
  <r>
    <n v="943"/>
    <x v="41"/>
    <x v="21"/>
    <x v="0"/>
    <x v="0"/>
    <x v="6"/>
    <x v="6"/>
    <x v="0"/>
    <x v="0"/>
    <x v="2"/>
    <x v="12"/>
    <x v="29"/>
    <x v="7"/>
    <x v="5"/>
    <x v="24"/>
    <x v="105"/>
  </r>
  <r>
    <n v="944"/>
    <x v="41"/>
    <x v="22"/>
    <x v="0"/>
    <x v="0"/>
    <x v="6"/>
    <x v="6"/>
    <x v="0"/>
    <x v="0"/>
    <x v="2"/>
    <x v="11"/>
    <x v="26"/>
    <x v="1"/>
    <x v="4"/>
    <x v="40"/>
    <x v="74"/>
  </r>
  <r>
    <n v="945"/>
    <x v="41"/>
    <x v="23"/>
    <x v="0"/>
    <x v="0"/>
    <x v="6"/>
    <x v="6"/>
    <x v="0"/>
    <x v="0"/>
    <x v="15"/>
    <x v="19"/>
    <x v="27"/>
    <x v="0"/>
    <x v="2"/>
    <x v="41"/>
    <x v="26"/>
  </r>
  <r>
    <n v="946"/>
    <x v="42"/>
    <x v="0"/>
    <x v="0"/>
    <x v="0"/>
    <x v="0"/>
    <x v="0"/>
    <x v="0"/>
    <x v="0"/>
    <x v="13"/>
    <x v="13"/>
    <x v="27"/>
    <x v="1"/>
    <x v="0"/>
    <x v="2"/>
    <x v="33"/>
  </r>
  <r>
    <n v="947"/>
    <x v="42"/>
    <x v="1"/>
    <x v="0"/>
    <x v="0"/>
    <x v="0"/>
    <x v="0"/>
    <x v="0"/>
    <x v="0"/>
    <x v="14"/>
    <x v="12"/>
    <x v="3"/>
    <x v="0"/>
    <x v="4"/>
    <x v="97"/>
    <x v="108"/>
  </r>
  <r>
    <n v="948"/>
    <x v="42"/>
    <x v="2"/>
    <x v="0"/>
    <x v="0"/>
    <x v="0"/>
    <x v="0"/>
    <x v="0"/>
    <x v="0"/>
    <x v="14"/>
    <x v="12"/>
    <x v="1"/>
    <x v="0"/>
    <x v="4"/>
    <x v="0"/>
    <x v="93"/>
  </r>
  <r>
    <n v="949"/>
    <x v="42"/>
    <x v="3"/>
    <x v="0"/>
    <x v="0"/>
    <x v="0"/>
    <x v="0"/>
    <x v="0"/>
    <x v="0"/>
    <x v="16"/>
    <x v="13"/>
    <x v="1"/>
    <x v="0"/>
    <x v="0"/>
    <x v="7"/>
    <x v="98"/>
  </r>
  <r>
    <n v="950"/>
    <x v="42"/>
    <x v="4"/>
    <x v="0"/>
    <x v="0"/>
    <x v="0"/>
    <x v="0"/>
    <x v="0"/>
    <x v="0"/>
    <x v="16"/>
    <x v="17"/>
    <x v="32"/>
    <x v="1"/>
    <x v="3"/>
    <x v="22"/>
    <x v="48"/>
  </r>
  <r>
    <n v="951"/>
    <x v="42"/>
    <x v="5"/>
    <x v="0"/>
    <x v="0"/>
    <x v="0"/>
    <x v="0"/>
    <x v="0"/>
    <x v="0"/>
    <x v="16"/>
    <x v="17"/>
    <x v="32"/>
    <x v="1"/>
    <x v="3"/>
    <x v="4"/>
    <x v="4"/>
  </r>
  <r>
    <n v="952"/>
    <x v="42"/>
    <x v="6"/>
    <x v="0"/>
    <x v="0"/>
    <x v="0"/>
    <x v="0"/>
    <x v="0"/>
    <x v="0"/>
    <x v="16"/>
    <x v="14"/>
    <x v="43"/>
    <x v="5"/>
    <x v="5"/>
    <x v="4"/>
    <x v="5"/>
  </r>
  <r>
    <n v="953"/>
    <x v="42"/>
    <x v="7"/>
    <x v="0"/>
    <x v="0"/>
    <x v="0"/>
    <x v="0"/>
    <x v="0"/>
    <x v="0"/>
    <x v="16"/>
    <x v="20"/>
    <x v="1"/>
    <x v="14"/>
    <x v="4"/>
    <x v="33"/>
    <x v="62"/>
  </r>
  <r>
    <n v="954"/>
    <x v="42"/>
    <x v="8"/>
    <x v="0"/>
    <x v="0"/>
    <x v="0"/>
    <x v="0"/>
    <x v="0"/>
    <x v="0"/>
    <x v="14"/>
    <x v="20"/>
    <x v="3"/>
    <x v="7"/>
    <x v="4"/>
    <x v="95"/>
    <x v="33"/>
  </r>
  <r>
    <n v="955"/>
    <x v="42"/>
    <x v="9"/>
    <x v="0"/>
    <x v="0"/>
    <x v="0"/>
    <x v="0"/>
    <x v="0"/>
    <x v="0"/>
    <x v="13"/>
    <x v="18"/>
    <x v="26"/>
    <x v="7"/>
    <x v="2"/>
    <x v="101"/>
    <x v="74"/>
  </r>
  <r>
    <n v="956"/>
    <x v="42"/>
    <x v="10"/>
    <x v="0"/>
    <x v="0"/>
    <x v="0"/>
    <x v="0"/>
    <x v="0"/>
    <x v="0"/>
    <x v="1"/>
    <x v="12"/>
    <x v="48"/>
    <x v="2"/>
    <x v="23"/>
    <x v="13"/>
    <x v="11"/>
  </r>
  <r>
    <n v="957"/>
    <x v="42"/>
    <x v="11"/>
    <x v="0"/>
    <x v="0"/>
    <x v="0"/>
    <x v="0"/>
    <x v="0"/>
    <x v="0"/>
    <x v="11"/>
    <x v="1"/>
    <x v="40"/>
    <x v="9"/>
    <x v="36"/>
    <x v="151"/>
    <x v="181"/>
  </r>
  <r>
    <n v="958"/>
    <x v="42"/>
    <x v="12"/>
    <x v="0"/>
    <x v="0"/>
    <x v="0"/>
    <x v="0"/>
    <x v="0"/>
    <x v="0"/>
    <x v="11"/>
    <x v="1"/>
    <x v="17"/>
    <x v="17"/>
    <x v="37"/>
    <x v="139"/>
    <x v="151"/>
  </r>
  <r>
    <n v="959"/>
    <x v="42"/>
    <x v="13"/>
    <x v="0"/>
    <x v="0"/>
    <x v="0"/>
    <x v="0"/>
    <x v="0"/>
    <x v="0"/>
    <x v="11"/>
    <x v="1"/>
    <x v="17"/>
    <x v="12"/>
    <x v="38"/>
    <x v="145"/>
    <x v="169"/>
  </r>
  <r>
    <n v="960"/>
    <x v="42"/>
    <x v="14"/>
    <x v="0"/>
    <x v="0"/>
    <x v="0"/>
    <x v="0"/>
    <x v="0"/>
    <x v="0"/>
    <x v="10"/>
    <x v="21"/>
    <x v="61"/>
    <x v="3"/>
    <x v="36"/>
    <x v="92"/>
    <x v="151"/>
  </r>
  <r>
    <n v="961"/>
    <x v="42"/>
    <x v="15"/>
    <x v="0"/>
    <x v="0"/>
    <x v="0"/>
    <x v="0"/>
    <x v="0"/>
    <x v="0"/>
    <x v="10"/>
    <x v="25"/>
    <x v="44"/>
    <x v="12"/>
    <x v="9"/>
    <x v="69"/>
    <x v="177"/>
  </r>
  <r>
    <n v="962"/>
    <x v="42"/>
    <x v="16"/>
    <x v="0"/>
    <x v="0"/>
    <x v="0"/>
    <x v="0"/>
    <x v="0"/>
    <x v="0"/>
    <x v="10"/>
    <x v="25"/>
    <x v="44"/>
    <x v="12"/>
    <x v="35"/>
    <x v="145"/>
    <x v="190"/>
  </r>
  <r>
    <n v="963"/>
    <x v="42"/>
    <x v="17"/>
    <x v="0"/>
    <x v="0"/>
    <x v="0"/>
    <x v="0"/>
    <x v="0"/>
    <x v="0"/>
    <x v="3"/>
    <x v="0"/>
    <x v="61"/>
    <x v="18"/>
    <x v="31"/>
    <x v="182"/>
    <x v="120"/>
  </r>
  <r>
    <n v="964"/>
    <x v="42"/>
    <x v="18"/>
    <x v="0"/>
    <x v="0"/>
    <x v="0"/>
    <x v="0"/>
    <x v="0"/>
    <x v="0"/>
    <x v="17"/>
    <x v="2"/>
    <x v="41"/>
    <x v="9"/>
    <x v="17"/>
    <x v="91"/>
    <x v="37"/>
  </r>
  <r>
    <n v="965"/>
    <x v="42"/>
    <x v="19"/>
    <x v="0"/>
    <x v="0"/>
    <x v="0"/>
    <x v="0"/>
    <x v="0"/>
    <x v="0"/>
    <x v="17"/>
    <x v="1"/>
    <x v="41"/>
    <x v="8"/>
    <x v="4"/>
    <x v="87"/>
    <x v="102"/>
  </r>
  <r>
    <n v="966"/>
    <x v="42"/>
    <x v="20"/>
    <x v="0"/>
    <x v="0"/>
    <x v="0"/>
    <x v="0"/>
    <x v="0"/>
    <x v="0"/>
    <x v="12"/>
    <x v="2"/>
    <x v="48"/>
    <x v="6"/>
    <x v="5"/>
    <x v="87"/>
    <x v="1"/>
  </r>
  <r>
    <n v="967"/>
    <x v="42"/>
    <x v="21"/>
    <x v="0"/>
    <x v="0"/>
    <x v="0"/>
    <x v="0"/>
    <x v="0"/>
    <x v="0"/>
    <x v="12"/>
    <x v="25"/>
    <x v="48"/>
    <x v="0"/>
    <x v="14"/>
    <x v="76"/>
    <x v="41"/>
  </r>
  <r>
    <n v="968"/>
    <x v="42"/>
    <x v="22"/>
    <x v="0"/>
    <x v="0"/>
    <x v="0"/>
    <x v="0"/>
    <x v="0"/>
    <x v="0"/>
    <x v="0"/>
    <x v="2"/>
    <x v="18"/>
    <x v="1"/>
    <x v="15"/>
    <x v="87"/>
    <x v="79"/>
  </r>
  <r>
    <n v="969"/>
    <x v="42"/>
    <x v="23"/>
    <x v="0"/>
    <x v="0"/>
    <x v="0"/>
    <x v="0"/>
    <x v="0"/>
    <x v="0"/>
    <x v="1"/>
    <x v="11"/>
    <x v="33"/>
    <x v="7"/>
    <x v="5"/>
    <x v="17"/>
    <x v="2"/>
  </r>
  <r>
    <n v="970"/>
    <x v="43"/>
    <x v="0"/>
    <x v="0"/>
    <x v="0"/>
    <x v="1"/>
    <x v="1"/>
    <x v="0"/>
    <x v="0"/>
    <x v="2"/>
    <x v="11"/>
    <x v="26"/>
    <x v="14"/>
    <x v="2"/>
    <x v="60"/>
    <x v="21"/>
  </r>
  <r>
    <n v="971"/>
    <x v="43"/>
    <x v="1"/>
    <x v="0"/>
    <x v="0"/>
    <x v="1"/>
    <x v="1"/>
    <x v="0"/>
    <x v="0"/>
    <x v="2"/>
    <x v="11"/>
    <x v="29"/>
    <x v="1"/>
    <x v="5"/>
    <x v="140"/>
    <x v="108"/>
  </r>
  <r>
    <n v="972"/>
    <x v="43"/>
    <x v="2"/>
    <x v="0"/>
    <x v="0"/>
    <x v="1"/>
    <x v="1"/>
    <x v="1"/>
    <x v="1"/>
    <x v="2"/>
    <x v="11"/>
    <x v="2"/>
    <x v="1"/>
    <x v="5"/>
    <x v="23"/>
    <x v="25"/>
  </r>
  <r>
    <n v="973"/>
    <x v="43"/>
    <x v="3"/>
    <x v="0"/>
    <x v="0"/>
    <x v="1"/>
    <x v="1"/>
    <x v="1"/>
    <x v="1"/>
    <x v="2"/>
    <x v="11"/>
    <x v="27"/>
    <x v="14"/>
    <x v="17"/>
    <x v="21"/>
    <x v="47"/>
  </r>
  <r>
    <n v="974"/>
    <x v="43"/>
    <x v="4"/>
    <x v="0"/>
    <x v="0"/>
    <x v="1"/>
    <x v="1"/>
    <x v="1"/>
    <x v="1"/>
    <x v="2"/>
    <x v="12"/>
    <x v="27"/>
    <x v="8"/>
    <x v="3"/>
    <x v="6"/>
    <x v="5"/>
  </r>
  <r>
    <n v="975"/>
    <x v="43"/>
    <x v="6"/>
    <x v="0"/>
    <x v="0"/>
    <x v="1"/>
    <x v="1"/>
    <x v="1"/>
    <x v="1"/>
    <x v="2"/>
    <x v="12"/>
    <x v="27"/>
    <x v="7"/>
    <x v="4"/>
    <x v="35"/>
    <x v="36"/>
  </r>
  <r>
    <n v="976"/>
    <x v="43"/>
    <x v="7"/>
    <x v="0"/>
    <x v="0"/>
    <x v="1"/>
    <x v="1"/>
    <x v="1"/>
    <x v="1"/>
    <x v="1"/>
    <x v="1"/>
    <x v="28"/>
    <x v="0"/>
    <x v="3"/>
    <x v="35"/>
    <x v="6"/>
  </r>
  <r>
    <n v="977"/>
    <x v="43"/>
    <x v="8"/>
    <x v="0"/>
    <x v="0"/>
    <x v="1"/>
    <x v="1"/>
    <x v="1"/>
    <x v="1"/>
    <x v="1"/>
    <x v="11"/>
    <x v="26"/>
    <x v="5"/>
    <x v="5"/>
    <x v="48"/>
    <x v="47"/>
  </r>
  <r>
    <n v="978"/>
    <x v="43"/>
    <x v="9"/>
    <x v="0"/>
    <x v="0"/>
    <x v="1"/>
    <x v="1"/>
    <x v="1"/>
    <x v="1"/>
    <x v="0"/>
    <x v="11"/>
    <x v="54"/>
    <x v="6"/>
    <x v="6"/>
    <x v="96"/>
    <x v="105"/>
  </r>
  <r>
    <n v="979"/>
    <x v="43"/>
    <x v="10"/>
    <x v="0"/>
    <x v="0"/>
    <x v="1"/>
    <x v="1"/>
    <x v="0"/>
    <x v="0"/>
    <x v="11"/>
    <x v="1"/>
    <x v="49"/>
    <x v="9"/>
    <x v="21"/>
    <x v="132"/>
    <x v="136"/>
  </r>
  <r>
    <n v="980"/>
    <x v="43"/>
    <x v="11"/>
    <x v="0"/>
    <x v="0"/>
    <x v="1"/>
    <x v="1"/>
    <x v="0"/>
    <x v="0"/>
    <x v="3"/>
    <x v="0"/>
    <x v="17"/>
    <x v="10"/>
    <x v="7"/>
    <x v="132"/>
    <x v="59"/>
  </r>
  <r>
    <n v="981"/>
    <x v="43"/>
    <x v="12"/>
    <x v="0"/>
    <x v="0"/>
    <x v="1"/>
    <x v="1"/>
    <x v="0"/>
    <x v="0"/>
    <x v="5"/>
    <x v="21"/>
    <x v="25"/>
    <x v="17"/>
    <x v="39"/>
    <x v="111"/>
    <x v="148"/>
  </r>
  <r>
    <n v="982"/>
    <x v="43"/>
    <x v="13"/>
    <x v="0"/>
    <x v="0"/>
    <x v="1"/>
    <x v="1"/>
    <x v="0"/>
    <x v="0"/>
    <x v="4"/>
    <x v="5"/>
    <x v="44"/>
    <x v="11"/>
    <x v="40"/>
    <x v="50"/>
    <x v="38"/>
  </r>
  <r>
    <n v="983"/>
    <x v="43"/>
    <x v="14"/>
    <x v="0"/>
    <x v="0"/>
    <x v="1"/>
    <x v="1"/>
    <x v="1"/>
    <x v="1"/>
    <x v="9"/>
    <x v="10"/>
    <x v="24"/>
    <x v="12"/>
    <x v="41"/>
    <x v="59"/>
    <x v="143"/>
  </r>
  <r>
    <n v="984"/>
    <x v="43"/>
    <x v="15"/>
    <x v="0"/>
    <x v="0"/>
    <x v="1"/>
    <x v="1"/>
    <x v="1"/>
    <x v="1"/>
    <x v="9"/>
    <x v="10"/>
    <x v="24"/>
    <x v="4"/>
    <x v="11"/>
    <x v="183"/>
    <x v="123"/>
  </r>
  <r>
    <n v="985"/>
    <x v="43"/>
    <x v="16"/>
    <x v="0"/>
    <x v="0"/>
    <x v="1"/>
    <x v="1"/>
    <x v="1"/>
    <x v="1"/>
    <x v="6"/>
    <x v="7"/>
    <x v="40"/>
    <x v="9"/>
    <x v="32"/>
    <x v="184"/>
    <x v="87"/>
  </r>
  <r>
    <n v="986"/>
    <x v="43"/>
    <x v="17"/>
    <x v="0"/>
    <x v="0"/>
    <x v="1"/>
    <x v="1"/>
    <x v="0"/>
    <x v="0"/>
    <x v="6"/>
    <x v="7"/>
    <x v="40"/>
    <x v="9"/>
    <x v="36"/>
    <x v="73"/>
    <x v="139"/>
  </r>
  <r>
    <n v="987"/>
    <x v="43"/>
    <x v="18"/>
    <x v="0"/>
    <x v="0"/>
    <x v="1"/>
    <x v="1"/>
    <x v="0"/>
    <x v="0"/>
    <x v="9"/>
    <x v="10"/>
    <x v="25"/>
    <x v="4"/>
    <x v="26"/>
    <x v="78"/>
    <x v="76"/>
  </r>
  <r>
    <n v="988"/>
    <x v="43"/>
    <x v="19"/>
    <x v="0"/>
    <x v="0"/>
    <x v="1"/>
    <x v="1"/>
    <x v="0"/>
    <x v="0"/>
    <x v="9"/>
    <x v="10"/>
    <x v="23"/>
    <x v="3"/>
    <x v="16"/>
    <x v="54"/>
    <x v="42"/>
  </r>
  <r>
    <n v="989"/>
    <x v="43"/>
    <x v="20"/>
    <x v="0"/>
    <x v="0"/>
    <x v="1"/>
    <x v="1"/>
    <x v="0"/>
    <x v="0"/>
    <x v="9"/>
    <x v="10"/>
    <x v="23"/>
    <x v="9"/>
    <x v="13"/>
    <x v="1"/>
    <x v="105"/>
  </r>
  <r>
    <n v="990"/>
    <x v="43"/>
    <x v="21"/>
    <x v="0"/>
    <x v="0"/>
    <x v="1"/>
    <x v="1"/>
    <x v="0"/>
    <x v="0"/>
    <x v="9"/>
    <x v="10"/>
    <x v="23"/>
    <x v="11"/>
    <x v="15"/>
    <x v="108"/>
    <x v="41"/>
  </r>
  <r>
    <n v="991"/>
    <x v="43"/>
    <x v="22"/>
    <x v="0"/>
    <x v="0"/>
    <x v="1"/>
    <x v="1"/>
    <x v="0"/>
    <x v="0"/>
    <x v="9"/>
    <x v="10"/>
    <x v="23"/>
    <x v="4"/>
    <x v="2"/>
    <x v="17"/>
    <x v="9"/>
  </r>
  <r>
    <n v="992"/>
    <x v="43"/>
    <x v="23"/>
    <x v="0"/>
    <x v="0"/>
    <x v="1"/>
    <x v="1"/>
    <x v="0"/>
    <x v="0"/>
    <x v="9"/>
    <x v="10"/>
    <x v="23"/>
    <x v="11"/>
    <x v="0"/>
    <x v="2"/>
    <x v="33"/>
  </r>
  <r>
    <n v="993"/>
    <x v="44"/>
    <x v="0"/>
    <x v="0"/>
    <x v="0"/>
    <x v="2"/>
    <x v="2"/>
    <x v="0"/>
    <x v="0"/>
    <x v="4"/>
    <x v="5"/>
    <x v="38"/>
    <x v="11"/>
    <x v="0"/>
    <x v="21"/>
    <x v="62"/>
  </r>
  <r>
    <n v="994"/>
    <x v="44"/>
    <x v="1"/>
    <x v="0"/>
    <x v="0"/>
    <x v="2"/>
    <x v="2"/>
    <x v="0"/>
    <x v="0"/>
    <x v="4"/>
    <x v="5"/>
    <x v="38"/>
    <x v="11"/>
    <x v="5"/>
    <x v="8"/>
    <x v="85"/>
  </r>
  <r>
    <n v="995"/>
    <x v="44"/>
    <x v="2"/>
    <x v="0"/>
    <x v="0"/>
    <x v="2"/>
    <x v="2"/>
    <x v="0"/>
    <x v="0"/>
    <x v="5"/>
    <x v="6"/>
    <x v="22"/>
    <x v="4"/>
    <x v="3"/>
    <x v="6"/>
    <x v="5"/>
  </r>
  <r>
    <n v="996"/>
    <x v="44"/>
    <x v="3"/>
    <x v="0"/>
    <x v="0"/>
    <x v="2"/>
    <x v="2"/>
    <x v="0"/>
    <x v="0"/>
    <x v="10"/>
    <x v="21"/>
    <x v="15"/>
    <x v="6"/>
    <x v="5"/>
    <x v="4"/>
    <x v="5"/>
  </r>
  <r>
    <n v="997"/>
    <x v="44"/>
    <x v="4"/>
    <x v="0"/>
    <x v="0"/>
    <x v="2"/>
    <x v="2"/>
    <x v="0"/>
    <x v="0"/>
    <x v="3"/>
    <x v="25"/>
    <x v="45"/>
    <x v="3"/>
    <x v="3"/>
    <x v="6"/>
    <x v="5"/>
  </r>
  <r>
    <n v="998"/>
    <x v="44"/>
    <x v="5"/>
    <x v="0"/>
    <x v="0"/>
    <x v="2"/>
    <x v="2"/>
    <x v="0"/>
    <x v="0"/>
    <x v="3"/>
    <x v="25"/>
    <x v="45"/>
    <x v="3"/>
    <x v="3"/>
    <x v="35"/>
    <x v="6"/>
  </r>
  <r>
    <n v="999"/>
    <x v="44"/>
    <x v="6"/>
    <x v="0"/>
    <x v="0"/>
    <x v="2"/>
    <x v="2"/>
    <x v="0"/>
    <x v="0"/>
    <x v="10"/>
    <x v="25"/>
    <x v="15"/>
    <x v="4"/>
    <x v="5"/>
    <x v="18"/>
    <x v="132"/>
  </r>
  <r>
    <n v="1000"/>
    <x v="44"/>
    <x v="7"/>
    <x v="0"/>
    <x v="0"/>
    <x v="2"/>
    <x v="2"/>
    <x v="0"/>
    <x v="0"/>
    <x v="10"/>
    <x v="25"/>
    <x v="15"/>
    <x v="4"/>
    <x v="4"/>
    <x v="185"/>
    <x v="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rowHeaderCaption="WEEK DAYS">
  <location ref="A3:F12" firstHeaderRow="1" firstDataRow="2"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axis="axisRow" showAll="0">
      <items count="8">
        <item x="1"/>
        <item x="2"/>
        <item x="3"/>
        <item x="4"/>
        <item x="5"/>
        <item x="6"/>
        <item x="0"/>
        <item t="default"/>
      </items>
    </pivotField>
    <pivotField showAll="0"/>
    <pivotField axis="axisCol" showAll="0">
      <items count="5">
        <item x="3"/>
        <item x="2"/>
        <item x="1"/>
        <item x="0"/>
        <item t="default"/>
      </items>
    </pivotField>
    <pivotField showAll="0"/>
    <pivotField showAll="0"/>
    <pivotField showAll="0"/>
    <pivotField showAll="0"/>
    <pivotField showAll="0"/>
    <pivotField showAll="0"/>
    <pivotField dataField="1" showAll="0"/>
    <pivotField showAll="0" defaultSubtotal="0"/>
  </pivotFields>
  <rowFields count="1">
    <field x="6"/>
  </rowFields>
  <rowItems count="8">
    <i>
      <x/>
    </i>
    <i>
      <x v="1"/>
    </i>
    <i>
      <x v="2"/>
    </i>
    <i>
      <x v="3"/>
    </i>
    <i>
      <x v="4"/>
    </i>
    <i>
      <x v="5"/>
    </i>
    <i>
      <x v="6"/>
    </i>
    <i t="grand">
      <x/>
    </i>
  </rowItems>
  <colFields count="1">
    <field x="8"/>
  </colFields>
  <colItems count="5">
    <i>
      <x/>
    </i>
    <i>
      <x v="1"/>
    </i>
    <i>
      <x v="2"/>
    </i>
    <i>
      <x v="3"/>
    </i>
    <i t="grand">
      <x/>
    </i>
  </colItems>
  <dataFields count="1">
    <dataField name="Sum of cnt" fld="15" baseField="0" baseItem="0"/>
  </dataFields>
  <conditionalFormats count="1">
    <conditionalFormat type="all" priority="1">
      <pivotAreas count="1">
        <pivotArea type="data" collapsedLevelsAreSubtotals="1" fieldPosition="0">
          <references count="3">
            <reference field="4294967294" count="1" selected="0">
              <x v="0"/>
            </reference>
            <reference field="6" count="7">
              <x v="0"/>
              <x v="1"/>
              <x v="2"/>
              <x v="3"/>
              <x v="4"/>
              <x v="5"/>
              <x v="6"/>
            </reference>
            <reference field="8" count="3" selected="0">
              <x v="1"/>
              <x v="2"/>
              <x v="3"/>
            </reference>
          </references>
        </pivotArea>
      </pivotAreas>
    </conditionalFormat>
  </conditionalFormats>
  <chartFormats count="10">
    <chartFormat chart="2" format="13" series="1">
      <pivotArea type="data" outline="0" fieldPosition="0">
        <references count="2">
          <reference field="4294967294" count="1" selected="0">
            <x v="0"/>
          </reference>
          <reference field="8" count="1" selected="0">
            <x v="0"/>
          </reference>
        </references>
      </pivotArea>
    </chartFormat>
    <chartFormat chart="2" format="14" series="1">
      <pivotArea type="data" outline="0" fieldPosition="0">
        <references count="2">
          <reference field="4294967294" count="1" selected="0">
            <x v="0"/>
          </reference>
          <reference field="8" count="1" selected="0">
            <x v="1"/>
          </reference>
        </references>
      </pivotArea>
    </chartFormat>
    <chartFormat chart="2" format="15" series="1">
      <pivotArea type="data" outline="0" fieldPosition="0">
        <references count="2">
          <reference field="4294967294" count="1" selected="0">
            <x v="0"/>
          </reference>
          <reference field="8" count="1" selected="0">
            <x v="2"/>
          </reference>
        </references>
      </pivotArea>
    </chartFormat>
    <chartFormat chart="2" format="16" series="1">
      <pivotArea type="data" outline="0" fieldPosition="0">
        <references count="2">
          <reference field="4294967294" count="1" selected="0">
            <x v="0"/>
          </reference>
          <reference field="8" count="1" selected="0">
            <x v="3"/>
          </reference>
        </references>
      </pivotArea>
    </chartFormat>
    <chartFormat chart="0" format="9" series="1">
      <pivotArea type="data" outline="0" fieldPosition="0">
        <references count="2">
          <reference field="4294967294" count="1" selected="0">
            <x v="0"/>
          </reference>
          <reference field="8" count="1" selected="0">
            <x v="1"/>
          </reference>
        </references>
      </pivotArea>
    </chartFormat>
    <chartFormat chart="0" format="10" series="1">
      <pivotArea type="data" outline="0" fieldPosition="0">
        <references count="2">
          <reference field="4294967294" count="1" selected="0">
            <x v="0"/>
          </reference>
          <reference field="8" count="1" selected="0">
            <x v="2"/>
          </reference>
        </references>
      </pivotArea>
    </chartFormat>
    <chartFormat chart="0" format="11" series="1">
      <pivotArea type="data" outline="0" fieldPosition="0">
        <references count="2">
          <reference field="4294967294" count="1" selected="0">
            <x v="0"/>
          </reference>
          <reference field="8" count="1" selected="0">
            <x v="3"/>
          </reference>
        </references>
      </pivotArea>
    </chartFormat>
    <chartFormat chart="0" format="12" series="1">
      <pivotArea type="data" outline="0" fieldPosition="0">
        <references count="2">
          <reference field="4294967294" count="1" selected="0">
            <x v="0"/>
          </reference>
          <reference field="8" count="1" selected="0">
            <x v="0"/>
          </reference>
        </references>
      </pivotArea>
    </chartFormat>
    <chartFormat chart="2" format="17" series="1">
      <pivotArea type="data" outline="0" fieldPosition="0">
        <references count="1">
          <reference field="4294967294" count="1" selected="0">
            <x v="0"/>
          </reference>
        </references>
      </pivotArea>
    </chartFormat>
    <chartFormat chart="0"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7"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rowHeaderCaption="hours">
  <location ref="A3:I29" firstHeaderRow="1" firstDataRow="2"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0"/>
        <item x="1"/>
        <item t="default"/>
      </items>
    </pivotField>
    <pivotField showAll="0">
      <items count="3">
        <item x="1"/>
        <item x="0"/>
        <item t="default"/>
      </items>
    </pivotField>
    <pivotField showAll="0"/>
    <pivotField axis="axisCol" showAll="0">
      <items count="8">
        <item x="1"/>
        <item x="2"/>
        <item x="3"/>
        <item x="4"/>
        <item x="5"/>
        <item x="6"/>
        <item x="0"/>
        <item t="default"/>
      </items>
    </pivotField>
    <pivotField showAll="0">
      <items count="5">
        <item x="0"/>
        <item x="1"/>
        <item x="2"/>
        <item x="3"/>
        <item t="default"/>
      </items>
    </pivotField>
    <pivotField showAll="0">
      <items count="5">
        <item x="3"/>
        <item x="2"/>
        <item x="1"/>
        <item x="0"/>
        <item t="default"/>
      </items>
    </pivotField>
    <pivotField showAll="0">
      <items count="24">
        <item h="1" x="22"/>
        <item h="1" x="21"/>
        <item x="20"/>
        <item h="1" x="19"/>
        <item h="1" x="18"/>
        <item h="1" x="16"/>
        <item h="1" x="14"/>
        <item h="1" x="13"/>
        <item h="1" x="15"/>
        <item h="1" x="2"/>
        <item h="1" x="1"/>
        <item h="1" x="0"/>
        <item h="1" x="12"/>
        <item h="1" x="17"/>
        <item h="1" x="11"/>
        <item h="1" x="3"/>
        <item h="1" x="10"/>
        <item h="1" x="5"/>
        <item h="1" x="4"/>
        <item h="1" x="9"/>
        <item h="1" x="6"/>
        <item h="1" x="8"/>
        <item h="1" x="7"/>
        <item t="default"/>
      </items>
    </pivotField>
    <pivotField showAll="0"/>
    <pivotField showAll="0"/>
    <pivotField showAll="0"/>
    <pivotField showAll="0"/>
    <pivotField showAll="0"/>
    <pivotField dataField="1"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defaultSubtotal="0">
      <items count="14">
        <item x="0"/>
        <item x="1"/>
        <item x="2"/>
        <item x="3"/>
        <item x="4"/>
        <item x="5"/>
        <item x="6"/>
        <item x="7"/>
        <item x="8"/>
        <item x="9"/>
        <item x="10"/>
        <item x="11"/>
        <item x="12"/>
        <item x="13"/>
      </items>
    </pivotField>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6"/>
  </colFields>
  <colItems count="8">
    <i>
      <x/>
    </i>
    <i>
      <x v="1"/>
    </i>
    <i>
      <x v="2"/>
    </i>
    <i>
      <x v="3"/>
    </i>
    <i>
      <x v="4"/>
    </i>
    <i>
      <x v="5"/>
    </i>
    <i>
      <x v="6"/>
    </i>
    <i t="grand">
      <x/>
    </i>
  </colItems>
  <dataFields count="1">
    <dataField name="Average of cnt" fld="15" subtotal="average" baseField="2" baseItem="0"/>
  </dataFields>
  <formats count="11">
    <format dxfId="46">
      <pivotArea collapsedLevelsAreSubtotals="1" fieldPosition="0">
        <references count="1">
          <reference field="2" count="1">
            <x v="0"/>
          </reference>
        </references>
      </pivotArea>
    </format>
    <format dxfId="45">
      <pivotArea collapsedLevelsAreSubtotals="1" fieldPosition="0">
        <references count="1">
          <reference field="2" count="1">
            <x v="0"/>
          </reference>
        </references>
      </pivotArea>
    </format>
    <format dxfId="44">
      <pivotArea collapsedLevelsAreSubtotals="1" fieldPosition="0">
        <references count="1">
          <reference field="2" count="1">
            <x v="0"/>
          </reference>
        </references>
      </pivotArea>
    </format>
    <format dxfId="43">
      <pivotArea collapsedLevelsAreSubtotals="1" fieldPosition="0">
        <references count="1">
          <reference field="2" count="1">
            <x v="0"/>
          </reference>
        </references>
      </pivotArea>
    </format>
    <format dxfId="42">
      <pivotArea collapsedLevelsAreSubtotals="1" fieldPosition="0">
        <references count="1">
          <reference field="2" count="1">
            <x v="0"/>
          </reference>
        </references>
      </pivotArea>
    </format>
    <format dxfId="41">
      <pivotArea collapsedLevelsAreSubtotals="1" fieldPosition="0">
        <references count="1">
          <reference field="2" count="1">
            <x v="0"/>
          </reference>
        </references>
      </pivotArea>
    </format>
    <format dxfId="40">
      <pivotArea collapsedLevelsAreSubtotals="1" fieldPosition="0">
        <references count="1">
          <reference field="2" count="1">
            <x v="0"/>
          </reference>
        </references>
      </pivotArea>
    </format>
    <format dxfId="39">
      <pivotArea collapsedLevelsAreSubtotals="1" fieldPosition="0">
        <references count="1">
          <reference field="2" count="1">
            <x v="0"/>
          </reference>
        </references>
      </pivotArea>
    </format>
    <format dxfId="38">
      <pivotArea outline="0" collapsedLevelsAreSubtotals="1" fieldPosition="0"/>
    </format>
    <format dxfId="37">
      <pivotArea dataOnly="0" labelOnly="1" outline="0" axis="axisValues" fieldPosition="0"/>
    </format>
    <format dxfId="36">
      <pivotArea dataOnly="0" labelOnly="1" outline="0" axis="axisValues" fieldPosition="0"/>
    </format>
  </formats>
  <chartFormats count="16">
    <chartFormat chart="1" format="14" series="1">
      <pivotArea type="data" outline="0" fieldPosition="0">
        <references count="2">
          <reference field="4294967294" count="1" selected="0">
            <x v="0"/>
          </reference>
          <reference field="6" count="1" selected="0">
            <x v="0"/>
          </reference>
        </references>
      </pivotArea>
    </chartFormat>
    <chartFormat chart="1" format="15" series="1">
      <pivotArea type="data" outline="0" fieldPosition="0">
        <references count="2">
          <reference field="4294967294" count="1" selected="0">
            <x v="0"/>
          </reference>
          <reference field="6" count="1" selected="0">
            <x v="1"/>
          </reference>
        </references>
      </pivotArea>
    </chartFormat>
    <chartFormat chart="1" format="16" series="1">
      <pivotArea type="data" outline="0" fieldPosition="0">
        <references count="2">
          <reference field="4294967294" count="1" selected="0">
            <x v="0"/>
          </reference>
          <reference field="6" count="1" selected="0">
            <x v="2"/>
          </reference>
        </references>
      </pivotArea>
    </chartFormat>
    <chartFormat chart="1" format="17" series="1">
      <pivotArea type="data" outline="0" fieldPosition="0">
        <references count="2">
          <reference field="4294967294" count="1" selected="0">
            <x v="0"/>
          </reference>
          <reference field="6" count="1" selected="0">
            <x v="3"/>
          </reference>
        </references>
      </pivotArea>
    </chartFormat>
    <chartFormat chart="1" format="18" series="1">
      <pivotArea type="data" outline="0" fieldPosition="0">
        <references count="2">
          <reference field="4294967294" count="1" selected="0">
            <x v="0"/>
          </reference>
          <reference field="6" count="1" selected="0">
            <x v="4"/>
          </reference>
        </references>
      </pivotArea>
    </chartFormat>
    <chartFormat chart="1" format="19" series="1">
      <pivotArea type="data" outline="0" fieldPosition="0">
        <references count="2">
          <reference field="4294967294" count="1" selected="0">
            <x v="0"/>
          </reference>
          <reference field="6" count="1" selected="0">
            <x v="5"/>
          </reference>
        </references>
      </pivotArea>
    </chartFormat>
    <chartFormat chart="1" format="20" series="1">
      <pivotArea type="data" outline="0" fieldPosition="0">
        <references count="2">
          <reference field="4294967294" count="1" selected="0">
            <x v="0"/>
          </reference>
          <reference field="6" count="1" selected="0">
            <x v="6"/>
          </reference>
        </references>
      </pivotArea>
    </chartFormat>
    <chartFormat chart="5" format="28" series="1">
      <pivotArea type="data" outline="0" fieldPosition="0">
        <references count="2">
          <reference field="4294967294" count="1" selected="0">
            <x v="0"/>
          </reference>
          <reference field="6" count="1" selected="0">
            <x v="0"/>
          </reference>
        </references>
      </pivotArea>
    </chartFormat>
    <chartFormat chart="5" format="29" series="1">
      <pivotArea type="data" outline="0" fieldPosition="0">
        <references count="2">
          <reference field="4294967294" count="1" selected="0">
            <x v="0"/>
          </reference>
          <reference field="6" count="1" selected="0">
            <x v="1"/>
          </reference>
        </references>
      </pivotArea>
    </chartFormat>
    <chartFormat chart="5" format="30" series="1">
      <pivotArea type="data" outline="0" fieldPosition="0">
        <references count="2">
          <reference field="4294967294" count="1" selected="0">
            <x v="0"/>
          </reference>
          <reference field="6" count="1" selected="0">
            <x v="2"/>
          </reference>
        </references>
      </pivotArea>
    </chartFormat>
    <chartFormat chart="5" format="31" series="1">
      <pivotArea type="data" outline="0" fieldPosition="0">
        <references count="2">
          <reference field="4294967294" count="1" selected="0">
            <x v="0"/>
          </reference>
          <reference field="6" count="1" selected="0">
            <x v="3"/>
          </reference>
        </references>
      </pivotArea>
    </chartFormat>
    <chartFormat chart="5" format="32" series="1">
      <pivotArea type="data" outline="0" fieldPosition="0">
        <references count="2">
          <reference field="4294967294" count="1" selected="0">
            <x v="0"/>
          </reference>
          <reference field="6" count="1" selected="0">
            <x v="4"/>
          </reference>
        </references>
      </pivotArea>
    </chartFormat>
    <chartFormat chart="5" format="33" series="1">
      <pivotArea type="data" outline="0" fieldPosition="0">
        <references count="2">
          <reference field="4294967294" count="1" selected="0">
            <x v="0"/>
          </reference>
          <reference field="6" count="1" selected="0">
            <x v="5"/>
          </reference>
        </references>
      </pivotArea>
    </chartFormat>
    <chartFormat chart="5" format="34" series="1">
      <pivotArea type="data" outline="0" fieldPosition="0">
        <references count="2">
          <reference field="4294967294" count="1" selected="0">
            <x v="0"/>
          </reference>
          <reference field="6" count="1" selected="0">
            <x v="6"/>
          </reference>
        </references>
      </pivotArea>
    </chartFormat>
    <chartFormat chart="5" format="35" series="1">
      <pivotArea type="data" outline="0" fieldPosition="0">
        <references count="1">
          <reference field="4294967294" count="1" selected="0">
            <x v="0"/>
          </reference>
        </references>
      </pivotArea>
    </chartFormat>
    <chartFormat chart="1" format="2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1" dataOnRows="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A3:B5" firstHeaderRow="1"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showAll="0">
      <items count="8">
        <item x="1"/>
        <item x="2"/>
        <item x="3"/>
        <item x="4"/>
        <item x="5"/>
        <item x="6"/>
        <item x="0"/>
        <item t="default"/>
      </items>
    </pivotField>
    <pivotField showAll="0"/>
    <pivotField showAll="0">
      <items count="5">
        <item x="3"/>
        <item x="2"/>
        <item x="1"/>
        <item x="0"/>
        <item t="default"/>
      </items>
    </pivotField>
    <pivotField showAll="0">
      <items count="24">
        <item h="1" x="22"/>
        <item h="1" x="21"/>
        <item h="1" x="20"/>
        <item h="1" x="19"/>
        <item h="1" x="18"/>
        <item x="16"/>
        <item h="1" x="14"/>
        <item h="1" x="13"/>
        <item h="1" x="15"/>
        <item h="1" x="2"/>
        <item h="1" x="1"/>
        <item h="1" x="0"/>
        <item h="1" x="12"/>
        <item h="1" x="17"/>
        <item h="1" x="11"/>
        <item h="1" x="3"/>
        <item h="1" x="10"/>
        <item h="1" x="5"/>
        <item h="1" x="4"/>
        <item h="1" x="9"/>
        <item h="1" x="6"/>
        <item h="1" x="8"/>
        <item h="1" x="7"/>
        <item t="default"/>
      </items>
    </pivotField>
    <pivotField showAll="0"/>
    <pivotField showAll="0"/>
    <pivotField showAll="0"/>
    <pivotField dataField="1" showAll="0">
      <items count="43">
        <item x="3"/>
        <item x="5"/>
        <item x="4"/>
        <item x="0"/>
        <item x="17"/>
        <item x="2"/>
        <item x="15"/>
        <item x="18"/>
        <item x="1"/>
        <item x="14"/>
        <item x="22"/>
        <item x="16"/>
        <item x="6"/>
        <item x="23"/>
        <item x="24"/>
        <item x="13"/>
        <item x="19"/>
        <item x="26"/>
        <item x="25"/>
        <item x="21"/>
        <item x="20"/>
        <item x="27"/>
        <item x="30"/>
        <item x="29"/>
        <item x="31"/>
        <item x="7"/>
        <item x="37"/>
        <item x="32"/>
        <item x="8"/>
        <item x="36"/>
        <item x="38"/>
        <item x="28"/>
        <item x="10"/>
        <item x="11"/>
        <item x="12"/>
        <item x="35"/>
        <item x="9"/>
        <item x="33"/>
        <item x="41"/>
        <item x="34"/>
        <item x="39"/>
        <item x="40"/>
        <item t="default"/>
      </items>
    </pivotField>
    <pivotField dataField="1" showAll="0">
      <items count="187">
        <item x="5"/>
        <item x="4"/>
        <item x="6"/>
        <item x="35"/>
        <item x="22"/>
        <item x="34"/>
        <item x="8"/>
        <item x="7"/>
        <item x="21"/>
        <item x="33"/>
        <item x="3"/>
        <item x="48"/>
        <item x="98"/>
        <item x="0"/>
        <item x="88"/>
        <item x="89"/>
        <item x="20"/>
        <item x="19"/>
        <item x="72"/>
        <item x="23"/>
        <item x="32"/>
        <item x="144"/>
        <item x="97"/>
        <item x="140"/>
        <item x="9"/>
        <item x="18"/>
        <item x="16"/>
        <item x="2"/>
        <item x="95"/>
        <item x="31"/>
        <item x="10"/>
        <item x="17"/>
        <item x="1"/>
        <item x="39"/>
        <item x="60"/>
        <item x="96"/>
        <item x="49"/>
        <item x="53"/>
        <item x="101"/>
        <item x="87"/>
        <item x="71"/>
        <item x="40"/>
        <item x="76"/>
        <item x="30"/>
        <item x="100"/>
        <item x="108"/>
        <item x="24"/>
        <item x="12"/>
        <item x="41"/>
        <item x="47"/>
        <item x="54"/>
        <item x="82"/>
        <item x="15"/>
        <item x="42"/>
        <item x="25"/>
        <item x="11"/>
        <item x="90"/>
        <item x="77"/>
        <item x="29"/>
        <item x="79"/>
        <item x="91"/>
        <item x="124"/>
        <item x="133"/>
        <item x="36"/>
        <item x="27"/>
        <item x="65"/>
        <item x="43"/>
        <item x="28"/>
        <item x="56"/>
        <item x="94"/>
        <item x="14"/>
        <item x="13"/>
        <item x="109"/>
        <item x="26"/>
        <item x="64"/>
        <item x="102"/>
        <item x="83"/>
        <item x="99"/>
        <item x="78"/>
        <item x="55"/>
        <item x="122"/>
        <item x="38"/>
        <item x="70"/>
        <item x="93"/>
        <item x="151"/>
        <item x="66"/>
        <item x="132"/>
        <item x="61"/>
        <item x="152"/>
        <item x="121"/>
        <item x="92"/>
        <item x="164"/>
        <item x="50"/>
        <item x="139"/>
        <item x="111"/>
        <item x="73"/>
        <item x="185"/>
        <item x="106"/>
        <item x="52"/>
        <item x="176"/>
        <item x="129"/>
        <item x="143"/>
        <item x="46"/>
        <item x="145"/>
        <item x="153"/>
        <item x="159"/>
        <item x="184"/>
        <item x="128"/>
        <item x="123"/>
        <item x="63"/>
        <item x="59"/>
        <item x="180"/>
        <item x="155"/>
        <item x="182"/>
        <item x="156"/>
        <item x="168"/>
        <item x="75"/>
        <item x="118"/>
        <item x="138"/>
        <item x="178"/>
        <item x="183"/>
        <item x="170"/>
        <item x="125"/>
        <item x="85"/>
        <item x="167"/>
        <item x="69"/>
        <item x="172"/>
        <item x="110"/>
        <item x="126"/>
        <item x="149"/>
        <item x="120"/>
        <item x="113"/>
        <item x="115"/>
        <item x="112"/>
        <item x="131"/>
        <item x="116"/>
        <item x="142"/>
        <item x="44"/>
        <item x="150"/>
        <item x="45"/>
        <item x="137"/>
        <item x="166"/>
        <item x="37"/>
        <item x="105"/>
        <item x="119"/>
        <item x="117"/>
        <item x="174"/>
        <item x="81"/>
        <item x="136"/>
        <item x="80"/>
        <item x="158"/>
        <item x="68"/>
        <item x="175"/>
        <item x="162"/>
        <item x="141"/>
        <item x="157"/>
        <item x="177"/>
        <item x="104"/>
        <item x="161"/>
        <item x="51"/>
        <item x="86"/>
        <item x="58"/>
        <item x="154"/>
        <item x="160"/>
        <item x="103"/>
        <item x="67"/>
        <item x="84"/>
        <item x="62"/>
        <item x="181"/>
        <item x="165"/>
        <item x="127"/>
        <item x="114"/>
        <item x="173"/>
        <item x="57"/>
        <item x="134"/>
        <item x="147"/>
        <item x="135"/>
        <item x="179"/>
        <item x="107"/>
        <item x="74"/>
        <item x="163"/>
        <item x="148"/>
        <item x="169"/>
        <item x="146"/>
        <item x="171"/>
        <item x="130"/>
        <item t="default"/>
      </items>
    </pivotField>
    <pivotField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defaultSubtotal="0">
      <items count="14">
        <item h="1" x="0"/>
        <item x="1"/>
        <item h="1" x="2"/>
        <item h="1" x="3"/>
        <item h="1" x="4"/>
        <item h="1" x="5"/>
        <item h="1" x="6"/>
        <item h="1" x="7"/>
        <item h="1" x="8"/>
        <item h="1" x="9"/>
        <item h="1" x="10"/>
        <item h="1" x="11"/>
        <item h="1" x="12"/>
        <item h="1" x="13"/>
      </items>
    </pivotField>
  </pivotFields>
  <rowFields count="1">
    <field x="-2"/>
  </rowFields>
  <rowItems count="2">
    <i>
      <x/>
    </i>
    <i i="1">
      <x v="1"/>
    </i>
  </rowItems>
  <colItems count="1">
    <i/>
  </colItems>
  <dataFields count="2">
    <dataField name="Sum of registered" fld="14" baseField="0" baseItem="0"/>
    <dataField name="Sum of casual" fld="13" baseField="0" baseItem="0"/>
  </dataFields>
  <chartFormats count="10">
    <chartFormat chart="0" format="7" series="1">
      <pivotArea type="data" outline="0" fieldPosition="0">
        <references count="1">
          <reference field="4294967294" count="1" selected="0">
            <x v="0"/>
          </reference>
        </references>
      </pivotArea>
    </chartFormat>
    <chartFormat chart="1" format="8" series="1">
      <pivotArea type="data" outline="0" fieldPosition="0">
        <references count="1">
          <reference field="4294967294" count="1" selected="0">
            <x v="0"/>
          </reference>
        </references>
      </pivotArea>
    </chartFormat>
    <chartFormat chart="1" format="9">
      <pivotArea type="data" outline="0" fieldPosition="0">
        <references count="1">
          <reference field="4294967294" count="1" selected="0">
            <x v="0"/>
          </reference>
        </references>
      </pivotArea>
    </chartFormat>
    <chartFormat chart="1" format="10">
      <pivotArea type="data" outline="0" fieldPosition="0">
        <references count="1">
          <reference field="4294967294" count="1" selected="0">
            <x v="1"/>
          </reference>
        </references>
      </pivotArea>
    </chartFormat>
    <chartFormat chart="0" format="8">
      <pivotArea type="data" outline="0" fieldPosition="0">
        <references count="1">
          <reference field="4294967294" count="1" selected="0">
            <x v="0"/>
          </reference>
        </references>
      </pivotArea>
    </chartFormat>
    <chartFormat chart="0" format="9">
      <pivotArea type="data" outline="0" fieldPosition="0">
        <references count="1">
          <reference field="4294967294" count="1" selected="0">
            <x v="1"/>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1">
          <reference field="4294967294" count="1" selected="0">
            <x v="0"/>
          </reference>
        </references>
      </pivotArea>
    </chartFormat>
    <chartFormat chart="4" format="15">
      <pivotArea type="data" outline="0" fieldPosition="0">
        <references count="1">
          <reference field="4294967294" count="1" selected="0">
            <x v="1"/>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rowHeaderCaption="WEEK DAYS">
  <location ref="A3:B11" firstHeaderRow="1"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axis="axisRow" showAll="0">
      <items count="8">
        <item x="1"/>
        <item x="2"/>
        <item x="3"/>
        <item x="4"/>
        <item x="5"/>
        <item x="6"/>
        <item x="0"/>
        <item t="default"/>
      </items>
    </pivotField>
    <pivotField showAll="0"/>
    <pivotField showAll="0">
      <items count="5">
        <item x="3"/>
        <item x="2"/>
        <item x="1"/>
        <item x="0"/>
        <item t="default"/>
      </items>
    </pivotField>
    <pivotField dataField="1" showAll="0"/>
    <pivotField showAll="0"/>
    <pivotField showAll="0">
      <items count="65">
        <item x="58"/>
        <item x="63"/>
        <item x="59"/>
        <item x="60"/>
        <item x="57"/>
        <item x="40"/>
        <item x="44"/>
        <item x="24"/>
        <item x="61"/>
        <item x="25"/>
        <item x="39"/>
        <item x="46"/>
        <item x="23"/>
        <item x="42"/>
        <item x="38"/>
        <item x="41"/>
        <item x="17"/>
        <item x="22"/>
        <item x="48"/>
        <item x="16"/>
        <item x="21"/>
        <item x="18"/>
        <item x="49"/>
        <item x="15"/>
        <item x="19"/>
        <item x="37"/>
        <item x="36"/>
        <item x="20"/>
        <item x="33"/>
        <item x="35"/>
        <item x="45"/>
        <item x="47"/>
        <item x="28"/>
        <item x="34"/>
        <item x="14"/>
        <item x="52"/>
        <item x="29"/>
        <item x="54"/>
        <item x="53"/>
        <item x="51"/>
        <item x="30"/>
        <item x="26"/>
        <item x="55"/>
        <item x="13"/>
        <item x="31"/>
        <item x="27"/>
        <item x="56"/>
        <item x="12"/>
        <item x="6"/>
        <item x="62"/>
        <item x="32"/>
        <item x="2"/>
        <item x="4"/>
        <item x="5"/>
        <item x="1"/>
        <item x="0"/>
        <item x="7"/>
        <item x="3"/>
        <item x="9"/>
        <item x="8"/>
        <item x="50"/>
        <item x="43"/>
        <item x="10"/>
        <item x="11"/>
        <item t="default"/>
      </items>
    </pivotField>
    <pivotField showAll="0"/>
    <pivotField showAll="0"/>
    <pivotField showAll="0"/>
    <pivotField showAll="0"/>
    <pivotField showAll="0" defaultSubtotal="0">
      <items count="14">
        <item h="1" sd="0" x="0"/>
        <item sd="0" x="1"/>
        <item h="1" sd="0" x="2"/>
        <item h="1" sd="0" x="3"/>
        <item h="1" sd="0" x="4"/>
        <item h="1" sd="0" x="5"/>
        <item h="1" sd="0" x="6"/>
        <item h="1" sd="0" x="7"/>
        <item h="1" sd="0" x="8"/>
        <item h="1" sd="0" x="9"/>
        <item h="1" sd="0" x="10"/>
        <item h="1" sd="0" x="11"/>
        <item h="1" sd="0" x="12"/>
        <item h="1" sd="0" x="13"/>
      </items>
    </pivotField>
  </pivotFields>
  <rowFields count="1">
    <field x="6"/>
  </rowFields>
  <rowItems count="8">
    <i>
      <x/>
    </i>
    <i>
      <x v="1"/>
    </i>
    <i>
      <x v="2"/>
    </i>
    <i>
      <x v="3"/>
    </i>
    <i>
      <x v="4"/>
    </i>
    <i>
      <x v="5"/>
    </i>
    <i>
      <x v="6"/>
    </i>
    <i t="grand">
      <x/>
    </i>
  </rowItems>
  <colItems count="1">
    <i/>
  </colItems>
  <dataFields count="1">
    <dataField name="Average of temp" fld="9" subtotal="average" baseField="6" baseItem="0" numFmtId="2"/>
  </dataFields>
  <formats count="12">
    <format dxfId="35">
      <pivotArea collapsedLevelsAreSubtotals="1" fieldPosition="0">
        <references count="1">
          <reference field="6" count="1">
            <x v="0"/>
          </reference>
        </references>
      </pivotArea>
    </format>
    <format dxfId="34">
      <pivotArea collapsedLevelsAreSubtotals="1" fieldPosition="0">
        <references count="1">
          <reference field="6" count="1">
            <x v="0"/>
          </reference>
        </references>
      </pivotArea>
    </format>
    <format dxfId="33">
      <pivotArea collapsedLevelsAreSubtotals="1" fieldPosition="0">
        <references count="1">
          <reference field="6" count="1">
            <x v="0"/>
          </reference>
        </references>
      </pivotArea>
    </format>
    <format dxfId="32">
      <pivotArea collapsedLevelsAreSubtotals="1" fieldPosition="0">
        <references count="1">
          <reference field="6" count="1">
            <x v="0"/>
          </reference>
        </references>
      </pivotArea>
    </format>
    <format dxfId="31">
      <pivotArea collapsedLevelsAreSubtotals="1" fieldPosition="0">
        <references count="1">
          <reference field="6" count="1">
            <x v="0"/>
          </reference>
        </references>
      </pivotArea>
    </format>
    <format dxfId="30">
      <pivotArea collapsedLevelsAreSubtotals="1" fieldPosition="0">
        <references count="1">
          <reference field="6" count="1">
            <x v="0"/>
          </reference>
        </references>
      </pivotArea>
    </format>
    <format dxfId="29">
      <pivotArea collapsedLevelsAreSubtotals="1" fieldPosition="0">
        <references count="1">
          <reference field="6" count="1">
            <x v="0"/>
          </reference>
        </references>
      </pivotArea>
    </format>
    <format dxfId="28">
      <pivotArea collapsedLevelsAreSubtotals="1" fieldPosition="0">
        <references count="1">
          <reference field="6" count="1">
            <x v="0"/>
          </reference>
        </references>
      </pivotArea>
    </format>
    <format dxfId="27">
      <pivotArea collapsedLevelsAreSubtotals="1" fieldPosition="0">
        <references count="1">
          <reference field="6" count="1">
            <x v="0"/>
          </reference>
        </references>
      </pivotArea>
    </format>
    <format dxfId="26">
      <pivotArea outline="0" collapsedLevelsAreSubtotals="1" fieldPosition="0"/>
    </format>
    <format dxfId="25">
      <pivotArea dataOnly="0" labelOnly="1" outline="0" axis="axisValues" fieldPosition="0"/>
    </format>
    <format dxfId="24">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C11" firstHeaderRow="0"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axis="axisRow" showAll="0">
      <items count="8">
        <item x="1"/>
        <item x="2"/>
        <item x="3"/>
        <item x="4"/>
        <item x="5"/>
        <item x="6"/>
        <item x="0"/>
        <item t="default"/>
      </items>
    </pivotField>
    <pivotField showAll="0"/>
    <pivotField showAll="0">
      <items count="5">
        <item x="3"/>
        <item x="2"/>
        <item x="1"/>
        <item x="0"/>
        <item t="default"/>
      </items>
    </pivotField>
    <pivotField dataField="1" showAll="0">
      <items count="24">
        <item x="22"/>
        <item x="21"/>
        <item x="20"/>
        <item x="19"/>
        <item x="18"/>
        <item x="16"/>
        <item x="14"/>
        <item x="13"/>
        <item x="15"/>
        <item x="2"/>
        <item x="1"/>
        <item x="0"/>
        <item x="12"/>
        <item x="17"/>
        <item x="11"/>
        <item x="3"/>
        <item x="10"/>
        <item x="5"/>
        <item x="4"/>
        <item x="9"/>
        <item x="6"/>
        <item x="8"/>
        <item x="7"/>
        <item t="default"/>
      </items>
    </pivotField>
    <pivotField dataField="1" showAll="0">
      <items count="32">
        <item x="28"/>
        <item x="29"/>
        <item x="26"/>
        <item x="27"/>
        <item x="22"/>
        <item x="23"/>
        <item x="24"/>
        <item x="15"/>
        <item x="16"/>
        <item x="14"/>
        <item x="20"/>
        <item x="17"/>
        <item x="18"/>
        <item x="13"/>
        <item x="3"/>
        <item x="12"/>
        <item x="11"/>
        <item x="19"/>
        <item x="2"/>
        <item x="1"/>
        <item x="0"/>
        <item x="25"/>
        <item x="21"/>
        <item x="6"/>
        <item x="4"/>
        <item x="30"/>
        <item x="5"/>
        <item x="10"/>
        <item x="7"/>
        <item x="9"/>
        <item x="8"/>
        <item t="default"/>
      </items>
    </pivotField>
    <pivotField showAll="0"/>
    <pivotField showAll="0"/>
    <pivotField showAll="0"/>
    <pivotField showAll="0"/>
    <pivotField showAll="0"/>
    <pivotField showAll="0" defaultSubtotal="0">
      <items count="14">
        <item h="1" x="0"/>
        <item x="1"/>
        <item h="1" x="2"/>
        <item h="1" x="3"/>
        <item h="1" x="4"/>
        <item h="1" x="5"/>
        <item h="1" x="6"/>
        <item h="1" x="7"/>
        <item h="1" x="8"/>
        <item h="1" x="9"/>
        <item h="1" x="10"/>
        <item h="1" x="11"/>
        <item h="1" x="12"/>
        <item h="1" x="13"/>
      </items>
    </pivotField>
  </pivotFields>
  <rowFields count="1">
    <field x="6"/>
  </rowFields>
  <rowItems count="8">
    <i>
      <x/>
    </i>
    <i>
      <x v="1"/>
    </i>
    <i>
      <x v="2"/>
    </i>
    <i>
      <x v="3"/>
    </i>
    <i>
      <x v="4"/>
    </i>
    <i>
      <x v="5"/>
    </i>
    <i>
      <x v="6"/>
    </i>
    <i t="grand">
      <x/>
    </i>
  </rowItems>
  <colFields count="1">
    <field x="-2"/>
  </colFields>
  <colItems count="2">
    <i>
      <x/>
    </i>
    <i i="1">
      <x v="1"/>
    </i>
  </colItems>
  <dataFields count="2">
    <dataField name="Average of temp" fld="9" subtotal="average" baseField="6" baseItem="0" numFmtId="2"/>
    <dataField name="Average of atemp" fld="10" subtotal="average" baseField="6" baseItem="0" numFmtId="2"/>
  </dataFields>
  <formats count="11">
    <format dxfId="23">
      <pivotArea collapsedLevelsAreSubtotals="1" fieldPosition="0">
        <references count="2">
          <reference field="4294967294" count="1" selected="0">
            <x v="0"/>
          </reference>
          <reference field="6" count="1">
            <x v="0"/>
          </reference>
        </references>
      </pivotArea>
    </format>
    <format dxfId="22">
      <pivotArea collapsedLevelsAreSubtotals="1" fieldPosition="0">
        <references count="2">
          <reference field="4294967294" count="1" selected="0">
            <x v="0"/>
          </reference>
          <reference field="6" count="1">
            <x v="0"/>
          </reference>
        </references>
      </pivotArea>
    </format>
    <format dxfId="21">
      <pivotArea collapsedLevelsAreSubtotals="1" fieldPosition="0">
        <references count="2">
          <reference field="4294967294" count="1" selected="0">
            <x v="0"/>
          </reference>
          <reference field="6" count="1">
            <x v="0"/>
          </reference>
        </references>
      </pivotArea>
    </format>
    <format dxfId="20">
      <pivotArea collapsedLevelsAreSubtotals="1" fieldPosition="0">
        <references count="2">
          <reference field="4294967294" count="1" selected="0">
            <x v="0"/>
          </reference>
          <reference field="6" count="1">
            <x v="0"/>
          </reference>
        </references>
      </pivotArea>
    </format>
    <format dxfId="19">
      <pivotArea collapsedLevelsAreSubtotals="1" fieldPosition="0">
        <references count="2">
          <reference field="4294967294" count="1" selected="0">
            <x v="0"/>
          </reference>
          <reference field="6" count="1">
            <x v="0"/>
          </reference>
        </references>
      </pivotArea>
    </format>
    <format dxfId="18">
      <pivotArea collapsedLevelsAreSubtotals="1" fieldPosition="0">
        <references count="2">
          <reference field="4294967294" count="1" selected="0">
            <x v="0"/>
          </reference>
          <reference field="6" count="1">
            <x v="0"/>
          </reference>
        </references>
      </pivotArea>
    </format>
    <format dxfId="17">
      <pivotArea collapsedLevelsAreSubtotals="1" fieldPosition="0">
        <references count="2">
          <reference field="4294967294" count="1" selected="0">
            <x v="0"/>
          </reference>
          <reference field="6" count="1">
            <x v="0"/>
          </reference>
        </references>
      </pivotArea>
    </format>
    <format dxfId="16">
      <pivotArea outline="0" collapsedLevelsAreSubtotals="1" fieldPosition="0">
        <references count="1">
          <reference field="4294967294" count="1" selected="0">
            <x v="0"/>
          </reference>
        </references>
      </pivotArea>
    </format>
    <format dxfId="15">
      <pivotArea dataOnly="0" labelOnly="1" outline="0" fieldPosition="0">
        <references count="1">
          <reference field="4294967294" count="1">
            <x v="0"/>
          </reference>
        </references>
      </pivotArea>
    </format>
    <format dxfId="14">
      <pivotArea outline="0" collapsedLevelsAreSubtotals="1" fieldPosition="0">
        <references count="1">
          <reference field="4294967294" count="1" selected="0">
            <x v="1"/>
          </reference>
        </references>
      </pivotArea>
    </format>
    <format dxfId="13">
      <pivotArea dataOnly="0" labelOnly="1" outline="0" fieldPosition="0">
        <references count="1">
          <reference field="4294967294" count="1">
            <x v="1"/>
          </reference>
        </references>
      </pivotArea>
    </format>
  </formats>
  <chartFormats count="4">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B27" firstHeaderRow="1"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showAll="0">
      <items count="8">
        <item x="1"/>
        <item x="2"/>
        <item x="3"/>
        <item x="4"/>
        <item x="5"/>
        <item x="6"/>
        <item x="0"/>
        <item t="default"/>
      </items>
    </pivotField>
    <pivotField showAll="0"/>
    <pivotField showAll="0">
      <items count="5">
        <item x="3"/>
        <item x="2"/>
        <item x="1"/>
        <item x="0"/>
        <item t="default"/>
      </items>
    </pivotField>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items count="32">
        <item x="28"/>
        <item x="29"/>
        <item x="26"/>
        <item x="27"/>
        <item x="22"/>
        <item x="23"/>
        <item x="24"/>
        <item x="15"/>
        <item x="16"/>
        <item x="14"/>
        <item x="20"/>
        <item x="17"/>
        <item x="18"/>
        <item x="13"/>
        <item x="3"/>
        <item x="12"/>
        <item x="11"/>
        <item x="19"/>
        <item x="2"/>
        <item x="1"/>
        <item x="0"/>
        <item x="25"/>
        <item x="21"/>
        <item x="6"/>
        <item x="4"/>
        <item x="30"/>
        <item x="5"/>
        <item x="10"/>
        <item x="7"/>
        <item x="9"/>
        <item x="8"/>
        <item t="default"/>
      </items>
    </pivotField>
    <pivotField showAll="0"/>
    <pivotField showAll="0">
      <items count="21">
        <item x="0"/>
        <item x="1"/>
        <item x="14"/>
        <item x="7"/>
        <item x="8"/>
        <item x="5"/>
        <item x="6"/>
        <item x="2"/>
        <item x="3"/>
        <item x="4"/>
        <item x="9"/>
        <item x="11"/>
        <item x="13"/>
        <item x="12"/>
        <item x="10"/>
        <item x="17"/>
        <item x="15"/>
        <item x="18"/>
        <item x="16"/>
        <item x="19"/>
        <item t="default"/>
      </items>
    </pivotField>
    <pivotField showAll="0"/>
    <pivotField showAll="0"/>
    <pivotField dataField="1"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defaultSubtotal="0">
      <items count="14">
        <item h="1" x="0"/>
        <item x="1"/>
        <item h="1" x="2"/>
        <item h="1" x="3"/>
        <item h="1" x="4"/>
        <item h="1" x="5"/>
        <item h="1" x="6"/>
        <item h="1" x="7"/>
        <item h="1" x="8"/>
        <item h="1" x="9"/>
        <item h="1" x="10"/>
        <item h="1" x="11"/>
        <item h="1" x="12"/>
        <item h="1" x="13"/>
      </items>
    </pivotField>
  </pivotFields>
  <rowFields count="1">
    <field x="9"/>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Average of cnt" fld="15" subtotal="average" baseField="9" baseItem="0"/>
  </dataFields>
  <formats count="6">
    <format dxfId="6">
      <pivotArea collapsedLevelsAreSubtotals="1" fieldPosition="0">
        <references count="1">
          <reference field="9" count="0"/>
        </references>
      </pivotArea>
    </format>
    <format dxfId="5">
      <pivotArea collapsedLevelsAreSubtotals="1" fieldPosition="0">
        <references count="1">
          <reference field="9" count="0"/>
        </references>
      </pivotArea>
    </format>
    <format dxfId="4">
      <pivotArea collapsedLevelsAreSubtotals="1" fieldPosition="0">
        <references count="1">
          <reference field="9" count="0"/>
        </references>
      </pivotArea>
    </format>
    <format dxfId="3">
      <pivotArea grandRow="1" outline="0" collapsedLevelsAreSubtotals="1" fieldPosition="0"/>
    </format>
    <format dxfId="2">
      <pivotArea grandRow="1" outline="0" collapsedLevelsAreSubtotals="1" fieldPosition="0"/>
    </format>
    <format dxfId="1">
      <pivotArea grandRow="1" outline="0" collapsedLevelsAreSubtotals="1" fieldPosition="0"/>
    </format>
  </formats>
  <conditionalFormats count="1">
    <conditionalFormat priority="1">
      <pivotAreas count="1">
        <pivotArea type="data" collapsedLevelsAreSubtotals="1" fieldPosition="0">
          <references count="2">
            <reference field="4294967294" count="1" selected="0">
              <x v="0"/>
            </reference>
            <reference field="9" count="23">
              <x v="0"/>
              <x v="1"/>
              <x v="2"/>
              <x v="3"/>
              <x v="4"/>
              <x v="5"/>
              <x v="6"/>
              <x v="7"/>
              <x v="8"/>
              <x v="9"/>
              <x v="10"/>
              <x v="11"/>
              <x v="12"/>
              <x v="13"/>
              <x v="14"/>
              <x v="15"/>
              <x v="16"/>
              <x v="17"/>
              <x v="18"/>
              <x v="19"/>
              <x v="20"/>
              <x v="21"/>
              <x v="22"/>
            </reference>
          </references>
        </pivotArea>
      </pivotAreas>
    </conditionalFormat>
  </conditionalFormat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8" firstHeaderRow="1"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sortType="ascending" countASubtotal="1">
      <items count="25">
        <item x="0"/>
        <item x="1"/>
        <item x="2"/>
        <item x="3"/>
        <item x="4"/>
        <item x="5"/>
        <item x="6"/>
        <item x="7"/>
        <item x="8"/>
        <item x="9"/>
        <item x="10"/>
        <item x="11"/>
        <item x="12"/>
        <item x="13"/>
        <item x="14"/>
        <item x="15"/>
        <item x="16"/>
        <item x="17"/>
        <item x="18"/>
        <item x="19"/>
        <item x="20"/>
        <item x="21"/>
        <item x="22"/>
        <item x="23"/>
        <item t="countA"/>
      </items>
    </pivotField>
    <pivotField showAll="0"/>
    <pivotField showAll="0">
      <items count="3">
        <item x="1"/>
        <item x="0"/>
        <item t="default"/>
      </items>
    </pivotField>
    <pivotField showAll="0">
      <items count="8">
        <item x="1"/>
        <item x="2"/>
        <item x="3"/>
        <item x="4"/>
        <item x="5"/>
        <item x="6"/>
        <item x="0"/>
        <item t="default"/>
      </items>
    </pivotField>
    <pivotField showAll="0">
      <items count="8">
        <item x="1"/>
        <item x="2"/>
        <item x="3"/>
        <item x="4"/>
        <item x="5"/>
        <item x="6"/>
        <item x="0"/>
        <item t="default"/>
      </items>
    </pivotField>
    <pivotField showAll="0"/>
    <pivotField showAll="0">
      <items count="5">
        <item x="3"/>
        <item x="2"/>
        <item x="1"/>
        <item x="0"/>
        <item t="default"/>
      </items>
    </pivotField>
    <pivotField showAll="0">
      <items count="24">
        <item x="22"/>
        <item x="21"/>
        <item x="20"/>
        <item x="19"/>
        <item x="18"/>
        <item x="16"/>
        <item x="14"/>
        <item x="13"/>
        <item x="15"/>
        <item x="2"/>
        <item x="1"/>
        <item x="0"/>
        <item x="12"/>
        <item x="17"/>
        <item x="11"/>
        <item x="3"/>
        <item x="10"/>
        <item x="5"/>
        <item x="4"/>
        <item x="9"/>
        <item x="6"/>
        <item x="8"/>
        <item x="7"/>
        <item t="default"/>
      </items>
    </pivotField>
    <pivotField showAll="0">
      <items count="32">
        <item x="28"/>
        <item x="29"/>
        <item x="26"/>
        <item x="27"/>
        <item x="22"/>
        <item x="23"/>
        <item x="24"/>
        <item x="15"/>
        <item x="16"/>
        <item x="14"/>
        <item x="20"/>
        <item x="17"/>
        <item x="18"/>
        <item x="13"/>
        <item x="3"/>
        <item x="12"/>
        <item x="11"/>
        <item x="19"/>
        <item x="2"/>
        <item x="1"/>
        <item x="0"/>
        <item x="25"/>
        <item x="21"/>
        <item x="6"/>
        <item x="4"/>
        <item x="30"/>
        <item x="5"/>
        <item x="10"/>
        <item x="7"/>
        <item x="9"/>
        <item x="8"/>
        <item t="default"/>
      </items>
    </pivotField>
    <pivotField showAll="0"/>
    <pivotField showAll="0"/>
    <pivotField showAll="0"/>
    <pivotField showAll="0"/>
    <pivotField dataField="1"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defaultSubtotal="0"/>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cnt" fld="15" baseField="0" baseItem="0"/>
  </dataFields>
  <conditionalFormats count="1">
    <conditionalFormat priority="1">
      <pivotAreas count="1">
        <pivotArea type="data" collapsedLevelsAreSubtotals="1" fieldPosition="0">
          <references count="2">
            <reference field="4294967294" count="1" selected="0">
              <x v="0"/>
            </reference>
            <reference field="2" count="24">
              <x v="0"/>
              <x v="1"/>
              <x v="2"/>
              <x v="3"/>
              <x v="4"/>
              <x v="5"/>
              <x v="6"/>
              <x v="7"/>
              <x v="8"/>
              <x v="9"/>
              <x v="10"/>
              <x v="11"/>
              <x v="12"/>
              <x v="13"/>
              <x v="14"/>
              <x v="15"/>
              <x v="16"/>
              <x v="17"/>
              <x v="18"/>
              <x v="19"/>
              <x v="20"/>
              <x v="21"/>
              <x v="22"/>
              <x v="23"/>
            </reference>
          </references>
        </pivotArea>
      </pivotAreas>
    </conditionalFormat>
  </conditionalFormats>
  <chartFormats count="2">
    <chartFormat chart="4" format="2"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2" autoFormatId="0" applyNumberFormats="0" applyBorderFormats="0" applyFontFormats="1" applyPatternFormats="1" applyAlignmentFormats="0" applyWidthHeightFormats="0">
  <queryTableRefresh preserveSortFilterLayout="0" nextId="15">
    <queryTableFields count="14">
      <queryTableField id="1" name="instant" tableColumnId="29"/>
      <queryTableField id="2" name="dteday" tableColumnId="30"/>
      <queryTableField id="3" name="hr" tableColumnId="31"/>
      <queryTableField id="4" name="holiday" tableColumnId="32"/>
      <queryTableField id="5" name="weekday" tableColumnId="33"/>
      <queryTableField id="6" name="weathersit" tableColumnId="34"/>
      <queryTableField id="7" name="temp" tableColumnId="35"/>
      <queryTableField id="8" name="NewColumn.instant" tableColumnId="36"/>
      <queryTableField id="9" name="atemp" tableColumnId="37"/>
      <queryTableField id="10" name="hum" tableColumnId="38"/>
      <queryTableField id="11" name="windspeed" tableColumnId="39"/>
      <queryTableField id="12" name="casual" tableColumnId="40"/>
      <queryTableField id="13" name="registered" tableColumnId="41"/>
      <queryTableField id="14" name="cnt" tableColumnId="42"/>
    </queryTableFields>
  </queryTableRefresh>
</queryTable>
</file>

<file path=xl/queryTables/queryTable2.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4">
    <queryTableFields count="13">
      <queryTableField id="1" name="instant" tableColumnId="27"/>
      <queryTableField id="2" name="dteday" tableColumnId="28"/>
      <queryTableField id="3" name="hr" tableColumnId="29"/>
      <queryTableField id="4" name="holiday" tableColumnId="30"/>
      <queryTableField id="5" name="weekday" tableColumnId="31"/>
      <queryTableField id="6" name="weathersit" tableColumnId="32"/>
      <queryTableField id="7" name="temp" tableColumnId="33"/>
      <queryTableField id="8" name="atemp" tableColumnId="34"/>
      <queryTableField id="9" name="hum" tableColumnId="35"/>
      <queryTableField id="10" name="windspeed" tableColumnId="36"/>
      <queryTableField id="11" name="casual" tableColumnId="37"/>
      <queryTableField id="12" name="registered" tableColumnId="38"/>
      <queryTableField id="13" name="cnt" tableColumnId="3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teday" sourceName="dteday">
  <pivotTables>
    <pivotTable tabId="9" name="PivotTable7"/>
    <pivotTable tabId="10" name="PivotTable1"/>
    <pivotTable tabId="11" name="PivotTable2"/>
    <pivotTable tabId="12" name="PivotTable1"/>
    <pivotTable tabId="18" name="PivotTable1"/>
    <pivotTable tabId="19" name="PivotTable1"/>
    <pivotTable tabId="20" name="PivotTable1"/>
  </pivotTables>
  <data>
    <tabular pivotCacheId="2">
      <items count="368">
        <i x="32" s="1"/>
        <i x="1" s="1"/>
        <i x="33" s="1"/>
        <i x="2" s="1"/>
        <i x="34" s="1"/>
        <i x="3" s="1"/>
        <i x="35" s="1"/>
        <i x="4" s="1"/>
        <i x="36" s="1"/>
        <i x="5" s="1"/>
        <i x="37" s="1"/>
        <i x="6" s="1"/>
        <i x="38" s="1"/>
        <i x="7" s="1"/>
        <i x="39" s="1"/>
        <i x="8" s="1"/>
        <i x="40" s="1"/>
        <i x="9" s="1"/>
        <i x="41" s="1"/>
        <i x="10" s="1"/>
        <i x="42" s="1"/>
        <i x="11" s="1"/>
        <i x="43" s="1"/>
        <i x="12" s="1"/>
        <i x="44" s="1"/>
        <i x="13" s="1"/>
        <i x="45" s="1"/>
        <i x="14" s="1"/>
        <i x="15" s="1"/>
        <i x="16" s="1"/>
        <i x="17" s="1"/>
        <i x="18" s="1"/>
        <i x="19" s="1"/>
        <i x="20" s="1"/>
        <i x="21" s="1"/>
        <i x="22" s="1"/>
        <i x="23" s="1"/>
        <i x="24" s="1"/>
        <i x="25" s="1"/>
        <i x="26" s="1"/>
        <i x="27" s="1"/>
        <i x="28" s="1"/>
        <i x="29" s="1"/>
        <i x="30" s="1"/>
        <i x="31" s="1"/>
        <i x="0" s="1" nd="1"/>
        <i x="367" s="1" nd="1"/>
        <i x="92" s="1" nd="1"/>
        <i x="214" s="1" nd="1"/>
        <i x="336" s="1" nd="1"/>
        <i x="183" s="1" nd="1"/>
        <i x="153" s="1" nd="1"/>
        <i x="61" s="1" nd="1"/>
        <i x="122" s="1" nd="1"/>
        <i x="306" s="1" nd="1"/>
        <i x="275" s="1" nd="1"/>
        <i x="245" s="1" nd="1"/>
        <i x="93" s="1" nd="1"/>
        <i x="215" s="1" nd="1"/>
        <i x="337" s="1" nd="1"/>
        <i x="184" s="1" nd="1"/>
        <i x="154" s="1" nd="1"/>
        <i x="62" s="1" nd="1"/>
        <i x="123" s="1" nd="1"/>
        <i x="307" s="1" nd="1"/>
        <i x="276" s="1" nd="1"/>
        <i x="246" s="1" nd="1"/>
        <i x="94" s="1" nd="1"/>
        <i x="216" s="1" nd="1"/>
        <i x="338" s="1" nd="1"/>
        <i x="185" s="1" nd="1"/>
        <i x="155" s="1" nd="1"/>
        <i x="63" s="1" nd="1"/>
        <i x="124" s="1" nd="1"/>
        <i x="308" s="1" nd="1"/>
        <i x="277" s="1" nd="1"/>
        <i x="247" s="1" nd="1"/>
        <i x="95" s="1" nd="1"/>
        <i x="217" s="1" nd="1"/>
        <i x="339" s="1" nd="1"/>
        <i x="186" s="1" nd="1"/>
        <i x="156" s="1" nd="1"/>
        <i x="64" s="1" nd="1"/>
        <i x="125" s="1" nd="1"/>
        <i x="309" s="1" nd="1"/>
        <i x="278" s="1" nd="1"/>
        <i x="248" s="1" nd="1"/>
        <i x="96" s="1" nd="1"/>
        <i x="218" s="1" nd="1"/>
        <i x="340" s="1" nd="1"/>
        <i x="187" s="1" nd="1"/>
        <i x="157" s="1" nd="1"/>
        <i x="65" s="1" nd="1"/>
        <i x="126" s="1" nd="1"/>
        <i x="310" s="1" nd="1"/>
        <i x="279" s="1" nd="1"/>
        <i x="249" s="1" nd="1"/>
        <i x="97" s="1" nd="1"/>
        <i x="219" s="1" nd="1"/>
        <i x="341" s="1" nd="1"/>
        <i x="188" s="1" nd="1"/>
        <i x="158" s="1" nd="1"/>
        <i x="66" s="1" nd="1"/>
        <i x="127" s="1" nd="1"/>
        <i x="311" s="1" nd="1"/>
        <i x="280" s="1" nd="1"/>
        <i x="250" s="1" nd="1"/>
        <i x="98" s="1" nd="1"/>
        <i x="220" s="1" nd="1"/>
        <i x="342" s="1" nd="1"/>
        <i x="189" s="1" nd="1"/>
        <i x="159" s="1" nd="1"/>
        <i x="67" s="1" nd="1"/>
        <i x="128" s="1" nd="1"/>
        <i x="312" s="1" nd="1"/>
        <i x="281" s="1" nd="1"/>
        <i x="251" s="1" nd="1"/>
        <i x="99" s="1" nd="1"/>
        <i x="221" s="1" nd="1"/>
        <i x="343" s="1" nd="1"/>
        <i x="190" s="1" nd="1"/>
        <i x="160" s="1" nd="1"/>
        <i x="68" s="1" nd="1"/>
        <i x="129" s="1" nd="1"/>
        <i x="313" s="1" nd="1"/>
        <i x="282" s="1" nd="1"/>
        <i x="252" s="1" nd="1"/>
        <i x="100" s="1" nd="1"/>
        <i x="222" s="1" nd="1"/>
        <i x="344" s="1" nd="1"/>
        <i x="191" s="1" nd="1"/>
        <i x="161" s="1" nd="1"/>
        <i x="69" s="1" nd="1"/>
        <i x="130" s="1" nd="1"/>
        <i x="314" s="1" nd="1"/>
        <i x="283" s="1" nd="1"/>
        <i x="253" s="1" nd="1"/>
        <i x="101" s="1" nd="1"/>
        <i x="223" s="1" nd="1"/>
        <i x="345" s="1" nd="1"/>
        <i x="192" s="1" nd="1"/>
        <i x="162" s="1" nd="1"/>
        <i x="70" s="1" nd="1"/>
        <i x="131" s="1" nd="1"/>
        <i x="315" s="1" nd="1"/>
        <i x="284" s="1" nd="1"/>
        <i x="254" s="1" nd="1"/>
        <i x="102" s="1" nd="1"/>
        <i x="224" s="1" nd="1"/>
        <i x="346" s="1" nd="1"/>
        <i x="193" s="1" nd="1"/>
        <i x="163" s="1" nd="1"/>
        <i x="71" s="1" nd="1"/>
        <i x="132" s="1" nd="1"/>
        <i x="316" s="1" nd="1"/>
        <i x="285" s="1" nd="1"/>
        <i x="255" s="1" nd="1"/>
        <i x="103" s="1" nd="1"/>
        <i x="225" s="1" nd="1"/>
        <i x="347" s="1" nd="1"/>
        <i x="194" s="1" nd="1"/>
        <i x="164" s="1" nd="1"/>
        <i x="72" s="1" nd="1"/>
        <i x="133" s="1" nd="1"/>
        <i x="317" s="1" nd="1"/>
        <i x="286" s="1" nd="1"/>
        <i x="256" s="1" nd="1"/>
        <i x="104" s="1" nd="1"/>
        <i x="226" s="1" nd="1"/>
        <i x="348" s="1" nd="1"/>
        <i x="195" s="1" nd="1"/>
        <i x="165" s="1" nd="1"/>
        <i x="73" s="1" nd="1"/>
        <i x="134" s="1" nd="1"/>
        <i x="318" s="1" nd="1"/>
        <i x="287" s="1" nd="1"/>
        <i x="257" s="1" nd="1"/>
        <i x="105" s="1" nd="1"/>
        <i x="227" s="1" nd="1"/>
        <i x="349" s="1" nd="1"/>
        <i x="196" s="1" nd="1"/>
        <i x="166" s="1" nd="1"/>
        <i x="74" s="1" nd="1"/>
        <i x="135" s="1" nd="1"/>
        <i x="319" s="1" nd="1"/>
        <i x="288" s="1" nd="1"/>
        <i x="258" s="1" nd="1"/>
        <i x="106" s="1" nd="1"/>
        <i x="228" s="1" nd="1"/>
        <i x="350" s="1" nd="1"/>
        <i x="46" s="1" nd="1"/>
        <i x="197" s="1" nd="1"/>
        <i x="167" s="1" nd="1"/>
        <i x="75" s="1" nd="1"/>
        <i x="136" s="1" nd="1"/>
        <i x="320" s="1" nd="1"/>
        <i x="289" s="1" nd="1"/>
        <i x="259" s="1" nd="1"/>
        <i x="107" s="1" nd="1"/>
        <i x="229" s="1" nd="1"/>
        <i x="351" s="1" nd="1"/>
        <i x="47" s="1" nd="1"/>
        <i x="198" s="1" nd="1"/>
        <i x="168" s="1" nd="1"/>
        <i x="76" s="1" nd="1"/>
        <i x="137" s="1" nd="1"/>
        <i x="321" s="1" nd="1"/>
        <i x="290" s="1" nd="1"/>
        <i x="260" s="1" nd="1"/>
        <i x="108" s="1" nd="1"/>
        <i x="230" s="1" nd="1"/>
        <i x="352" s="1" nd="1"/>
        <i x="48" s="1" nd="1"/>
        <i x="199" s="1" nd="1"/>
        <i x="169" s="1" nd="1"/>
        <i x="77" s="1" nd="1"/>
        <i x="138" s="1" nd="1"/>
        <i x="322" s="1" nd="1"/>
        <i x="291" s="1" nd="1"/>
        <i x="261" s="1" nd="1"/>
        <i x="109" s="1" nd="1"/>
        <i x="231" s="1" nd="1"/>
        <i x="353" s="1" nd="1"/>
        <i x="49" s="1" nd="1"/>
        <i x="200" s="1" nd="1"/>
        <i x="170" s="1" nd="1"/>
        <i x="78" s="1" nd="1"/>
        <i x="139" s="1" nd="1"/>
        <i x="323" s="1" nd="1"/>
        <i x="292" s="1" nd="1"/>
        <i x="262" s="1" nd="1"/>
        <i x="110" s="1" nd="1"/>
        <i x="232" s="1" nd="1"/>
        <i x="354" s="1" nd="1"/>
        <i x="50" s="1" nd="1"/>
        <i x="201" s="1" nd="1"/>
        <i x="171" s="1" nd="1"/>
        <i x="79" s="1" nd="1"/>
        <i x="140" s="1" nd="1"/>
        <i x="324" s="1" nd="1"/>
        <i x="293" s="1" nd="1"/>
        <i x="263" s="1" nd="1"/>
        <i x="111" s="1" nd="1"/>
        <i x="233" s="1" nd="1"/>
        <i x="355" s="1" nd="1"/>
        <i x="51" s="1" nd="1"/>
        <i x="202" s="1" nd="1"/>
        <i x="172" s="1" nd="1"/>
        <i x="80" s="1" nd="1"/>
        <i x="141" s="1" nd="1"/>
        <i x="325" s="1" nd="1"/>
        <i x="294" s="1" nd="1"/>
        <i x="264" s="1" nd="1"/>
        <i x="112" s="1" nd="1"/>
        <i x="234" s="1" nd="1"/>
        <i x="356" s="1" nd="1"/>
        <i x="52" s="1" nd="1"/>
        <i x="203" s="1" nd="1"/>
        <i x="173" s="1" nd="1"/>
        <i x="81" s="1" nd="1"/>
        <i x="142" s="1" nd="1"/>
        <i x="326" s="1" nd="1"/>
        <i x="295" s="1" nd="1"/>
        <i x="265" s="1" nd="1"/>
        <i x="113" s="1" nd="1"/>
        <i x="235" s="1" nd="1"/>
        <i x="357" s="1" nd="1"/>
        <i x="53" s="1" nd="1"/>
        <i x="204" s="1" nd="1"/>
        <i x="174" s="1" nd="1"/>
        <i x="82" s="1" nd="1"/>
        <i x="143" s="1" nd="1"/>
        <i x="327" s="1" nd="1"/>
        <i x="296" s="1" nd="1"/>
        <i x="266" s="1" nd="1"/>
        <i x="114" s="1" nd="1"/>
        <i x="236" s="1" nd="1"/>
        <i x="358" s="1" nd="1"/>
        <i x="54" s="1" nd="1"/>
        <i x="205" s="1" nd="1"/>
        <i x="175" s="1" nd="1"/>
        <i x="83" s="1" nd="1"/>
        <i x="144" s="1" nd="1"/>
        <i x="328" s="1" nd="1"/>
        <i x="297" s="1" nd="1"/>
        <i x="267" s="1" nd="1"/>
        <i x="115" s="1" nd="1"/>
        <i x="237" s="1" nd="1"/>
        <i x="359" s="1" nd="1"/>
        <i x="55" s="1" nd="1"/>
        <i x="206" s="1" nd="1"/>
        <i x="176" s="1" nd="1"/>
        <i x="84" s="1" nd="1"/>
        <i x="145" s="1" nd="1"/>
        <i x="329" s="1" nd="1"/>
        <i x="298" s="1" nd="1"/>
        <i x="268" s="1" nd="1"/>
        <i x="116" s="1" nd="1"/>
        <i x="238" s="1" nd="1"/>
        <i x="360" s="1" nd="1"/>
        <i x="56" s="1" nd="1"/>
        <i x="207" s="1" nd="1"/>
        <i x="177" s="1" nd="1"/>
        <i x="85" s="1" nd="1"/>
        <i x="146" s="1" nd="1"/>
        <i x="330" s="1" nd="1"/>
        <i x="299" s="1" nd="1"/>
        <i x="269" s="1" nd="1"/>
        <i x="117" s="1" nd="1"/>
        <i x="239" s="1" nd="1"/>
        <i x="361" s="1" nd="1"/>
        <i x="57" s="1" nd="1"/>
        <i x="208" s="1" nd="1"/>
        <i x="178" s="1" nd="1"/>
        <i x="86" s="1" nd="1"/>
        <i x="147" s="1" nd="1"/>
        <i x="331" s="1" nd="1"/>
        <i x="300" s="1" nd="1"/>
        <i x="270" s="1" nd="1"/>
        <i x="118" s="1" nd="1"/>
        <i x="240" s="1" nd="1"/>
        <i x="362" s="1" nd="1"/>
        <i x="58" s="1" nd="1"/>
        <i x="209" s="1" nd="1"/>
        <i x="179" s="1" nd="1"/>
        <i x="87" s="1" nd="1"/>
        <i x="148" s="1" nd="1"/>
        <i x="332" s="1" nd="1"/>
        <i x="301" s="1" nd="1"/>
        <i x="271" s="1" nd="1"/>
        <i x="119" s="1" nd="1"/>
        <i x="241" s="1" nd="1"/>
        <i x="363" s="1" nd="1"/>
        <i x="59" s="1" nd="1"/>
        <i x="210" s="1" nd="1"/>
        <i x="180" s="1" nd="1"/>
        <i x="88" s="1" nd="1"/>
        <i x="149" s="1" nd="1"/>
        <i x="333" s="1" nd="1"/>
        <i x="302" s="1" nd="1"/>
        <i x="272" s="1" nd="1"/>
        <i x="120" s="1" nd="1"/>
        <i x="242" s="1" nd="1"/>
        <i x="364" s="1" nd="1"/>
        <i x="60" s="1" nd="1"/>
        <i x="211" s="1" nd="1"/>
        <i x="181" s="1" nd="1"/>
        <i x="89" s="1" nd="1"/>
        <i x="150" s="1" nd="1"/>
        <i x="334" s="1" nd="1"/>
        <i x="303" s="1" nd="1"/>
        <i x="273" s="1" nd="1"/>
        <i x="121" s="1" nd="1"/>
        <i x="243" s="1" nd="1"/>
        <i x="365" s="1" nd="1"/>
        <i x="212" s="1" nd="1"/>
        <i x="182" s="1" nd="1"/>
        <i x="90" s="1" nd="1"/>
        <i x="151" s="1" nd="1"/>
        <i x="335" s="1" nd="1"/>
        <i x="304" s="1" nd="1"/>
        <i x="274" s="1" nd="1"/>
        <i x="244" s="1" nd="1"/>
        <i x="366" s="1" nd="1"/>
        <i x="213" s="1" nd="1"/>
        <i x="91" s="1" nd="1"/>
        <i x="152" s="1" nd="1"/>
        <i x="30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Holiday_workingday" sourceName="Holiday/workingday">
  <pivotTables>
    <pivotTable tabId="10" name="PivotTable1"/>
    <pivotTable tabId="9" name="PivotTable7"/>
    <pivotTable tabId="19" name="PivotTable1"/>
    <pivotTable tabId="11" name="PivotTable2"/>
    <pivotTable tabId="12" name="PivotTable1"/>
    <pivotTable tabId="18" name="PivotTable1"/>
    <pivotTable tabId="20" name="PivotTable1"/>
  </pivotTables>
  <data>
    <tabular pivotCacheId="2">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hr" sourceName="hr">
  <pivotTables>
    <pivotTable tabId="11" name="PivotTable2"/>
    <pivotTable tabId="9" name="PivotTable7"/>
    <pivotTable tabId="19" name="PivotTable1"/>
    <pivotTable tabId="10" name="PivotTable1"/>
    <pivotTable tabId="12" name="PivotTable1"/>
    <pivotTable tabId="18" name="PivotTable1"/>
    <pivotTable tabId="20" name="PivotTable1"/>
  </pivotTables>
  <data>
    <tabular pivotCacheId="2">
      <items count="24">
        <i x="0" s="1"/>
        <i x="1" s="1"/>
        <i x="2" s="1"/>
        <i x="3" s="1"/>
        <i x="4" s="1"/>
        <i x="5" s="1"/>
        <i x="6" s="1"/>
        <i x="7" s="1"/>
        <i x="8" s="1"/>
        <i x="9" s="1"/>
        <i x="10" s="1"/>
        <i x="11" s="1"/>
        <i x="12" s="1"/>
        <i x="13" s="1"/>
        <i x="14" s="1"/>
        <i x="15" s="1"/>
        <i x="16" s="1"/>
        <i x="17" s="1"/>
        <i x="18" s="1"/>
        <i x="19" s="1"/>
        <i x="20" s="1"/>
        <i x="21" s="1"/>
        <i x="22" s="1"/>
        <i x="2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week_name1" sourceName="week name">
  <pivotTables>
    <pivotTable tabId="9" name="PivotTable7"/>
    <pivotTable tabId="19" name="PivotTable1"/>
    <pivotTable tabId="10" name="PivotTable1"/>
    <pivotTable tabId="11" name="PivotTable2"/>
    <pivotTable tabId="12" name="PivotTable1"/>
    <pivotTable tabId="18" name="PivotTable1"/>
    <pivotTable tabId="20" name="PivotTable1"/>
  </pivotTables>
  <data>
    <tabular pivotCacheId="2">
      <items count="7">
        <i x="1" s="1"/>
        <i x="2" s="1"/>
        <i x="3" s="1"/>
        <i x="4" s="1"/>
        <i x="5" s="1"/>
        <i x="6"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weather_condition1" sourceName="weather condition">
  <pivotTables>
    <pivotTable tabId="19" name="PivotTable1"/>
    <pivotTable tabId="9" name="PivotTable7"/>
    <pivotTable tabId="10" name="PivotTable1"/>
    <pivotTable tabId="11" name="PivotTable2"/>
    <pivotTable tabId="12" name="PivotTable1"/>
    <pivotTable tabId="18" name="PivotTable1"/>
    <pivotTable tabId="20" name="PivotTable1"/>
  </pivotTables>
  <data>
    <tabular pivotCacheId="2">
      <items count="4">
        <i x="3" s="1"/>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temp" sourceName="temp">
  <pivotTables>
    <pivotTable tabId="12" name="PivotTable1"/>
    <pivotTable tabId="18" name="PivotTable1"/>
    <pivotTable tabId="20" name="PivotTable1"/>
  </pivotTables>
  <data>
    <tabular pivotCacheId="2">
      <items count="23">
        <i x="22" s="1"/>
        <i x="21" s="1"/>
        <i x="20" s="1"/>
        <i x="19" s="1"/>
        <i x="18" s="1"/>
        <i x="16" s="1"/>
        <i x="14" s="1"/>
        <i x="13" s="1"/>
        <i x="15" s="1"/>
        <i x="2" s="1"/>
        <i x="1" s="1"/>
        <i x="0" s="1"/>
        <i x="12" s="1"/>
        <i x="17" s="1"/>
        <i x="11" s="1"/>
        <i x="3" s="1"/>
        <i x="10" s="1"/>
        <i x="5" s="1"/>
        <i x="4" s="1"/>
        <i x="9" s="1"/>
        <i x="6" s="1"/>
        <i x="8" s="1"/>
        <i x="7"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Slicer_atemp" sourceName="atemp">
  <pivotTables>
    <pivotTable tabId="12" name="PivotTable1"/>
    <pivotTable tabId="18" name="PivotTable1"/>
    <pivotTable tabId="20" name="PivotTable1"/>
  </pivotTables>
  <data>
    <tabular pivotCacheId="2">
      <items count="31">
        <i x="28" s="1"/>
        <i x="29" s="1"/>
        <i x="26" s="1"/>
        <i x="27" s="1"/>
        <i x="22" s="1"/>
        <i x="23" s="1"/>
        <i x="24" s="1"/>
        <i x="15" s="1"/>
        <i x="16" s="1"/>
        <i x="14" s="1"/>
        <i x="20" s="1"/>
        <i x="17" s="1"/>
        <i x="18" s="1"/>
        <i x="13" s="1"/>
        <i x="3" s="1"/>
        <i x="12" s="1"/>
        <i x="11" s="1"/>
        <i x="19" s="1"/>
        <i x="2" s="1"/>
        <i x="1" s="1"/>
        <i x="0" s="1"/>
        <i x="25" s="1"/>
        <i x="21" s="1"/>
        <i x="6" s="1"/>
        <i x="4" s="1"/>
        <i x="30" s="1"/>
        <i x="5" s="1"/>
        <i x="10" s="1"/>
        <i x="7" s="1"/>
        <i x="9" s="1"/>
        <i x="8"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mc:Ignorable="x" name="Slicer_weekday" sourceName="weekday">
  <pivotTables>
    <pivotTable tabId="20" name="PivotTable1"/>
  </pivotTables>
  <data>
    <tabular pivotCacheId="2">
      <items count="7">
        <i x="1" s="1"/>
        <i x="2" s="1"/>
        <i x="3" s="1"/>
        <i x="4" s="1"/>
        <i x="5" s="1"/>
        <i x="6"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Holiday/workingday 1" cache="Slicer_Holiday_workingday" caption="Holiday/workingday" rowHeight="241300"/>
  <slicer name="week name 2" cache="Slicer_week_name1" caption="week name" rowHeight="241300"/>
  <slicer name="weather condition 1" cache="Slicer_weather_condition1" caption="weather condition"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hr 1" cache="Slicer_hr" caption="hr" rowHeight="241300"/>
  <slicer name="week name 1" cache="Slicer_week_name1" caption="week name"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Holiday/workingday" cache="Slicer_Holiday_workingday" caption="Holiday/workingday"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dteday 2" cache="Slicer_dteday" caption="dteday" rowHeight="241300"/>
  <slicer name="hr" cache="Slicer_hr" caption="hr" rowHeight="241300"/>
  <slicer name="week name" cache="Slicer_week_name1" caption="week name" rowHeight="241300"/>
</slicers>
</file>

<file path=xl/slicers/slicer5.xml><?xml version="1.0" encoding="utf-8"?>
<slicers xmlns="http://schemas.microsoft.com/office/spreadsheetml/2009/9/main" xmlns:mc="http://schemas.openxmlformats.org/markup-compatibility/2006" xmlns:x="http://schemas.openxmlformats.org/spreadsheetml/2006/main" mc:Ignorable="x">
  <slicer name="week name 3" cache="Slicer_week_name1" caption="week name" rowHeight="241300"/>
  <slicer name="temp" cache="Slicer_temp" caption="temp" rowHeight="241300"/>
  <slicer name="atemp" cache="Slicer_atemp" caption="atemp" rowHeight="241300"/>
</slicers>
</file>

<file path=xl/slicers/slicer6.xml><?xml version="1.0" encoding="utf-8"?>
<slicers xmlns="http://schemas.microsoft.com/office/spreadsheetml/2009/9/main" xmlns:mc="http://schemas.openxmlformats.org/markup-compatibility/2006" xmlns:x="http://schemas.openxmlformats.org/spreadsheetml/2006/main" mc:Ignorable="x">
  <slicer name="Holiday/workingday 2" cache="Slicer_Holiday_workingday" caption="Holiday/workingday" rowHeight="241300"/>
  <slicer name="temp 1" cache="Slicer_temp" caption="temp" rowHeight="241300"/>
</slicers>
</file>

<file path=xl/slicers/slicer7.xml><?xml version="1.0" encoding="utf-8"?>
<slicers xmlns="http://schemas.microsoft.com/office/spreadsheetml/2009/9/main" xmlns:mc="http://schemas.openxmlformats.org/markup-compatibility/2006" xmlns:x="http://schemas.openxmlformats.org/spreadsheetml/2006/main" mc:Ignorable="x">
  <slicer name="hr 3" cache="Slicer_hr" caption="hr" rowHeight="241300"/>
  <slicer name="week name 5" cache="Slicer_week_name1" caption="week name" rowHeight="241300"/>
  <slicer name="weekday" cache="Slicer_weekday" caption="weekday" rowHeight="241300"/>
</slicers>
</file>

<file path=xl/slicers/slicer8.xml><?xml version="1.0" encoding="utf-8"?>
<slicers xmlns="http://schemas.microsoft.com/office/spreadsheetml/2009/9/main" xmlns:mc="http://schemas.openxmlformats.org/markup-compatibility/2006" xmlns:x="http://schemas.openxmlformats.org/spreadsheetml/2006/main" mc:Ignorable="x">
  <slicer name="dteday 3" cache="Slicer_dteday" caption="dteday" startItem="34" rowHeight="241300"/>
  <slicer name="Holiday/workingday 3" cache="Slicer_Holiday_workingday" caption="Holiday/workingday" rowHeight="241300"/>
  <slicer name="hr 2" cache="Slicer_hr" caption="hr" startItem="14" rowHeight="241300"/>
  <slicer name="week name 4" cache="Slicer_week_name1" caption="week name" rowHeight="241300"/>
  <slicer name="weather condition 2" cache="Slicer_weather_condition1" caption="weather condition" rowHeight="241300"/>
  <slicer name="weekday 1" cache="Slicer_weekday" caption="weekda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id="1" name="dataset_a__2" displayName="dataset_a__2" ref="A1:N611" tableType="queryTable" totalsRowShown="0">
  <autoFilter ref="A1:N611"/>
  <tableColumns count="14">
    <tableColumn id="29" uniqueName="29" name="instant" queryTableFieldId="1"/>
    <tableColumn id="30" uniqueName="30" name="dteday" queryTableFieldId="2" dataDxfId="51"/>
    <tableColumn id="31" uniqueName="31" name="hr" queryTableFieldId="3"/>
    <tableColumn id="32" uniqueName="32" name="holiday" queryTableFieldId="4"/>
    <tableColumn id="33" uniqueName="33" name="weekday" queryTableFieldId="5"/>
    <tableColumn id="34" uniqueName="34" name="weathersit" queryTableFieldId="6"/>
    <tableColumn id="35" uniqueName="35" name="temp" queryTableFieldId="7"/>
    <tableColumn id="36" uniqueName="36" name="NewColumn.instant" queryTableFieldId="8"/>
    <tableColumn id="37" uniqueName="37" name="atemp" queryTableFieldId="9"/>
    <tableColumn id="38" uniqueName="38" name="hum" queryTableFieldId="10"/>
    <tableColumn id="39" uniqueName="39" name="windspeed" queryTableFieldId="11"/>
    <tableColumn id="40" uniqueName="40" name="casual" queryTableFieldId="12"/>
    <tableColumn id="41" uniqueName="41" name="registered" queryTableFieldId="13"/>
    <tableColumn id="42" uniqueName="42" name="cnt" queryTableFieldId="14"/>
  </tableColumns>
  <tableStyleInfo name="TableStyleMedium7" showFirstColumn="0" showLastColumn="0" showRowStripes="1" showColumnStripes="0"/>
</table>
</file>

<file path=xl/tables/table2.xml><?xml version="1.0" encoding="utf-8"?>
<table xmlns="http://schemas.openxmlformats.org/spreadsheetml/2006/main" id="2" name="dataset_3__2" displayName="dataset_3__2" ref="A1:M391" tableType="queryTable" totalsRowShown="0">
  <autoFilter ref="A1:M391"/>
  <tableColumns count="13">
    <tableColumn id="27" uniqueName="27" name="instant" queryTableFieldId="1"/>
    <tableColumn id="28" uniqueName="28" name="dteday" queryTableFieldId="2" dataDxfId="50"/>
    <tableColumn id="29" uniqueName="29" name="hr" queryTableFieldId="3"/>
    <tableColumn id="30" uniqueName="30" name="holiday" queryTableFieldId="4"/>
    <tableColumn id="31" uniqueName="31" name="weekday" queryTableFieldId="5"/>
    <tableColumn id="32" uniqueName="32" name="weathersit" queryTableFieldId="6"/>
    <tableColumn id="33" uniqueName="33" name="temp" queryTableFieldId="7"/>
    <tableColumn id="34" uniqueName="34" name="atemp" queryTableFieldId="8"/>
    <tableColumn id="35" uniqueName="35" name="hum" queryTableFieldId="9"/>
    <tableColumn id="36" uniqueName="36" name="windspeed" queryTableFieldId="10"/>
    <tableColumn id="37" uniqueName="37" name="casual" queryTableFieldId="11"/>
    <tableColumn id="38" uniqueName="38" name="registered" queryTableFieldId="12"/>
    <tableColumn id="39" uniqueName="39" name="cnt" queryTableField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microsoft.com/office/2007/relationships/slicer" Target="../slicers/slicer8.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11"/>
  <sheetViews>
    <sheetView tabSelected="1" topLeftCell="A583" workbookViewId="0">
      <selection activeCell="O590" sqref="O590"/>
    </sheetView>
  </sheetViews>
  <sheetFormatPr defaultRowHeight="15" x14ac:dyDescent="0.25"/>
  <cols>
    <col min="1" max="1" width="9.42578125" bestFit="1" customWidth="1"/>
    <col min="2" max="2" width="10.7109375" bestFit="1" customWidth="1"/>
    <col min="3" max="3" width="5.140625" bestFit="1" customWidth="1"/>
    <col min="4" max="4" width="9.85546875" bestFit="1" customWidth="1"/>
    <col min="5" max="5" width="11.28515625" bestFit="1" customWidth="1"/>
    <col min="6" max="6" width="12.85546875" bestFit="1" customWidth="1"/>
    <col min="7" max="7" width="8" bestFit="1" customWidth="1"/>
    <col min="8" max="8" width="21.28515625" bestFit="1" customWidth="1"/>
    <col min="9" max="9" width="9" bestFit="1" customWidth="1"/>
    <col min="10" max="10" width="7.28515625" bestFit="1" customWidth="1"/>
    <col min="11" max="11" width="13.140625" bestFit="1" customWidth="1"/>
    <col min="12" max="12" width="8.7109375" bestFit="1" customWidth="1"/>
    <col min="13" max="13" width="12.42578125" bestFit="1" customWidth="1"/>
    <col min="14" max="14" width="6" bestFit="1"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s="1">
        <v>1</v>
      </c>
      <c r="B2" s="2">
        <v>40544</v>
      </c>
      <c r="C2" s="1">
        <v>0</v>
      </c>
      <c r="D2" s="1" t="b">
        <v>0</v>
      </c>
      <c r="E2" s="1">
        <v>6</v>
      </c>
      <c r="F2" s="1">
        <v>1</v>
      </c>
      <c r="G2" s="1">
        <v>0.24</v>
      </c>
      <c r="H2" s="1">
        <v>1</v>
      </c>
      <c r="I2" s="1">
        <v>0.28789999999999999</v>
      </c>
      <c r="J2" s="1">
        <v>0.81</v>
      </c>
      <c r="K2" s="1">
        <v>0</v>
      </c>
      <c r="L2" s="1">
        <v>3</v>
      </c>
      <c r="M2" s="1">
        <v>13</v>
      </c>
      <c r="N2" s="1">
        <v>16</v>
      </c>
    </row>
    <row r="3" spans="1:14" x14ac:dyDescent="0.25">
      <c r="A3" s="1">
        <v>2</v>
      </c>
      <c r="B3" s="2">
        <v>40544</v>
      </c>
      <c r="C3" s="1">
        <v>1</v>
      </c>
      <c r="D3" s="1" t="b">
        <v>0</v>
      </c>
      <c r="E3" s="1">
        <v>6</v>
      </c>
      <c r="F3" s="1">
        <v>1</v>
      </c>
      <c r="G3" s="1">
        <v>0.22</v>
      </c>
      <c r="H3" s="1">
        <v>2</v>
      </c>
      <c r="I3" s="1">
        <v>0.2727</v>
      </c>
      <c r="J3" s="1">
        <v>0.8</v>
      </c>
      <c r="K3" s="1">
        <v>0</v>
      </c>
      <c r="L3" s="1">
        <v>8</v>
      </c>
      <c r="M3" s="1">
        <v>32</v>
      </c>
      <c r="N3" s="1">
        <v>40</v>
      </c>
    </row>
    <row r="4" spans="1:14" x14ac:dyDescent="0.25">
      <c r="A4" s="1">
        <v>3</v>
      </c>
      <c r="B4" s="2">
        <v>40544</v>
      </c>
      <c r="C4" s="1">
        <v>2</v>
      </c>
      <c r="D4" s="1" t="b">
        <v>0</v>
      </c>
      <c r="E4" s="1">
        <v>6</v>
      </c>
      <c r="F4" s="1">
        <v>1</v>
      </c>
      <c r="G4" s="1">
        <v>0.22</v>
      </c>
      <c r="H4" s="1">
        <v>3</v>
      </c>
      <c r="I4" s="1">
        <v>0.2727</v>
      </c>
      <c r="J4" s="1">
        <v>0.8</v>
      </c>
      <c r="K4" s="1">
        <v>0</v>
      </c>
      <c r="L4" s="1">
        <v>5</v>
      </c>
      <c r="M4" s="1">
        <v>27</v>
      </c>
      <c r="N4" s="1">
        <v>32</v>
      </c>
    </row>
    <row r="5" spans="1:14" x14ac:dyDescent="0.25">
      <c r="A5" s="1">
        <v>4</v>
      </c>
      <c r="B5" s="2">
        <v>40544</v>
      </c>
      <c r="C5" s="1">
        <v>3</v>
      </c>
      <c r="D5" s="1" t="b">
        <v>0</v>
      </c>
      <c r="E5" s="1">
        <v>6</v>
      </c>
      <c r="F5" s="1">
        <v>1</v>
      </c>
      <c r="G5" s="1">
        <v>0.24</v>
      </c>
      <c r="H5" s="1">
        <v>4</v>
      </c>
      <c r="I5" s="1">
        <v>0.28789999999999999</v>
      </c>
      <c r="J5" s="1">
        <v>0.75</v>
      </c>
      <c r="K5" s="1">
        <v>0</v>
      </c>
      <c r="L5" s="1">
        <v>3</v>
      </c>
      <c r="M5" s="1">
        <v>10</v>
      </c>
      <c r="N5" s="1">
        <v>13</v>
      </c>
    </row>
    <row r="6" spans="1:14" x14ac:dyDescent="0.25">
      <c r="A6" s="1">
        <v>5</v>
      </c>
      <c r="B6" s="2">
        <v>40544</v>
      </c>
      <c r="C6" s="1">
        <v>4</v>
      </c>
      <c r="D6" s="1" t="b">
        <v>0</v>
      </c>
      <c r="E6" s="1">
        <v>6</v>
      </c>
      <c r="F6" s="1">
        <v>1</v>
      </c>
      <c r="G6" s="1">
        <v>0.24</v>
      </c>
      <c r="H6" s="1">
        <v>5</v>
      </c>
      <c r="I6" s="1">
        <v>0.28789999999999999</v>
      </c>
      <c r="J6" s="1">
        <v>0.75</v>
      </c>
      <c r="K6" s="1">
        <v>0</v>
      </c>
      <c r="L6" s="1">
        <v>0</v>
      </c>
      <c r="M6" s="1">
        <v>1</v>
      </c>
      <c r="N6" s="1">
        <v>1</v>
      </c>
    </row>
    <row r="7" spans="1:14" x14ac:dyDescent="0.25">
      <c r="A7" s="1">
        <v>6</v>
      </c>
      <c r="B7" s="2">
        <v>40544</v>
      </c>
      <c r="C7" s="1">
        <v>5</v>
      </c>
      <c r="D7" s="1" t="b">
        <v>0</v>
      </c>
      <c r="E7" s="1">
        <v>6</v>
      </c>
      <c r="F7" s="1">
        <v>2</v>
      </c>
      <c r="G7" s="1">
        <v>0.24</v>
      </c>
      <c r="H7" s="1">
        <v>6</v>
      </c>
      <c r="I7" s="1">
        <v>0.2576</v>
      </c>
      <c r="J7" s="1">
        <v>0.75</v>
      </c>
      <c r="K7" s="1">
        <v>8.9599999999999999E-2</v>
      </c>
      <c r="L7" s="1">
        <v>0</v>
      </c>
      <c r="M7" s="1">
        <v>1</v>
      </c>
      <c r="N7" s="1">
        <v>1</v>
      </c>
    </row>
    <row r="8" spans="1:14" x14ac:dyDescent="0.25">
      <c r="A8" s="1">
        <v>7</v>
      </c>
      <c r="B8" s="2">
        <v>40544</v>
      </c>
      <c r="C8" s="1">
        <v>6</v>
      </c>
      <c r="D8" s="1" t="b">
        <v>0</v>
      </c>
      <c r="E8" s="1">
        <v>6</v>
      </c>
      <c r="F8" s="1">
        <v>1</v>
      </c>
      <c r="G8" s="1">
        <v>0.22</v>
      </c>
      <c r="H8" s="1">
        <v>7</v>
      </c>
      <c r="I8" s="1">
        <v>0.2727</v>
      </c>
      <c r="J8" s="1">
        <v>0.8</v>
      </c>
      <c r="K8" s="1">
        <v>0</v>
      </c>
      <c r="L8" s="1">
        <v>2</v>
      </c>
      <c r="M8" s="1">
        <v>0</v>
      </c>
      <c r="N8" s="1">
        <v>2</v>
      </c>
    </row>
    <row r="9" spans="1:14" x14ac:dyDescent="0.25">
      <c r="A9" s="1">
        <v>8</v>
      </c>
      <c r="B9" s="2">
        <v>40544</v>
      </c>
      <c r="C9" s="1">
        <v>7</v>
      </c>
      <c r="D9" s="1" t="b">
        <v>0</v>
      </c>
      <c r="E9" s="1">
        <v>6</v>
      </c>
      <c r="F9" s="1">
        <v>1</v>
      </c>
      <c r="G9" s="1">
        <v>0.2</v>
      </c>
      <c r="H9" s="1">
        <v>8</v>
      </c>
      <c r="I9" s="1">
        <v>0.2576</v>
      </c>
      <c r="J9" s="1">
        <v>0.86</v>
      </c>
      <c r="K9" s="1">
        <v>0</v>
      </c>
      <c r="L9" s="1">
        <v>1</v>
      </c>
      <c r="M9" s="1">
        <v>2</v>
      </c>
      <c r="N9" s="1">
        <v>3</v>
      </c>
    </row>
    <row r="10" spans="1:14" x14ac:dyDescent="0.25">
      <c r="A10" s="1">
        <v>9</v>
      </c>
      <c r="B10" s="2">
        <v>40544</v>
      </c>
      <c r="C10" s="1">
        <v>8</v>
      </c>
      <c r="D10" s="1" t="b">
        <v>0</v>
      </c>
      <c r="E10" s="1">
        <v>6</v>
      </c>
      <c r="F10" s="1">
        <v>1</v>
      </c>
      <c r="G10" s="1">
        <v>0.24</v>
      </c>
      <c r="H10" s="1">
        <v>9</v>
      </c>
      <c r="I10" s="1">
        <v>0.2</v>
      </c>
      <c r="J10" s="1">
        <v>0.75</v>
      </c>
      <c r="K10" s="1">
        <v>0</v>
      </c>
      <c r="L10" s="1">
        <v>1</v>
      </c>
      <c r="M10" s="1">
        <v>7</v>
      </c>
      <c r="N10" s="1">
        <v>8</v>
      </c>
    </row>
    <row r="11" spans="1:14" x14ac:dyDescent="0.25">
      <c r="A11" s="1">
        <v>10</v>
      </c>
      <c r="B11" s="2">
        <v>40544</v>
      </c>
      <c r="C11" s="1">
        <v>9</v>
      </c>
      <c r="D11" s="1" t="b">
        <v>0</v>
      </c>
      <c r="E11" s="1">
        <v>6</v>
      </c>
      <c r="F11" s="1">
        <v>1</v>
      </c>
      <c r="G11" s="1">
        <v>0.32</v>
      </c>
      <c r="H11" s="1">
        <v>10</v>
      </c>
      <c r="I11" s="1">
        <v>0.34849999999999998</v>
      </c>
      <c r="J11" s="1">
        <v>0.76</v>
      </c>
      <c r="K11" s="1">
        <v>0</v>
      </c>
      <c r="L11" s="1">
        <v>8</v>
      </c>
      <c r="M11" s="1">
        <v>6</v>
      </c>
      <c r="N11" s="1">
        <v>14</v>
      </c>
    </row>
    <row r="12" spans="1:14" x14ac:dyDescent="0.25">
      <c r="A12" s="1">
        <v>11</v>
      </c>
      <c r="B12" s="2">
        <v>40544</v>
      </c>
      <c r="C12" s="1">
        <v>10</v>
      </c>
      <c r="D12" s="1" t="b">
        <v>0</v>
      </c>
      <c r="E12" s="1">
        <v>6</v>
      </c>
      <c r="F12" s="1">
        <v>1</v>
      </c>
      <c r="G12" s="1">
        <v>0.38</v>
      </c>
      <c r="H12" s="1">
        <v>11</v>
      </c>
      <c r="I12" s="1">
        <v>0.39389999999999997</v>
      </c>
      <c r="J12" s="1">
        <v>0.76</v>
      </c>
      <c r="K12" s="1">
        <v>0.25369999999999998</v>
      </c>
      <c r="L12" s="1">
        <v>12</v>
      </c>
      <c r="M12" s="1">
        <v>24</v>
      </c>
      <c r="N12" s="1">
        <v>36</v>
      </c>
    </row>
    <row r="13" spans="1:14" x14ac:dyDescent="0.25">
      <c r="A13" s="1">
        <v>12</v>
      </c>
      <c r="B13" s="2">
        <v>40544</v>
      </c>
      <c r="C13" s="1">
        <v>11</v>
      </c>
      <c r="D13" s="1" t="b">
        <v>0</v>
      </c>
      <c r="E13" s="1">
        <v>6</v>
      </c>
      <c r="F13" s="1">
        <v>1</v>
      </c>
      <c r="G13" s="1">
        <v>0.36</v>
      </c>
      <c r="H13" s="1">
        <v>12</v>
      </c>
      <c r="I13" s="1">
        <v>0.33329999999999999</v>
      </c>
      <c r="J13" s="1">
        <v>0.81</v>
      </c>
      <c r="K13" s="1">
        <v>0.28360000000000002</v>
      </c>
      <c r="L13" s="1">
        <v>26</v>
      </c>
      <c r="M13" s="1">
        <v>30</v>
      </c>
      <c r="N13" s="1">
        <v>56</v>
      </c>
    </row>
    <row r="14" spans="1:14" x14ac:dyDescent="0.25">
      <c r="A14" s="1">
        <v>13</v>
      </c>
      <c r="B14" s="2">
        <v>40544</v>
      </c>
      <c r="C14" s="1">
        <v>12</v>
      </c>
      <c r="D14" s="1" t="b">
        <v>0</v>
      </c>
      <c r="E14" s="1">
        <v>6</v>
      </c>
      <c r="F14" s="1">
        <v>1</v>
      </c>
      <c r="G14" s="1">
        <v>0.42</v>
      </c>
      <c r="H14" s="1">
        <v>13</v>
      </c>
      <c r="I14" s="1">
        <v>0.42420000000000002</v>
      </c>
      <c r="J14" s="1">
        <v>0.77</v>
      </c>
      <c r="K14" s="1">
        <v>0.28360000000000002</v>
      </c>
      <c r="L14" s="1">
        <v>29</v>
      </c>
      <c r="M14" s="1">
        <v>55</v>
      </c>
      <c r="N14" s="1">
        <v>84</v>
      </c>
    </row>
    <row r="15" spans="1:14" x14ac:dyDescent="0.25">
      <c r="A15" s="1">
        <v>14</v>
      </c>
      <c r="B15" s="2">
        <v>40544</v>
      </c>
      <c r="C15" s="1">
        <v>13</v>
      </c>
      <c r="D15" s="1" t="b">
        <v>0</v>
      </c>
      <c r="E15" s="1">
        <v>6</v>
      </c>
      <c r="F15" s="1">
        <v>2</v>
      </c>
      <c r="G15" s="1">
        <v>0.46</v>
      </c>
      <c r="H15" s="1">
        <v>14</v>
      </c>
      <c r="I15" s="1">
        <v>0.45450000000000002</v>
      </c>
      <c r="J15" s="1">
        <v>0.72</v>
      </c>
      <c r="K15" s="1">
        <v>0.29849999999999999</v>
      </c>
      <c r="L15" s="1">
        <v>47</v>
      </c>
      <c r="M15" s="1">
        <v>47</v>
      </c>
      <c r="N15" s="1">
        <v>94</v>
      </c>
    </row>
    <row r="16" spans="1:14" x14ac:dyDescent="0.25">
      <c r="A16" s="1">
        <v>15</v>
      </c>
      <c r="B16" s="2">
        <v>40544</v>
      </c>
      <c r="C16" s="1">
        <v>14</v>
      </c>
      <c r="D16" s="1" t="b">
        <v>0</v>
      </c>
      <c r="E16" s="1">
        <v>6</v>
      </c>
      <c r="F16" s="1">
        <v>2</v>
      </c>
      <c r="G16" s="1">
        <v>0.46</v>
      </c>
      <c r="H16" s="1">
        <v>15</v>
      </c>
      <c r="I16" s="1">
        <v>0.45450000000000002</v>
      </c>
      <c r="J16" s="1">
        <v>0.72</v>
      </c>
      <c r="K16" s="1">
        <v>0.28360000000000002</v>
      </c>
      <c r="L16" s="1">
        <v>35</v>
      </c>
      <c r="M16" s="1">
        <v>71</v>
      </c>
      <c r="N16" s="1">
        <v>106</v>
      </c>
    </row>
    <row r="17" spans="1:14" x14ac:dyDescent="0.25">
      <c r="A17" s="1">
        <v>16</v>
      </c>
      <c r="B17" s="2">
        <v>40544</v>
      </c>
      <c r="C17" s="1">
        <v>15</v>
      </c>
      <c r="D17" s="1" t="b">
        <v>0</v>
      </c>
      <c r="E17" s="1">
        <v>6</v>
      </c>
      <c r="F17" s="1">
        <v>2</v>
      </c>
      <c r="G17" s="1">
        <v>0.44</v>
      </c>
      <c r="H17" s="1">
        <v>16</v>
      </c>
      <c r="I17" s="1">
        <v>0.43940000000000001</v>
      </c>
      <c r="J17" s="1">
        <v>0.77</v>
      </c>
      <c r="K17" s="1">
        <v>0.29849999999999999</v>
      </c>
      <c r="L17" s="1">
        <v>40</v>
      </c>
      <c r="M17" s="1">
        <v>70</v>
      </c>
      <c r="N17" s="1">
        <v>110</v>
      </c>
    </row>
    <row r="18" spans="1:14" x14ac:dyDescent="0.25">
      <c r="A18" s="1">
        <v>17</v>
      </c>
      <c r="B18" s="2">
        <v>40544</v>
      </c>
      <c r="C18" s="1">
        <v>16</v>
      </c>
      <c r="D18" s="1" t="b">
        <v>0</v>
      </c>
      <c r="E18" s="1">
        <v>6</v>
      </c>
      <c r="F18" s="1">
        <v>2</v>
      </c>
      <c r="G18" s="1">
        <v>0.42</v>
      </c>
      <c r="H18" s="1">
        <v>17</v>
      </c>
      <c r="I18" s="1">
        <v>0.42420000000000002</v>
      </c>
      <c r="J18" s="1">
        <v>0.82</v>
      </c>
      <c r="K18" s="1">
        <v>0.29849999999999999</v>
      </c>
      <c r="L18" s="1">
        <v>41</v>
      </c>
      <c r="M18" s="1">
        <v>52</v>
      </c>
      <c r="N18" s="1">
        <v>93</v>
      </c>
    </row>
    <row r="19" spans="1:14" x14ac:dyDescent="0.25">
      <c r="A19" s="1">
        <v>18</v>
      </c>
      <c r="B19" s="2">
        <v>40544</v>
      </c>
      <c r="C19" s="1">
        <v>17</v>
      </c>
      <c r="D19" s="1" t="b">
        <v>0</v>
      </c>
      <c r="E19" s="1">
        <v>6</v>
      </c>
      <c r="F19" s="1">
        <v>2</v>
      </c>
      <c r="G19" s="1">
        <v>0.44</v>
      </c>
      <c r="H19" s="1">
        <v>18</v>
      </c>
      <c r="I19" s="1">
        <v>0.2</v>
      </c>
      <c r="J19" s="1">
        <v>0.82</v>
      </c>
      <c r="K19" s="1">
        <v>0.28360000000000002</v>
      </c>
      <c r="L19" s="1">
        <v>15</v>
      </c>
      <c r="M19" s="1">
        <v>52</v>
      </c>
      <c r="N19" s="1">
        <v>67</v>
      </c>
    </row>
    <row r="20" spans="1:14" x14ac:dyDescent="0.25">
      <c r="A20" s="1">
        <v>19</v>
      </c>
      <c r="B20" s="2">
        <v>40544</v>
      </c>
      <c r="C20" s="1">
        <v>18</v>
      </c>
      <c r="D20" s="1" t="b">
        <v>0</v>
      </c>
      <c r="E20" s="1">
        <v>6</v>
      </c>
      <c r="F20" s="1">
        <v>3</v>
      </c>
      <c r="G20" s="1">
        <v>0.42</v>
      </c>
      <c r="H20" s="1">
        <v>19</v>
      </c>
      <c r="I20" s="1">
        <v>0.42420000000000002</v>
      </c>
      <c r="J20" s="1">
        <v>0.88</v>
      </c>
      <c r="K20" s="1">
        <v>0.25369999999999998</v>
      </c>
      <c r="L20" s="1">
        <v>9</v>
      </c>
      <c r="M20" s="1">
        <v>26</v>
      </c>
      <c r="N20" s="1">
        <v>35</v>
      </c>
    </row>
    <row r="21" spans="1:14" x14ac:dyDescent="0.25">
      <c r="A21" s="1">
        <v>20</v>
      </c>
      <c r="B21" s="2">
        <v>40544</v>
      </c>
      <c r="C21" s="1">
        <v>19</v>
      </c>
      <c r="D21" s="1" t="b">
        <v>0</v>
      </c>
      <c r="E21" s="1">
        <v>6</v>
      </c>
      <c r="F21" s="1">
        <v>3</v>
      </c>
      <c r="G21" s="1">
        <v>0.42</v>
      </c>
      <c r="H21" s="1">
        <v>20</v>
      </c>
      <c r="I21" s="1">
        <v>0.42420000000000002</v>
      </c>
      <c r="J21" s="1">
        <v>0.88</v>
      </c>
      <c r="K21" s="1">
        <v>0.25369999999999998</v>
      </c>
      <c r="L21" s="1">
        <v>6</v>
      </c>
      <c r="M21" s="1">
        <v>31</v>
      </c>
      <c r="N21" s="1">
        <v>37</v>
      </c>
    </row>
    <row r="22" spans="1:14" x14ac:dyDescent="0.25">
      <c r="A22" s="1">
        <v>21</v>
      </c>
      <c r="B22" s="2">
        <v>40544</v>
      </c>
      <c r="C22" s="1">
        <v>20</v>
      </c>
      <c r="D22" s="1" t="b">
        <v>0</v>
      </c>
      <c r="E22" s="1">
        <v>6</v>
      </c>
      <c r="F22" s="1">
        <v>2</v>
      </c>
      <c r="G22" s="1">
        <v>0.4</v>
      </c>
      <c r="H22" s="1">
        <v>21</v>
      </c>
      <c r="I22" s="1">
        <v>0.40910000000000002</v>
      </c>
      <c r="J22" s="1">
        <v>0.87</v>
      </c>
      <c r="K22" s="1">
        <v>0.25369999999999998</v>
      </c>
      <c r="L22" s="1">
        <v>11</v>
      </c>
      <c r="M22" s="1">
        <v>25</v>
      </c>
      <c r="N22" s="1">
        <v>36</v>
      </c>
    </row>
    <row r="23" spans="1:14" x14ac:dyDescent="0.25">
      <c r="A23" s="1">
        <v>22</v>
      </c>
      <c r="B23" s="2">
        <v>40544</v>
      </c>
      <c r="C23" s="1">
        <v>21</v>
      </c>
      <c r="D23" s="1" t="b">
        <v>0</v>
      </c>
      <c r="E23" s="1">
        <v>6</v>
      </c>
      <c r="F23" s="1">
        <v>2</v>
      </c>
      <c r="G23" s="1">
        <v>0.4</v>
      </c>
      <c r="H23" s="1">
        <v>22</v>
      </c>
      <c r="I23" s="1">
        <v>0.40910000000000002</v>
      </c>
      <c r="J23" s="1">
        <v>0.87</v>
      </c>
      <c r="K23" s="1">
        <v>0.19400000000000001</v>
      </c>
      <c r="L23" s="1">
        <v>3</v>
      </c>
      <c r="M23" s="1">
        <v>31</v>
      </c>
      <c r="N23" s="1">
        <v>34</v>
      </c>
    </row>
    <row r="24" spans="1:14" x14ac:dyDescent="0.25">
      <c r="A24" s="1">
        <v>23</v>
      </c>
      <c r="B24" s="2">
        <v>40544</v>
      </c>
      <c r="C24" s="1">
        <v>22</v>
      </c>
      <c r="D24" s="1" t="b">
        <v>0</v>
      </c>
      <c r="E24" s="1">
        <v>6</v>
      </c>
      <c r="F24" s="1">
        <v>2</v>
      </c>
      <c r="G24" s="1">
        <v>0.4</v>
      </c>
      <c r="H24" s="1">
        <v>23</v>
      </c>
      <c r="I24" s="1">
        <v>0.40910000000000002</v>
      </c>
      <c r="J24" s="1">
        <v>0.94</v>
      </c>
      <c r="K24" s="1">
        <v>0.22389999999999999</v>
      </c>
      <c r="L24" s="1">
        <v>11</v>
      </c>
      <c r="M24" s="1">
        <v>17</v>
      </c>
      <c r="N24" s="1">
        <v>28</v>
      </c>
    </row>
    <row r="25" spans="1:14" x14ac:dyDescent="0.25">
      <c r="A25" s="1">
        <v>24</v>
      </c>
      <c r="B25" s="2">
        <v>40544</v>
      </c>
      <c r="C25" s="1">
        <v>23</v>
      </c>
      <c r="D25" s="1" t="b">
        <v>0</v>
      </c>
      <c r="E25" s="1">
        <v>6</v>
      </c>
      <c r="F25" s="1">
        <v>2</v>
      </c>
      <c r="G25" s="1">
        <v>0.46</v>
      </c>
      <c r="H25" s="1">
        <v>24</v>
      </c>
      <c r="I25" s="1">
        <v>0.2</v>
      </c>
      <c r="J25" s="1">
        <v>0.88</v>
      </c>
      <c r="K25" s="1">
        <v>0.29849999999999999</v>
      </c>
      <c r="L25" s="1">
        <v>15</v>
      </c>
      <c r="M25" s="1">
        <v>24</v>
      </c>
      <c r="N25" s="1">
        <v>39</v>
      </c>
    </row>
    <row r="26" spans="1:14" x14ac:dyDescent="0.25">
      <c r="A26" s="1">
        <v>25</v>
      </c>
      <c r="B26" s="2">
        <v>40545</v>
      </c>
      <c r="C26" s="1">
        <v>0</v>
      </c>
      <c r="D26" s="1" t="b">
        <v>0</v>
      </c>
      <c r="E26" s="1">
        <v>0</v>
      </c>
      <c r="F26" s="1">
        <v>2</v>
      </c>
      <c r="G26" s="1">
        <v>0.46</v>
      </c>
      <c r="H26" s="1">
        <v>25</v>
      </c>
      <c r="I26" s="1">
        <v>0.45450000000000002</v>
      </c>
      <c r="J26" s="1">
        <v>0.88</v>
      </c>
      <c r="K26" s="1">
        <v>0.29849999999999999</v>
      </c>
      <c r="L26" s="1">
        <v>4</v>
      </c>
      <c r="M26" s="1">
        <v>13</v>
      </c>
      <c r="N26" s="1">
        <v>17</v>
      </c>
    </row>
    <row r="27" spans="1:14" x14ac:dyDescent="0.25">
      <c r="A27" s="1">
        <v>26</v>
      </c>
      <c r="B27" s="2">
        <v>40545</v>
      </c>
      <c r="C27" s="1">
        <v>1</v>
      </c>
      <c r="D27" s="1" t="b">
        <v>0</v>
      </c>
      <c r="E27" s="1">
        <v>0</v>
      </c>
      <c r="F27" s="1">
        <v>2</v>
      </c>
      <c r="G27" s="1">
        <v>0.44</v>
      </c>
      <c r="H27" s="1">
        <v>26</v>
      </c>
      <c r="I27" s="1">
        <v>0.43940000000000001</v>
      </c>
      <c r="J27" s="1">
        <v>0.94</v>
      </c>
      <c r="K27" s="1">
        <v>0.25369999999999998</v>
      </c>
      <c r="L27" s="1">
        <v>1</v>
      </c>
      <c r="M27" s="1">
        <v>16</v>
      </c>
      <c r="N27" s="1">
        <v>17</v>
      </c>
    </row>
    <row r="28" spans="1:14" x14ac:dyDescent="0.25">
      <c r="A28" s="1">
        <v>27</v>
      </c>
      <c r="B28" s="2">
        <v>40545</v>
      </c>
      <c r="C28" s="1">
        <v>2</v>
      </c>
      <c r="D28" s="1" t="b">
        <v>0</v>
      </c>
      <c r="E28" s="1">
        <v>0</v>
      </c>
      <c r="F28" s="1">
        <v>2</v>
      </c>
      <c r="G28" s="1">
        <v>0.42</v>
      </c>
      <c r="H28" s="1">
        <v>27</v>
      </c>
      <c r="I28" s="1">
        <v>0.42420000000000002</v>
      </c>
      <c r="J28" s="1">
        <v>1</v>
      </c>
      <c r="K28" s="1">
        <v>0.28360000000000002</v>
      </c>
      <c r="L28" s="1">
        <v>1</v>
      </c>
      <c r="M28" s="1">
        <v>8</v>
      </c>
      <c r="N28" s="1">
        <v>9</v>
      </c>
    </row>
    <row r="29" spans="1:14" x14ac:dyDescent="0.25">
      <c r="A29" s="1">
        <v>28</v>
      </c>
      <c r="B29" s="2">
        <v>40545</v>
      </c>
      <c r="C29" s="1">
        <v>3</v>
      </c>
      <c r="D29" s="1" t="b">
        <v>0</v>
      </c>
      <c r="E29" s="1">
        <v>0</v>
      </c>
      <c r="F29" s="1">
        <v>2</v>
      </c>
      <c r="G29" s="1">
        <v>0.46</v>
      </c>
      <c r="H29" s="1">
        <v>28</v>
      </c>
      <c r="I29" s="1">
        <v>0.45450000000000002</v>
      </c>
      <c r="J29" s="1">
        <v>0.94</v>
      </c>
      <c r="K29" s="1">
        <v>0.19400000000000001</v>
      </c>
      <c r="L29" s="1">
        <v>2</v>
      </c>
      <c r="M29" s="1">
        <v>4</v>
      </c>
      <c r="N29" s="1">
        <v>6</v>
      </c>
    </row>
    <row r="30" spans="1:14" x14ac:dyDescent="0.25">
      <c r="A30" s="1">
        <v>29</v>
      </c>
      <c r="B30" s="2">
        <v>40545</v>
      </c>
      <c r="C30" s="1">
        <v>4</v>
      </c>
      <c r="D30" s="1" t="b">
        <v>0</v>
      </c>
      <c r="E30" s="1">
        <v>0</v>
      </c>
      <c r="F30" s="1">
        <v>2</v>
      </c>
      <c r="G30" s="1">
        <v>0.46</v>
      </c>
      <c r="H30" s="1">
        <v>29</v>
      </c>
      <c r="I30" s="1">
        <v>0.2</v>
      </c>
      <c r="J30" s="1">
        <v>0.94</v>
      </c>
      <c r="K30" s="1">
        <v>0.19400000000000001</v>
      </c>
      <c r="L30" s="1">
        <v>2</v>
      </c>
      <c r="M30" s="1">
        <v>1</v>
      </c>
      <c r="N30" s="1">
        <v>3</v>
      </c>
    </row>
    <row r="31" spans="1:14" x14ac:dyDescent="0.25">
      <c r="A31" s="1">
        <v>30</v>
      </c>
      <c r="B31" s="2">
        <v>40545</v>
      </c>
      <c r="C31" s="1">
        <v>6</v>
      </c>
      <c r="D31" s="1" t="b">
        <v>0</v>
      </c>
      <c r="E31" s="1">
        <v>0</v>
      </c>
      <c r="F31" s="1">
        <v>3</v>
      </c>
      <c r="G31" s="1">
        <v>0.42</v>
      </c>
      <c r="H31" s="1">
        <v>30</v>
      </c>
      <c r="I31" s="1">
        <v>0.42420000000000002</v>
      </c>
      <c r="J31" s="1">
        <v>0.77</v>
      </c>
      <c r="K31" s="1">
        <v>0.29849999999999999</v>
      </c>
      <c r="L31" s="1">
        <v>0</v>
      </c>
      <c r="M31" s="1">
        <v>2</v>
      </c>
      <c r="N31" s="1">
        <v>2</v>
      </c>
    </row>
    <row r="32" spans="1:14" x14ac:dyDescent="0.25">
      <c r="A32" s="1">
        <v>31</v>
      </c>
      <c r="B32" s="2">
        <v>40545</v>
      </c>
      <c r="C32" s="1">
        <v>7</v>
      </c>
      <c r="D32" s="1" t="b">
        <v>0</v>
      </c>
      <c r="E32" s="1">
        <v>0</v>
      </c>
      <c r="F32" s="1">
        <v>2</v>
      </c>
      <c r="G32" s="1">
        <v>0.4</v>
      </c>
      <c r="H32" s="1">
        <v>31</v>
      </c>
      <c r="I32" s="1">
        <v>0.40910000000000002</v>
      </c>
      <c r="J32" s="1">
        <v>0.76</v>
      </c>
      <c r="K32" s="1">
        <v>0.19400000000000001</v>
      </c>
      <c r="L32" s="1">
        <v>0</v>
      </c>
      <c r="M32" s="1">
        <v>1</v>
      </c>
      <c r="N32" s="1">
        <v>1</v>
      </c>
    </row>
    <row r="33" spans="1:14" x14ac:dyDescent="0.25">
      <c r="A33" s="1">
        <v>32</v>
      </c>
      <c r="B33" s="2">
        <v>40545</v>
      </c>
      <c r="C33" s="1">
        <v>8</v>
      </c>
      <c r="D33" s="1" t="b">
        <v>0</v>
      </c>
      <c r="E33" s="1">
        <v>0</v>
      </c>
      <c r="F33" s="1">
        <v>3</v>
      </c>
      <c r="G33" s="1">
        <v>0.4</v>
      </c>
      <c r="H33" s="1">
        <v>32</v>
      </c>
      <c r="I33" s="1">
        <v>0.40910000000000002</v>
      </c>
      <c r="J33" s="1">
        <v>0.71</v>
      </c>
      <c r="K33" s="1">
        <v>0.22389999999999999</v>
      </c>
      <c r="L33" s="1">
        <v>0</v>
      </c>
      <c r="M33" s="1">
        <v>8</v>
      </c>
      <c r="N33" s="1">
        <v>8</v>
      </c>
    </row>
    <row r="34" spans="1:14" x14ac:dyDescent="0.25">
      <c r="A34" s="1">
        <v>33</v>
      </c>
      <c r="B34" s="2">
        <v>40545</v>
      </c>
      <c r="C34" s="1">
        <v>9</v>
      </c>
      <c r="D34" s="1" t="b">
        <v>0</v>
      </c>
      <c r="E34" s="1">
        <v>0</v>
      </c>
      <c r="F34" s="1">
        <v>2</v>
      </c>
      <c r="G34" s="1">
        <v>0.38</v>
      </c>
      <c r="H34" s="1">
        <v>33</v>
      </c>
      <c r="I34" s="1">
        <v>0.2</v>
      </c>
      <c r="J34" s="1">
        <v>0.76</v>
      </c>
      <c r="K34" s="1">
        <v>0.22389999999999999</v>
      </c>
      <c r="L34" s="1">
        <v>1</v>
      </c>
      <c r="M34" s="1">
        <v>19</v>
      </c>
      <c r="N34" s="1">
        <v>20</v>
      </c>
    </row>
    <row r="35" spans="1:14" x14ac:dyDescent="0.25">
      <c r="A35" s="1">
        <v>34</v>
      </c>
      <c r="B35" s="2">
        <v>40545</v>
      </c>
      <c r="C35" s="1">
        <v>10</v>
      </c>
      <c r="D35" s="1" t="b">
        <v>0</v>
      </c>
      <c r="E35" s="1">
        <v>0</v>
      </c>
      <c r="F35" s="1">
        <v>2</v>
      </c>
      <c r="G35" s="1">
        <v>0.36</v>
      </c>
      <c r="H35" s="1">
        <v>34</v>
      </c>
      <c r="I35" s="1">
        <v>0.34849999999999998</v>
      </c>
      <c r="J35" s="1">
        <v>0.81</v>
      </c>
      <c r="K35" s="1">
        <v>0.22389999999999999</v>
      </c>
      <c r="L35" s="1">
        <v>7</v>
      </c>
      <c r="M35" s="1">
        <v>46</v>
      </c>
      <c r="N35" s="1">
        <v>53</v>
      </c>
    </row>
    <row r="36" spans="1:14" x14ac:dyDescent="0.25">
      <c r="A36" s="1">
        <v>35</v>
      </c>
      <c r="B36" s="2">
        <v>40545</v>
      </c>
      <c r="C36" s="1">
        <v>11</v>
      </c>
      <c r="D36" s="1" t="b">
        <v>0</v>
      </c>
      <c r="E36" s="1">
        <v>0</v>
      </c>
      <c r="F36" s="1">
        <v>2</v>
      </c>
      <c r="G36" s="1">
        <v>0.36</v>
      </c>
      <c r="H36" s="1">
        <v>35</v>
      </c>
      <c r="I36" s="1">
        <v>0.33329999999999999</v>
      </c>
      <c r="J36" s="1">
        <v>0.71</v>
      </c>
      <c r="K36" s="1">
        <v>0.25369999999999998</v>
      </c>
      <c r="L36" s="1">
        <v>16</v>
      </c>
      <c r="M36" s="1">
        <v>54</v>
      </c>
      <c r="N36" s="1">
        <v>70</v>
      </c>
    </row>
    <row r="37" spans="1:14" x14ac:dyDescent="0.25">
      <c r="A37" s="1">
        <v>36</v>
      </c>
      <c r="B37" s="2">
        <v>40545</v>
      </c>
      <c r="C37" s="1">
        <v>12</v>
      </c>
      <c r="D37" s="1" t="b">
        <v>0</v>
      </c>
      <c r="E37" s="1">
        <v>0</v>
      </c>
      <c r="F37" s="1">
        <v>2</v>
      </c>
      <c r="G37" s="1">
        <v>0.36</v>
      </c>
      <c r="H37" s="1">
        <v>36</v>
      </c>
      <c r="I37" s="1">
        <v>0.33329999999999999</v>
      </c>
      <c r="J37" s="1">
        <v>0.66</v>
      </c>
      <c r="K37" s="1">
        <v>0.29849999999999999</v>
      </c>
      <c r="L37" s="1">
        <v>20</v>
      </c>
      <c r="M37" s="1">
        <v>73</v>
      </c>
      <c r="N37" s="1">
        <v>93</v>
      </c>
    </row>
    <row r="38" spans="1:14" x14ac:dyDescent="0.25">
      <c r="A38" s="1">
        <v>37</v>
      </c>
      <c r="B38" s="2">
        <v>40545</v>
      </c>
      <c r="C38" s="1">
        <v>13</v>
      </c>
      <c r="D38" s="1" t="b">
        <v>0</v>
      </c>
      <c r="E38" s="1">
        <v>0</v>
      </c>
      <c r="F38" s="1">
        <v>2</v>
      </c>
      <c r="G38" s="1">
        <v>0.36</v>
      </c>
      <c r="H38" s="1">
        <v>37</v>
      </c>
      <c r="I38" s="1">
        <v>0.34849999999999998</v>
      </c>
      <c r="J38" s="1">
        <v>0.66</v>
      </c>
      <c r="K38" s="1">
        <v>0.1343</v>
      </c>
      <c r="L38" s="1">
        <v>11</v>
      </c>
      <c r="M38" s="1">
        <v>64</v>
      </c>
      <c r="N38" s="1">
        <v>75</v>
      </c>
    </row>
    <row r="39" spans="1:14" x14ac:dyDescent="0.25">
      <c r="A39" s="1">
        <v>38</v>
      </c>
      <c r="B39" s="2">
        <v>40545</v>
      </c>
      <c r="C39" s="1">
        <v>14</v>
      </c>
      <c r="D39" s="1" t="b">
        <v>0</v>
      </c>
      <c r="E39" s="1">
        <v>0</v>
      </c>
      <c r="F39" s="1">
        <v>3</v>
      </c>
      <c r="G39" s="1">
        <v>0.36</v>
      </c>
      <c r="H39" s="1">
        <v>38</v>
      </c>
      <c r="I39" s="1">
        <v>0.2</v>
      </c>
      <c r="J39" s="1">
        <v>0.76</v>
      </c>
      <c r="K39" s="1">
        <v>0.19400000000000001</v>
      </c>
      <c r="L39" s="1">
        <v>4</v>
      </c>
      <c r="M39" s="1">
        <v>55</v>
      </c>
      <c r="N39" s="1">
        <v>59</v>
      </c>
    </row>
    <row r="40" spans="1:14" x14ac:dyDescent="0.25">
      <c r="A40" s="1">
        <v>39</v>
      </c>
      <c r="B40" s="2">
        <v>40545</v>
      </c>
      <c r="C40" s="1">
        <v>15</v>
      </c>
      <c r="D40" s="1" t="b">
        <v>0</v>
      </c>
      <c r="E40" s="1">
        <v>0</v>
      </c>
      <c r="F40" s="1">
        <v>3</v>
      </c>
      <c r="G40" s="1">
        <v>0.34</v>
      </c>
      <c r="H40" s="1">
        <v>39</v>
      </c>
      <c r="I40" s="1">
        <v>0.33329999999999999</v>
      </c>
      <c r="J40" s="1">
        <v>0.81</v>
      </c>
      <c r="K40" s="1">
        <v>0.16420000000000001</v>
      </c>
      <c r="L40" s="1">
        <v>19</v>
      </c>
      <c r="M40" s="1">
        <v>55</v>
      </c>
      <c r="N40" s="1">
        <v>74</v>
      </c>
    </row>
    <row r="41" spans="1:14" x14ac:dyDescent="0.25">
      <c r="A41" s="1">
        <v>40</v>
      </c>
      <c r="B41" s="2">
        <v>40545</v>
      </c>
      <c r="C41" s="1">
        <v>16</v>
      </c>
      <c r="D41" s="1" t="b">
        <v>0</v>
      </c>
      <c r="E41" s="1">
        <v>0</v>
      </c>
      <c r="F41" s="1">
        <v>3</v>
      </c>
      <c r="G41" s="1">
        <v>0.34</v>
      </c>
      <c r="H41" s="1">
        <v>40</v>
      </c>
      <c r="I41" s="1">
        <v>0.33329999999999999</v>
      </c>
      <c r="J41" s="1">
        <v>0.71</v>
      </c>
      <c r="K41" s="1">
        <v>0.16420000000000001</v>
      </c>
      <c r="L41" s="1">
        <v>9</v>
      </c>
      <c r="M41" s="1">
        <v>67</v>
      </c>
      <c r="N41" s="1">
        <v>76</v>
      </c>
    </row>
    <row r="42" spans="1:14" x14ac:dyDescent="0.25">
      <c r="A42" s="1">
        <v>41</v>
      </c>
      <c r="B42" s="2">
        <v>40545</v>
      </c>
      <c r="C42" s="1">
        <v>17</v>
      </c>
      <c r="D42" s="1" t="b">
        <v>0</v>
      </c>
      <c r="E42" s="1">
        <v>0</v>
      </c>
      <c r="F42" s="1">
        <v>1</v>
      </c>
      <c r="G42" s="1">
        <v>0.34</v>
      </c>
      <c r="H42" s="1">
        <v>41</v>
      </c>
      <c r="I42" s="1">
        <v>0.33329999999999999</v>
      </c>
      <c r="J42" s="1">
        <v>0.56999999999999995</v>
      </c>
      <c r="K42" s="1">
        <v>0.19400000000000001</v>
      </c>
      <c r="L42" s="1">
        <v>7</v>
      </c>
      <c r="M42" s="1">
        <v>58</v>
      </c>
      <c r="N42" s="1">
        <v>65</v>
      </c>
    </row>
    <row r="43" spans="1:14" x14ac:dyDescent="0.25">
      <c r="A43" s="1">
        <v>42</v>
      </c>
      <c r="B43" s="2">
        <v>40545</v>
      </c>
      <c r="C43" s="1">
        <v>18</v>
      </c>
      <c r="D43" s="1" t="b">
        <v>0</v>
      </c>
      <c r="E43" s="1">
        <v>0</v>
      </c>
      <c r="F43" s="1">
        <v>2</v>
      </c>
      <c r="G43" s="1">
        <v>0.36</v>
      </c>
      <c r="H43" s="1">
        <v>42</v>
      </c>
      <c r="I43" s="1">
        <v>0.33329999999999999</v>
      </c>
      <c r="J43" s="1">
        <v>0.46</v>
      </c>
      <c r="K43" s="1">
        <v>0.32840000000000003</v>
      </c>
      <c r="L43" s="1">
        <v>10</v>
      </c>
      <c r="M43" s="1">
        <v>43</v>
      </c>
      <c r="N43" s="1">
        <v>53</v>
      </c>
    </row>
    <row r="44" spans="1:14" x14ac:dyDescent="0.25">
      <c r="A44" s="1">
        <v>43</v>
      </c>
      <c r="B44" s="2">
        <v>40545</v>
      </c>
      <c r="C44" s="1">
        <v>19</v>
      </c>
      <c r="D44" s="1" t="b">
        <v>0</v>
      </c>
      <c r="E44" s="1">
        <v>0</v>
      </c>
      <c r="F44" s="1">
        <v>1</v>
      </c>
      <c r="G44" s="1">
        <v>0.32</v>
      </c>
      <c r="H44" s="1">
        <v>43</v>
      </c>
      <c r="I44" s="1">
        <v>0.28789999999999999</v>
      </c>
      <c r="J44" s="1">
        <v>0.42</v>
      </c>
      <c r="K44" s="1">
        <v>0.44779999999999998</v>
      </c>
      <c r="L44" s="1">
        <v>1</v>
      </c>
      <c r="M44" s="1">
        <v>29</v>
      </c>
      <c r="N44" s="1">
        <v>30</v>
      </c>
    </row>
    <row r="45" spans="1:14" x14ac:dyDescent="0.25">
      <c r="A45" s="1">
        <v>44</v>
      </c>
      <c r="B45" s="2">
        <v>40545</v>
      </c>
      <c r="C45" s="1">
        <v>20</v>
      </c>
      <c r="D45" s="1" t="b">
        <v>0</v>
      </c>
      <c r="E45" s="1">
        <v>0</v>
      </c>
      <c r="F45" s="1">
        <v>1</v>
      </c>
      <c r="G45" s="1">
        <v>0.3</v>
      </c>
      <c r="H45" s="1">
        <v>44</v>
      </c>
      <c r="I45" s="1">
        <v>0.2</v>
      </c>
      <c r="J45" s="1">
        <v>0.39</v>
      </c>
      <c r="K45" s="1">
        <v>0.35820000000000002</v>
      </c>
      <c r="L45" s="1">
        <v>5</v>
      </c>
      <c r="M45" s="1">
        <v>17</v>
      </c>
      <c r="N45" s="1">
        <v>22</v>
      </c>
    </row>
    <row r="46" spans="1:14" x14ac:dyDescent="0.25">
      <c r="A46" s="1">
        <v>45</v>
      </c>
      <c r="B46" s="2">
        <v>40545</v>
      </c>
      <c r="C46" s="1">
        <v>21</v>
      </c>
      <c r="D46" s="1" t="b">
        <v>0</v>
      </c>
      <c r="E46" s="1">
        <v>0</v>
      </c>
      <c r="F46" s="1">
        <v>1</v>
      </c>
      <c r="G46" s="1">
        <v>0.26</v>
      </c>
      <c r="H46" s="1">
        <v>45</v>
      </c>
      <c r="I46" s="1">
        <v>0.2273</v>
      </c>
      <c r="J46" s="1">
        <v>0.44</v>
      </c>
      <c r="K46" s="1">
        <v>0.32840000000000003</v>
      </c>
      <c r="L46" s="1">
        <v>11</v>
      </c>
      <c r="M46" s="1">
        <v>20</v>
      </c>
      <c r="N46" s="1">
        <v>31</v>
      </c>
    </row>
    <row r="47" spans="1:14" x14ac:dyDescent="0.25">
      <c r="A47" s="1">
        <v>46</v>
      </c>
      <c r="B47" s="2">
        <v>40545</v>
      </c>
      <c r="C47" s="1">
        <v>22</v>
      </c>
      <c r="D47" s="1" t="b">
        <v>0</v>
      </c>
      <c r="E47" s="1">
        <v>0</v>
      </c>
      <c r="F47" s="1">
        <v>1</v>
      </c>
      <c r="G47" s="1">
        <v>0.24</v>
      </c>
      <c r="H47" s="1">
        <v>46</v>
      </c>
      <c r="I47" s="1">
        <v>0.21210000000000001</v>
      </c>
      <c r="J47" s="1">
        <v>0.44</v>
      </c>
      <c r="K47" s="1">
        <v>0.29849999999999999</v>
      </c>
      <c r="L47" s="1">
        <v>0</v>
      </c>
      <c r="M47" s="1">
        <v>9</v>
      </c>
      <c r="N47" s="1">
        <v>9</v>
      </c>
    </row>
    <row r="48" spans="1:14" x14ac:dyDescent="0.25">
      <c r="A48" s="1">
        <v>47</v>
      </c>
      <c r="B48" s="2">
        <v>40545</v>
      </c>
      <c r="C48" s="1">
        <v>23</v>
      </c>
      <c r="D48" s="1" t="b">
        <v>0</v>
      </c>
      <c r="E48" s="1">
        <v>0</v>
      </c>
      <c r="F48" s="1">
        <v>1</v>
      </c>
      <c r="G48" s="1">
        <v>0.22</v>
      </c>
      <c r="H48" s="1">
        <v>47</v>
      </c>
      <c r="I48" s="1">
        <v>0.2273</v>
      </c>
      <c r="J48" s="1">
        <v>0.47</v>
      </c>
      <c r="K48" s="1">
        <v>0.16420000000000001</v>
      </c>
      <c r="L48" s="1">
        <v>0</v>
      </c>
      <c r="M48" s="1">
        <v>8</v>
      </c>
      <c r="N48" s="1">
        <v>8</v>
      </c>
    </row>
    <row r="49" spans="1:14" x14ac:dyDescent="0.25">
      <c r="A49" s="1">
        <v>48</v>
      </c>
      <c r="B49" s="2">
        <v>40546</v>
      </c>
      <c r="C49" s="1">
        <v>0</v>
      </c>
      <c r="D49" s="1" t="b">
        <v>0</v>
      </c>
      <c r="E49" s="1">
        <v>1</v>
      </c>
      <c r="F49" s="1">
        <v>1</v>
      </c>
      <c r="G49" s="1">
        <v>0.22</v>
      </c>
      <c r="H49" s="1">
        <v>48</v>
      </c>
      <c r="I49" s="1">
        <v>0.19700000000000001</v>
      </c>
      <c r="J49" s="1">
        <v>0.44</v>
      </c>
      <c r="K49" s="1">
        <v>0.35820000000000002</v>
      </c>
      <c r="L49" s="1">
        <v>0</v>
      </c>
      <c r="M49" s="1">
        <v>5</v>
      </c>
      <c r="N49" s="1">
        <v>5</v>
      </c>
    </row>
    <row r="50" spans="1:14" x14ac:dyDescent="0.25">
      <c r="A50" s="1">
        <v>49</v>
      </c>
      <c r="B50" s="2">
        <v>40546</v>
      </c>
      <c r="C50" s="1">
        <v>1</v>
      </c>
      <c r="D50" s="1" t="b">
        <v>0</v>
      </c>
      <c r="E50" s="1">
        <v>1</v>
      </c>
      <c r="F50" s="1">
        <v>1</v>
      </c>
      <c r="G50" s="1">
        <v>0.2</v>
      </c>
      <c r="H50" s="1">
        <v>49</v>
      </c>
      <c r="I50" s="1">
        <v>0.2</v>
      </c>
      <c r="J50" s="1">
        <v>0.44</v>
      </c>
      <c r="K50" s="1">
        <v>0.41789999999999999</v>
      </c>
      <c r="L50" s="1">
        <v>0</v>
      </c>
      <c r="M50" s="1">
        <v>2</v>
      </c>
      <c r="N50" s="1">
        <v>2</v>
      </c>
    </row>
    <row r="51" spans="1:14" x14ac:dyDescent="0.25">
      <c r="A51" s="1">
        <v>50</v>
      </c>
      <c r="B51" s="2">
        <v>40546</v>
      </c>
      <c r="C51" s="1">
        <v>4</v>
      </c>
      <c r="D51" s="1" t="b">
        <v>0</v>
      </c>
      <c r="E51" s="1">
        <v>1</v>
      </c>
      <c r="F51" s="1">
        <v>1</v>
      </c>
      <c r="G51" s="1">
        <v>0.16</v>
      </c>
      <c r="H51" s="1">
        <v>50</v>
      </c>
      <c r="I51" s="1">
        <v>0.13639999999999999</v>
      </c>
      <c r="J51" s="1">
        <v>0.47</v>
      </c>
      <c r="K51" s="1">
        <v>0.3881</v>
      </c>
      <c r="L51" s="1">
        <v>0</v>
      </c>
      <c r="M51" s="1">
        <v>1</v>
      </c>
      <c r="N51" s="1">
        <v>1</v>
      </c>
    </row>
    <row r="52" spans="1:14" x14ac:dyDescent="0.25">
      <c r="A52" s="1">
        <v>51</v>
      </c>
      <c r="B52" s="2">
        <v>40546</v>
      </c>
      <c r="C52" s="1">
        <v>5</v>
      </c>
      <c r="D52" s="1" t="b">
        <v>0</v>
      </c>
      <c r="E52" s="1">
        <v>1</v>
      </c>
      <c r="F52" s="1">
        <v>1</v>
      </c>
      <c r="G52" s="1">
        <v>0.16</v>
      </c>
      <c r="H52" s="1">
        <v>51</v>
      </c>
      <c r="I52" s="1">
        <v>0.13639999999999999</v>
      </c>
      <c r="J52" s="1">
        <v>0.47</v>
      </c>
      <c r="K52" s="1">
        <v>0.28360000000000002</v>
      </c>
      <c r="L52" s="1">
        <v>0</v>
      </c>
      <c r="M52" s="1">
        <v>3</v>
      </c>
      <c r="N52" s="1">
        <v>3</v>
      </c>
    </row>
    <row r="53" spans="1:14" x14ac:dyDescent="0.25">
      <c r="A53" s="1">
        <v>52</v>
      </c>
      <c r="B53" s="2">
        <v>40546</v>
      </c>
      <c r="C53" s="1">
        <v>6</v>
      </c>
      <c r="D53" s="1" t="b">
        <v>0</v>
      </c>
      <c r="E53" s="1">
        <v>1</v>
      </c>
      <c r="F53" s="1">
        <v>1</v>
      </c>
      <c r="G53" s="1">
        <v>0.14000000000000001</v>
      </c>
      <c r="H53" s="1">
        <v>52</v>
      </c>
      <c r="I53" s="1">
        <v>0.1061</v>
      </c>
      <c r="J53" s="1">
        <v>0.5</v>
      </c>
      <c r="K53" s="1">
        <v>0.3881</v>
      </c>
      <c r="L53" s="1">
        <v>0</v>
      </c>
      <c r="M53" s="1">
        <v>30</v>
      </c>
      <c r="N53" s="1">
        <v>30</v>
      </c>
    </row>
    <row r="54" spans="1:14" x14ac:dyDescent="0.25">
      <c r="A54" s="1">
        <v>53</v>
      </c>
      <c r="B54" s="2">
        <v>40546</v>
      </c>
      <c r="C54" s="1">
        <v>7</v>
      </c>
      <c r="D54" s="1" t="b">
        <v>0</v>
      </c>
      <c r="E54" s="1">
        <v>1</v>
      </c>
      <c r="F54" s="1">
        <v>1</v>
      </c>
      <c r="G54" s="1">
        <v>0.14000000000000001</v>
      </c>
      <c r="H54" s="1">
        <v>53</v>
      </c>
      <c r="I54" s="1">
        <v>0.13639999999999999</v>
      </c>
      <c r="J54" s="1">
        <v>0.5</v>
      </c>
      <c r="K54" s="1">
        <v>0.19400000000000001</v>
      </c>
      <c r="L54" s="1">
        <v>1</v>
      </c>
      <c r="M54" s="1">
        <v>63</v>
      </c>
      <c r="N54" s="1">
        <v>64</v>
      </c>
    </row>
    <row r="55" spans="1:14" x14ac:dyDescent="0.25">
      <c r="A55" s="1">
        <v>54</v>
      </c>
      <c r="B55" s="2">
        <v>40546</v>
      </c>
      <c r="C55" s="1">
        <v>8</v>
      </c>
      <c r="D55" s="1" t="b">
        <v>0</v>
      </c>
      <c r="E55" s="1">
        <v>1</v>
      </c>
      <c r="F55" s="1">
        <v>1</v>
      </c>
      <c r="G55" s="1">
        <v>0.14000000000000001</v>
      </c>
      <c r="H55" s="1">
        <v>54</v>
      </c>
      <c r="I55" s="1">
        <v>0.1212</v>
      </c>
      <c r="J55" s="1">
        <v>0.5</v>
      </c>
      <c r="K55" s="1">
        <v>0.28360000000000002</v>
      </c>
      <c r="L55" s="1">
        <v>1</v>
      </c>
      <c r="M55" s="1">
        <v>153</v>
      </c>
      <c r="N55" s="1">
        <v>154</v>
      </c>
    </row>
    <row r="56" spans="1:14" x14ac:dyDescent="0.25">
      <c r="A56" s="1">
        <v>55</v>
      </c>
      <c r="B56" s="2">
        <v>40546</v>
      </c>
      <c r="C56" s="1">
        <v>9</v>
      </c>
      <c r="D56" s="1" t="b">
        <v>0</v>
      </c>
      <c r="E56" s="1">
        <v>1</v>
      </c>
      <c r="F56" s="1">
        <v>1</v>
      </c>
      <c r="G56" s="1">
        <v>0.16</v>
      </c>
      <c r="H56" s="1">
        <v>55</v>
      </c>
      <c r="I56" s="1">
        <v>0.13639999999999999</v>
      </c>
      <c r="J56" s="1">
        <v>0.43</v>
      </c>
      <c r="K56" s="1">
        <v>0.3881</v>
      </c>
      <c r="L56" s="1">
        <v>7</v>
      </c>
      <c r="M56" s="1">
        <v>81</v>
      </c>
      <c r="N56" s="1">
        <v>88</v>
      </c>
    </row>
    <row r="57" spans="1:14" x14ac:dyDescent="0.25">
      <c r="A57" s="1">
        <v>56</v>
      </c>
      <c r="B57" s="2">
        <v>40546</v>
      </c>
      <c r="C57" s="1">
        <v>10</v>
      </c>
      <c r="D57" s="1" t="b">
        <v>0</v>
      </c>
      <c r="E57" s="1">
        <v>1</v>
      </c>
      <c r="F57" s="1">
        <v>1</v>
      </c>
      <c r="G57" s="1">
        <v>0.18</v>
      </c>
      <c r="H57" s="1">
        <v>56</v>
      </c>
      <c r="I57" s="1">
        <v>0.16669999999999999</v>
      </c>
      <c r="J57" s="1">
        <v>0.43</v>
      </c>
      <c r="K57" s="1">
        <v>0.25369999999999998</v>
      </c>
      <c r="L57" s="1">
        <v>11</v>
      </c>
      <c r="M57" s="1">
        <v>33</v>
      </c>
      <c r="N57" s="1">
        <v>44</v>
      </c>
    </row>
    <row r="58" spans="1:14" x14ac:dyDescent="0.25">
      <c r="A58" s="1">
        <v>57</v>
      </c>
      <c r="B58" s="2">
        <v>40546</v>
      </c>
      <c r="C58" s="1">
        <v>11</v>
      </c>
      <c r="D58" s="1" t="b">
        <v>0</v>
      </c>
      <c r="E58" s="1">
        <v>1</v>
      </c>
      <c r="F58" s="1">
        <v>1</v>
      </c>
      <c r="G58" s="1">
        <v>0.2</v>
      </c>
      <c r="H58" s="1">
        <v>57</v>
      </c>
      <c r="I58" s="1">
        <v>0.18179999999999999</v>
      </c>
      <c r="J58" s="1">
        <v>0.4</v>
      </c>
      <c r="K58" s="1">
        <v>0.32840000000000003</v>
      </c>
      <c r="L58" s="1">
        <v>10</v>
      </c>
      <c r="M58" s="1">
        <v>41</v>
      </c>
      <c r="N58" s="1">
        <v>51</v>
      </c>
    </row>
    <row r="59" spans="1:14" x14ac:dyDescent="0.25">
      <c r="A59" s="1">
        <v>58</v>
      </c>
      <c r="B59" s="2">
        <v>40546</v>
      </c>
      <c r="C59" s="1">
        <v>12</v>
      </c>
      <c r="D59" s="1" t="b">
        <v>0</v>
      </c>
      <c r="E59" s="1">
        <v>1</v>
      </c>
      <c r="F59" s="1">
        <v>1</v>
      </c>
      <c r="G59" s="1">
        <v>0.22</v>
      </c>
      <c r="H59" s="1">
        <v>58</v>
      </c>
      <c r="I59" s="1">
        <v>0.21210000000000001</v>
      </c>
      <c r="J59" s="1">
        <v>0.35</v>
      </c>
      <c r="K59" s="1">
        <v>0.29849999999999999</v>
      </c>
      <c r="L59" s="1">
        <v>13</v>
      </c>
      <c r="M59" s="1">
        <v>48</v>
      </c>
      <c r="N59" s="1">
        <v>61</v>
      </c>
    </row>
    <row r="60" spans="1:14" x14ac:dyDescent="0.25">
      <c r="A60" s="1">
        <v>59</v>
      </c>
      <c r="B60" s="2">
        <v>40546</v>
      </c>
      <c r="C60" s="1">
        <v>13</v>
      </c>
      <c r="D60" s="1" t="b">
        <v>0</v>
      </c>
      <c r="E60" s="1">
        <v>1</v>
      </c>
      <c r="F60" s="1">
        <v>1</v>
      </c>
      <c r="G60" s="1">
        <v>0.24</v>
      </c>
      <c r="H60" s="1">
        <v>59</v>
      </c>
      <c r="I60" s="1">
        <v>0.2</v>
      </c>
      <c r="J60" s="1">
        <v>0.35</v>
      </c>
      <c r="K60" s="1">
        <v>0.28360000000000002</v>
      </c>
      <c r="L60" s="1">
        <v>8</v>
      </c>
      <c r="M60" s="1">
        <v>53</v>
      </c>
      <c r="N60" s="1">
        <v>61</v>
      </c>
    </row>
    <row r="61" spans="1:14" x14ac:dyDescent="0.25">
      <c r="A61" s="1">
        <v>60</v>
      </c>
      <c r="B61" s="2">
        <v>40546</v>
      </c>
      <c r="C61" s="1">
        <v>14</v>
      </c>
      <c r="D61" s="1" t="b">
        <v>0</v>
      </c>
      <c r="E61" s="1">
        <v>1</v>
      </c>
      <c r="F61" s="1">
        <v>1</v>
      </c>
      <c r="G61" s="1">
        <v>0.26</v>
      </c>
      <c r="H61" s="1">
        <v>60</v>
      </c>
      <c r="I61" s="1">
        <v>0.2424</v>
      </c>
      <c r="J61" s="1">
        <v>0.3</v>
      </c>
      <c r="K61" s="1">
        <v>0.28360000000000002</v>
      </c>
      <c r="L61" s="1">
        <v>11</v>
      </c>
      <c r="M61" s="1">
        <v>66</v>
      </c>
      <c r="N61" s="1">
        <v>77</v>
      </c>
    </row>
    <row r="62" spans="1:14" x14ac:dyDescent="0.25">
      <c r="A62" s="1">
        <v>61</v>
      </c>
      <c r="B62" s="2">
        <v>40546</v>
      </c>
      <c r="C62" s="1">
        <v>15</v>
      </c>
      <c r="D62" s="1" t="b">
        <v>0</v>
      </c>
      <c r="E62" s="1">
        <v>1</v>
      </c>
      <c r="F62" s="1">
        <v>1</v>
      </c>
      <c r="G62" s="1">
        <v>0.26</v>
      </c>
      <c r="H62" s="1">
        <v>61</v>
      </c>
      <c r="I62" s="1">
        <v>0.2424</v>
      </c>
      <c r="J62" s="1">
        <v>0.3</v>
      </c>
      <c r="K62" s="1">
        <v>0.25369999999999998</v>
      </c>
      <c r="L62" s="1">
        <v>14</v>
      </c>
      <c r="M62" s="1">
        <v>58</v>
      </c>
      <c r="N62" s="1">
        <v>72</v>
      </c>
    </row>
    <row r="63" spans="1:14" x14ac:dyDescent="0.25">
      <c r="A63" s="1">
        <v>62</v>
      </c>
      <c r="B63" s="2">
        <v>40546</v>
      </c>
      <c r="C63" s="1">
        <v>16</v>
      </c>
      <c r="D63" s="1" t="b">
        <v>0</v>
      </c>
      <c r="E63" s="1">
        <v>1</v>
      </c>
      <c r="F63" s="1">
        <v>1</v>
      </c>
      <c r="G63" s="1">
        <v>0.26</v>
      </c>
      <c r="H63" s="1">
        <v>62</v>
      </c>
      <c r="I63" s="1">
        <v>0.2424</v>
      </c>
      <c r="J63" s="1">
        <v>0.3</v>
      </c>
      <c r="K63" s="1">
        <v>0.25369999999999998</v>
      </c>
      <c r="L63" s="1">
        <v>9</v>
      </c>
      <c r="M63" s="1">
        <v>67</v>
      </c>
      <c r="N63" s="1">
        <v>76</v>
      </c>
    </row>
    <row r="64" spans="1:14" x14ac:dyDescent="0.25">
      <c r="A64" s="1">
        <v>63</v>
      </c>
      <c r="B64" s="2">
        <v>40546</v>
      </c>
      <c r="C64" s="1">
        <v>17</v>
      </c>
      <c r="D64" s="1" t="b">
        <v>0</v>
      </c>
      <c r="E64" s="1">
        <v>1</v>
      </c>
      <c r="F64" s="1">
        <v>1</v>
      </c>
      <c r="G64" s="1">
        <v>0.24</v>
      </c>
      <c r="H64" s="1">
        <v>63</v>
      </c>
      <c r="I64" s="1">
        <v>0.2273</v>
      </c>
      <c r="J64" s="1">
        <v>0.3</v>
      </c>
      <c r="K64" s="1">
        <v>0.22389999999999999</v>
      </c>
      <c r="L64" s="1">
        <v>11</v>
      </c>
      <c r="M64" s="1">
        <v>146</v>
      </c>
      <c r="N64" s="1">
        <v>157</v>
      </c>
    </row>
    <row r="65" spans="1:14" x14ac:dyDescent="0.25">
      <c r="A65" s="1">
        <v>64</v>
      </c>
      <c r="B65" s="2">
        <v>40546</v>
      </c>
      <c r="C65" s="1">
        <v>18</v>
      </c>
      <c r="D65" s="1" t="b">
        <v>0</v>
      </c>
      <c r="E65" s="1">
        <v>1</v>
      </c>
      <c r="F65" s="1">
        <v>1</v>
      </c>
      <c r="G65" s="1">
        <v>0.24</v>
      </c>
      <c r="H65" s="1">
        <v>64</v>
      </c>
      <c r="I65" s="1">
        <v>0.2576</v>
      </c>
      <c r="J65" s="1">
        <v>0.32</v>
      </c>
      <c r="K65" s="1">
        <v>0.1045</v>
      </c>
      <c r="L65" s="1">
        <v>9</v>
      </c>
      <c r="M65" s="1">
        <v>148</v>
      </c>
      <c r="N65" s="1">
        <v>157</v>
      </c>
    </row>
    <row r="66" spans="1:14" x14ac:dyDescent="0.25">
      <c r="A66" s="1">
        <v>65</v>
      </c>
      <c r="B66" s="2">
        <v>40546</v>
      </c>
      <c r="C66" s="1">
        <v>19</v>
      </c>
      <c r="D66" s="1" t="b">
        <v>0</v>
      </c>
      <c r="E66" s="1">
        <v>1</v>
      </c>
      <c r="F66" s="1">
        <v>1</v>
      </c>
      <c r="G66" s="1">
        <v>0.2</v>
      </c>
      <c r="H66" s="1">
        <v>65</v>
      </c>
      <c r="I66" s="1">
        <v>0.2576</v>
      </c>
      <c r="J66" s="1">
        <v>0.47</v>
      </c>
      <c r="K66" s="1">
        <v>0</v>
      </c>
      <c r="L66" s="1">
        <v>8</v>
      </c>
      <c r="M66" s="1">
        <v>102</v>
      </c>
      <c r="N66" s="1">
        <v>110</v>
      </c>
    </row>
    <row r="67" spans="1:14" x14ac:dyDescent="0.25">
      <c r="A67" s="1">
        <v>66</v>
      </c>
      <c r="B67" s="2">
        <v>40546</v>
      </c>
      <c r="C67" s="1">
        <v>20</v>
      </c>
      <c r="D67" s="1" t="b">
        <v>0</v>
      </c>
      <c r="E67" s="1">
        <v>1</v>
      </c>
      <c r="F67" s="1">
        <v>1</v>
      </c>
      <c r="G67" s="1">
        <v>0.2</v>
      </c>
      <c r="H67" s="1">
        <v>66</v>
      </c>
      <c r="I67" s="1">
        <v>0.2</v>
      </c>
      <c r="J67" s="1">
        <v>0.47</v>
      </c>
      <c r="K67" s="1">
        <v>0.1045</v>
      </c>
      <c r="L67" s="1">
        <v>3</v>
      </c>
      <c r="M67" s="1">
        <v>49</v>
      </c>
      <c r="N67" s="1">
        <v>52</v>
      </c>
    </row>
    <row r="68" spans="1:14" x14ac:dyDescent="0.25">
      <c r="A68" s="1">
        <v>67</v>
      </c>
      <c r="B68" s="2">
        <v>40546</v>
      </c>
      <c r="C68" s="1">
        <v>21</v>
      </c>
      <c r="D68" s="1" t="b">
        <v>0</v>
      </c>
      <c r="E68" s="1">
        <v>1</v>
      </c>
      <c r="F68" s="1">
        <v>1</v>
      </c>
      <c r="G68" s="1">
        <v>0.18</v>
      </c>
      <c r="H68" s="1">
        <v>67</v>
      </c>
      <c r="I68" s="1">
        <v>0.19700000000000001</v>
      </c>
      <c r="J68" s="1">
        <v>0.64</v>
      </c>
      <c r="K68" s="1">
        <v>0.1343</v>
      </c>
      <c r="L68" s="1">
        <v>3</v>
      </c>
      <c r="M68" s="1">
        <v>49</v>
      </c>
      <c r="N68" s="1">
        <v>52</v>
      </c>
    </row>
    <row r="69" spans="1:14" x14ac:dyDescent="0.25">
      <c r="A69" s="1">
        <v>68</v>
      </c>
      <c r="B69" s="2">
        <v>40546</v>
      </c>
      <c r="C69" s="1">
        <v>22</v>
      </c>
      <c r="D69" s="1" t="b">
        <v>0</v>
      </c>
      <c r="E69" s="1">
        <v>1</v>
      </c>
      <c r="F69" s="1">
        <v>1</v>
      </c>
      <c r="G69" s="1">
        <v>0.14000000000000001</v>
      </c>
      <c r="H69" s="1">
        <v>68</v>
      </c>
      <c r="I69" s="1">
        <v>0.1515</v>
      </c>
      <c r="J69" s="1">
        <v>0.69</v>
      </c>
      <c r="K69" s="1">
        <v>0.1343</v>
      </c>
      <c r="L69" s="1">
        <v>0</v>
      </c>
      <c r="M69" s="1">
        <v>20</v>
      </c>
      <c r="N69" s="1">
        <v>20</v>
      </c>
    </row>
    <row r="70" spans="1:14" x14ac:dyDescent="0.25">
      <c r="A70" s="1">
        <v>69</v>
      </c>
      <c r="B70" s="2">
        <v>40546</v>
      </c>
      <c r="C70" s="1">
        <v>23</v>
      </c>
      <c r="D70" s="1" t="b">
        <v>0</v>
      </c>
      <c r="E70" s="1">
        <v>1</v>
      </c>
      <c r="F70" s="1">
        <v>1</v>
      </c>
      <c r="G70" s="1">
        <v>0.18</v>
      </c>
      <c r="H70" s="1">
        <v>69</v>
      </c>
      <c r="I70" s="1">
        <v>0.21210000000000001</v>
      </c>
      <c r="J70" s="1">
        <v>0.55000000000000004</v>
      </c>
      <c r="K70" s="1">
        <v>0.1045</v>
      </c>
      <c r="L70" s="1">
        <v>1</v>
      </c>
      <c r="M70" s="1">
        <v>11</v>
      </c>
      <c r="N70" s="1">
        <v>12</v>
      </c>
    </row>
    <row r="71" spans="1:14" x14ac:dyDescent="0.25">
      <c r="A71" s="1">
        <v>70</v>
      </c>
      <c r="B71" s="2">
        <v>40547</v>
      </c>
      <c r="C71" s="1">
        <v>0</v>
      </c>
      <c r="D71" s="1" t="b">
        <v>0</v>
      </c>
      <c r="E71" s="1">
        <v>2</v>
      </c>
      <c r="F71" s="1">
        <v>1</v>
      </c>
      <c r="G71" s="1">
        <v>0.16</v>
      </c>
      <c r="H71" s="1">
        <v>70</v>
      </c>
      <c r="I71" s="1">
        <v>0.2</v>
      </c>
      <c r="J71" s="1">
        <v>0.55000000000000004</v>
      </c>
      <c r="K71" s="1">
        <v>0.1045</v>
      </c>
      <c r="L71" s="1">
        <v>0</v>
      </c>
      <c r="M71" s="1">
        <v>5</v>
      </c>
      <c r="N71" s="1">
        <v>5</v>
      </c>
    </row>
    <row r="72" spans="1:14" x14ac:dyDescent="0.25">
      <c r="A72" s="1">
        <v>71</v>
      </c>
      <c r="B72" s="2">
        <v>40547</v>
      </c>
      <c r="C72" s="1">
        <v>1</v>
      </c>
      <c r="D72" s="1" t="b">
        <v>0</v>
      </c>
      <c r="E72" s="1">
        <v>2</v>
      </c>
      <c r="F72" s="1">
        <v>1</v>
      </c>
      <c r="G72" s="1">
        <v>0.16</v>
      </c>
      <c r="H72" s="1">
        <v>71</v>
      </c>
      <c r="I72" s="1">
        <v>0.18179999999999999</v>
      </c>
      <c r="J72" s="1">
        <v>0.59</v>
      </c>
      <c r="K72" s="1">
        <v>0.1045</v>
      </c>
      <c r="L72" s="1">
        <v>0</v>
      </c>
      <c r="M72" s="1">
        <v>2</v>
      </c>
      <c r="N72" s="1">
        <v>2</v>
      </c>
    </row>
    <row r="73" spans="1:14" x14ac:dyDescent="0.25">
      <c r="A73" s="1">
        <v>72</v>
      </c>
      <c r="B73" s="2">
        <v>40547</v>
      </c>
      <c r="C73" s="1">
        <v>2</v>
      </c>
      <c r="D73" s="1" t="b">
        <v>0</v>
      </c>
      <c r="E73" s="1">
        <v>2</v>
      </c>
      <c r="F73" s="1">
        <v>1</v>
      </c>
      <c r="G73" s="1">
        <v>0.14000000000000001</v>
      </c>
      <c r="H73" s="1">
        <v>72</v>
      </c>
      <c r="I73" s="1">
        <v>0.1515</v>
      </c>
      <c r="J73" s="1">
        <v>0.63</v>
      </c>
      <c r="K73" s="1">
        <v>0.1343</v>
      </c>
      <c r="L73" s="1">
        <v>0</v>
      </c>
      <c r="M73" s="1">
        <v>1</v>
      </c>
      <c r="N73" s="1">
        <v>1</v>
      </c>
    </row>
    <row r="74" spans="1:14" x14ac:dyDescent="0.25">
      <c r="A74" s="1">
        <v>73</v>
      </c>
      <c r="B74" s="2">
        <v>40547</v>
      </c>
      <c r="C74" s="1">
        <v>4</v>
      </c>
      <c r="D74" s="1" t="b">
        <v>0</v>
      </c>
      <c r="E74" s="1">
        <v>2</v>
      </c>
      <c r="F74" s="1">
        <v>1</v>
      </c>
      <c r="G74" s="1">
        <v>0.14000000000000001</v>
      </c>
      <c r="H74" s="1">
        <v>73</v>
      </c>
      <c r="I74" s="1">
        <v>0.18179999999999999</v>
      </c>
      <c r="J74" s="1">
        <v>0.63</v>
      </c>
      <c r="K74" s="1">
        <v>8.9599999999999999E-2</v>
      </c>
      <c r="L74" s="1">
        <v>0</v>
      </c>
      <c r="M74" s="1">
        <v>2</v>
      </c>
      <c r="N74" s="1">
        <v>2</v>
      </c>
    </row>
    <row r="75" spans="1:14" x14ac:dyDescent="0.25">
      <c r="A75" s="1">
        <v>74</v>
      </c>
      <c r="B75" s="2">
        <v>40547</v>
      </c>
      <c r="C75" s="1">
        <v>5</v>
      </c>
      <c r="D75" s="1" t="b">
        <v>0</v>
      </c>
      <c r="E75" s="1">
        <v>2</v>
      </c>
      <c r="F75" s="1">
        <v>1</v>
      </c>
      <c r="G75" s="1">
        <v>0.12</v>
      </c>
      <c r="H75" s="1">
        <v>74</v>
      </c>
      <c r="I75" s="1">
        <v>0.1515</v>
      </c>
      <c r="J75" s="1">
        <v>0.68</v>
      </c>
      <c r="K75" s="1">
        <v>0.1045</v>
      </c>
      <c r="L75" s="1">
        <v>0</v>
      </c>
      <c r="M75" s="1">
        <v>4</v>
      </c>
      <c r="N75" s="1">
        <v>4</v>
      </c>
    </row>
    <row r="76" spans="1:14" x14ac:dyDescent="0.25">
      <c r="A76" s="1">
        <v>75</v>
      </c>
      <c r="B76" s="2">
        <v>40547</v>
      </c>
      <c r="C76" s="1">
        <v>6</v>
      </c>
      <c r="D76" s="1" t="b">
        <v>0</v>
      </c>
      <c r="E76" s="1">
        <v>2</v>
      </c>
      <c r="F76" s="1">
        <v>1</v>
      </c>
      <c r="G76" s="1">
        <v>0.12</v>
      </c>
      <c r="H76" s="1">
        <v>75</v>
      </c>
      <c r="I76" s="1">
        <v>0.1515</v>
      </c>
      <c r="J76" s="1">
        <v>0.74</v>
      </c>
      <c r="K76" s="1">
        <v>0.1045</v>
      </c>
      <c r="L76" s="1">
        <v>0</v>
      </c>
      <c r="M76" s="1">
        <v>36</v>
      </c>
      <c r="N76" s="1">
        <v>36</v>
      </c>
    </row>
    <row r="77" spans="1:14" x14ac:dyDescent="0.25">
      <c r="A77" s="1">
        <v>76</v>
      </c>
      <c r="B77" s="2">
        <v>40547</v>
      </c>
      <c r="C77" s="1">
        <v>7</v>
      </c>
      <c r="D77" s="1" t="b">
        <v>0</v>
      </c>
      <c r="E77" s="1">
        <v>2</v>
      </c>
      <c r="F77" s="1">
        <v>1</v>
      </c>
      <c r="G77" s="1">
        <v>0.12</v>
      </c>
      <c r="H77" s="1">
        <v>76</v>
      </c>
      <c r="I77" s="1">
        <v>0.1515</v>
      </c>
      <c r="J77" s="1">
        <v>0.74</v>
      </c>
      <c r="K77" s="1">
        <v>0.1343</v>
      </c>
      <c r="L77" s="1">
        <v>2</v>
      </c>
      <c r="M77" s="1">
        <v>92</v>
      </c>
      <c r="N77" s="1">
        <v>94</v>
      </c>
    </row>
    <row r="78" spans="1:14" x14ac:dyDescent="0.25">
      <c r="A78" s="1">
        <v>77</v>
      </c>
      <c r="B78" s="2">
        <v>40547</v>
      </c>
      <c r="C78" s="1">
        <v>8</v>
      </c>
      <c r="D78" s="1" t="b">
        <v>0</v>
      </c>
      <c r="E78" s="1">
        <v>2</v>
      </c>
      <c r="F78" s="1">
        <v>1</v>
      </c>
      <c r="G78" s="1">
        <v>0.14000000000000001</v>
      </c>
      <c r="H78" s="1">
        <v>77</v>
      </c>
      <c r="I78" s="1">
        <v>0.1515</v>
      </c>
      <c r="J78" s="1">
        <v>0.69</v>
      </c>
      <c r="K78" s="1">
        <v>0.16420000000000001</v>
      </c>
      <c r="L78" s="1">
        <v>2</v>
      </c>
      <c r="M78" s="1">
        <v>177</v>
      </c>
      <c r="N78" s="1">
        <v>179</v>
      </c>
    </row>
    <row r="79" spans="1:14" x14ac:dyDescent="0.25">
      <c r="A79" s="1">
        <v>78</v>
      </c>
      <c r="B79" s="2">
        <v>40547</v>
      </c>
      <c r="C79" s="1">
        <v>9</v>
      </c>
      <c r="D79" s="1" t="b">
        <v>0</v>
      </c>
      <c r="E79" s="1">
        <v>2</v>
      </c>
      <c r="F79" s="1">
        <v>1</v>
      </c>
      <c r="G79" s="1">
        <v>0.16</v>
      </c>
      <c r="H79" s="1">
        <v>78</v>
      </c>
      <c r="I79" s="1">
        <v>0.1515</v>
      </c>
      <c r="J79" s="1">
        <v>0.64</v>
      </c>
      <c r="K79" s="1">
        <v>0.22389999999999999</v>
      </c>
      <c r="L79" s="1">
        <v>2</v>
      </c>
      <c r="M79" s="1">
        <v>98</v>
      </c>
      <c r="N79" s="1">
        <v>100</v>
      </c>
    </row>
    <row r="80" spans="1:14" x14ac:dyDescent="0.25">
      <c r="A80" s="1">
        <v>79</v>
      </c>
      <c r="B80" s="2">
        <v>40547</v>
      </c>
      <c r="C80" s="1">
        <v>10</v>
      </c>
      <c r="D80" s="1" t="b">
        <v>0</v>
      </c>
      <c r="E80" s="1">
        <v>2</v>
      </c>
      <c r="F80" s="1">
        <v>2</v>
      </c>
      <c r="G80" s="1">
        <v>0.16</v>
      </c>
      <c r="H80" s="1">
        <v>79</v>
      </c>
      <c r="I80" s="1">
        <v>0.13639999999999999</v>
      </c>
      <c r="J80" s="1">
        <v>0.69</v>
      </c>
      <c r="K80" s="1">
        <v>0.32840000000000003</v>
      </c>
      <c r="L80" s="1">
        <v>5</v>
      </c>
      <c r="M80" s="1">
        <v>37</v>
      </c>
      <c r="N80" s="1">
        <v>42</v>
      </c>
    </row>
    <row r="81" spans="1:14" x14ac:dyDescent="0.25">
      <c r="A81" s="1">
        <v>80</v>
      </c>
      <c r="B81" s="2">
        <v>40547</v>
      </c>
      <c r="C81" s="1">
        <v>11</v>
      </c>
      <c r="D81" s="1" t="b">
        <v>0</v>
      </c>
      <c r="E81" s="1">
        <v>2</v>
      </c>
      <c r="F81" s="1">
        <v>1</v>
      </c>
      <c r="G81" s="1">
        <v>0.22</v>
      </c>
      <c r="H81" s="1">
        <v>80</v>
      </c>
      <c r="I81" s="1">
        <v>0.21210000000000001</v>
      </c>
      <c r="J81" s="1">
        <v>0.51</v>
      </c>
      <c r="K81" s="1">
        <v>0.29849999999999999</v>
      </c>
      <c r="L81" s="1">
        <v>7</v>
      </c>
      <c r="M81" s="1">
        <v>50</v>
      </c>
      <c r="N81" s="1">
        <v>57</v>
      </c>
    </row>
    <row r="82" spans="1:14" x14ac:dyDescent="0.25">
      <c r="A82" s="1">
        <v>81</v>
      </c>
      <c r="B82" s="2">
        <v>40547</v>
      </c>
      <c r="C82" s="1">
        <v>12</v>
      </c>
      <c r="D82" s="1" t="b">
        <v>0</v>
      </c>
      <c r="E82" s="1">
        <v>2</v>
      </c>
      <c r="F82" s="1">
        <v>1</v>
      </c>
      <c r="G82" s="1">
        <v>0.22</v>
      </c>
      <c r="H82" s="1">
        <v>81</v>
      </c>
      <c r="I82" s="1">
        <v>0.2273</v>
      </c>
      <c r="J82" s="1">
        <v>0.51</v>
      </c>
      <c r="K82" s="1">
        <v>0.16420000000000001</v>
      </c>
      <c r="L82" s="1">
        <v>12</v>
      </c>
      <c r="M82" s="1">
        <v>66</v>
      </c>
      <c r="N82" s="1">
        <v>78</v>
      </c>
    </row>
    <row r="83" spans="1:14" x14ac:dyDescent="0.25">
      <c r="A83" s="1">
        <v>82</v>
      </c>
      <c r="B83" s="2">
        <v>40547</v>
      </c>
      <c r="C83" s="1">
        <v>13</v>
      </c>
      <c r="D83" s="1" t="b">
        <v>0</v>
      </c>
      <c r="E83" s="1">
        <v>2</v>
      </c>
      <c r="F83" s="1">
        <v>1</v>
      </c>
      <c r="G83" s="1">
        <v>0.24</v>
      </c>
      <c r="H83" s="1">
        <v>82</v>
      </c>
      <c r="I83" s="1">
        <v>0.2273</v>
      </c>
      <c r="J83" s="1">
        <v>0.56000000000000005</v>
      </c>
      <c r="K83" s="1">
        <v>0.19400000000000001</v>
      </c>
      <c r="L83" s="1">
        <v>18</v>
      </c>
      <c r="M83" s="1">
        <v>79</v>
      </c>
      <c r="N83" s="1">
        <v>97</v>
      </c>
    </row>
    <row r="84" spans="1:14" x14ac:dyDescent="0.25">
      <c r="A84" s="1">
        <v>83</v>
      </c>
      <c r="B84" s="2">
        <v>40547</v>
      </c>
      <c r="C84" s="1">
        <v>14</v>
      </c>
      <c r="D84" s="1" t="b">
        <v>0</v>
      </c>
      <c r="E84" s="1">
        <v>2</v>
      </c>
      <c r="F84" s="1">
        <v>1</v>
      </c>
      <c r="G84" s="1">
        <v>0.26</v>
      </c>
      <c r="H84" s="1">
        <v>83</v>
      </c>
      <c r="I84" s="1">
        <v>0.2576</v>
      </c>
      <c r="J84" s="1">
        <v>0.52</v>
      </c>
      <c r="K84" s="1">
        <v>0.22389999999999999</v>
      </c>
      <c r="L84" s="1">
        <v>9</v>
      </c>
      <c r="M84" s="1">
        <v>54</v>
      </c>
      <c r="N84" s="1">
        <v>63</v>
      </c>
    </row>
    <row r="85" spans="1:14" x14ac:dyDescent="0.25">
      <c r="A85" s="1">
        <v>84</v>
      </c>
      <c r="B85" s="2">
        <v>40547</v>
      </c>
      <c r="C85" s="1">
        <v>15</v>
      </c>
      <c r="D85" s="1" t="b">
        <v>0</v>
      </c>
      <c r="E85" s="1">
        <v>2</v>
      </c>
      <c r="F85" s="1">
        <v>1</v>
      </c>
      <c r="G85" s="1">
        <v>0.28000000000000003</v>
      </c>
      <c r="H85" s="1">
        <v>84</v>
      </c>
      <c r="I85" s="1">
        <v>0.2727</v>
      </c>
      <c r="J85" s="1">
        <v>0.52</v>
      </c>
      <c r="K85" s="1">
        <v>0.25369999999999998</v>
      </c>
      <c r="L85" s="1">
        <v>17</v>
      </c>
      <c r="M85" s="1">
        <v>48</v>
      </c>
      <c r="N85" s="1">
        <v>65</v>
      </c>
    </row>
    <row r="86" spans="1:14" x14ac:dyDescent="0.25">
      <c r="A86" s="1">
        <v>85</v>
      </c>
      <c r="B86" s="2">
        <v>40547</v>
      </c>
      <c r="C86" s="1">
        <v>16</v>
      </c>
      <c r="D86" s="1" t="b">
        <v>0</v>
      </c>
      <c r="E86" s="1">
        <v>2</v>
      </c>
      <c r="F86" s="1">
        <v>1</v>
      </c>
      <c r="G86" s="1">
        <v>0.3</v>
      </c>
      <c r="H86" s="1">
        <v>85</v>
      </c>
      <c r="I86" s="1">
        <v>0.28789999999999999</v>
      </c>
      <c r="J86" s="1">
        <v>0.49</v>
      </c>
      <c r="K86" s="1">
        <v>0.25369999999999998</v>
      </c>
      <c r="L86" s="1">
        <v>15</v>
      </c>
      <c r="M86" s="1">
        <v>68</v>
      </c>
      <c r="N86" s="1">
        <v>83</v>
      </c>
    </row>
    <row r="87" spans="1:14" x14ac:dyDescent="0.25">
      <c r="A87" s="1">
        <v>86</v>
      </c>
      <c r="B87" s="2">
        <v>40547</v>
      </c>
      <c r="C87" s="1">
        <v>17</v>
      </c>
      <c r="D87" s="1" t="b">
        <v>0</v>
      </c>
      <c r="E87" s="1">
        <v>2</v>
      </c>
      <c r="F87" s="1">
        <v>1</v>
      </c>
      <c r="G87" s="1">
        <v>0.28000000000000003</v>
      </c>
      <c r="H87" s="1">
        <v>86</v>
      </c>
      <c r="I87" s="1">
        <v>0.2727</v>
      </c>
      <c r="J87" s="1">
        <v>0.48</v>
      </c>
      <c r="K87" s="1">
        <v>0.22389999999999999</v>
      </c>
      <c r="L87" s="1">
        <v>10</v>
      </c>
      <c r="M87" s="1">
        <v>202</v>
      </c>
      <c r="N87" s="1">
        <v>212</v>
      </c>
    </row>
    <row r="88" spans="1:14" x14ac:dyDescent="0.25">
      <c r="A88" s="1">
        <v>87</v>
      </c>
      <c r="B88" s="2">
        <v>40547</v>
      </c>
      <c r="C88" s="1">
        <v>18</v>
      </c>
      <c r="D88" s="1" t="b">
        <v>0</v>
      </c>
      <c r="E88" s="1">
        <v>2</v>
      </c>
      <c r="F88" s="1">
        <v>1</v>
      </c>
      <c r="G88" s="1">
        <v>0.26</v>
      </c>
      <c r="H88" s="1">
        <v>87</v>
      </c>
      <c r="I88" s="1">
        <v>0.2576</v>
      </c>
      <c r="J88" s="1">
        <v>0.48</v>
      </c>
      <c r="K88" s="1">
        <v>0.19400000000000001</v>
      </c>
      <c r="L88" s="1">
        <v>3</v>
      </c>
      <c r="M88" s="1">
        <v>179</v>
      </c>
      <c r="N88" s="1">
        <v>182</v>
      </c>
    </row>
    <row r="89" spans="1:14" x14ac:dyDescent="0.25">
      <c r="A89" s="1">
        <v>88</v>
      </c>
      <c r="B89" s="2">
        <v>40547</v>
      </c>
      <c r="C89" s="1">
        <v>19</v>
      </c>
      <c r="D89" s="1" t="b">
        <v>0</v>
      </c>
      <c r="E89" s="1">
        <v>2</v>
      </c>
      <c r="F89" s="1">
        <v>1</v>
      </c>
      <c r="G89" s="1">
        <v>0.24</v>
      </c>
      <c r="H89" s="1">
        <v>88</v>
      </c>
      <c r="I89" s="1">
        <v>0.2576</v>
      </c>
      <c r="J89" s="1">
        <v>0.48</v>
      </c>
      <c r="K89" s="1">
        <v>0.1045</v>
      </c>
      <c r="L89" s="1">
        <v>2</v>
      </c>
      <c r="M89" s="1">
        <v>110</v>
      </c>
      <c r="N89" s="1">
        <v>112</v>
      </c>
    </row>
    <row r="90" spans="1:14" x14ac:dyDescent="0.25">
      <c r="A90" s="1">
        <v>89</v>
      </c>
      <c r="B90" s="2">
        <v>40547</v>
      </c>
      <c r="C90" s="1">
        <v>20</v>
      </c>
      <c r="D90" s="1" t="b">
        <v>0</v>
      </c>
      <c r="E90" s="1">
        <v>2</v>
      </c>
      <c r="F90" s="1">
        <v>1</v>
      </c>
      <c r="G90" s="1">
        <v>0.24</v>
      </c>
      <c r="H90" s="1">
        <v>89</v>
      </c>
      <c r="I90" s="1">
        <v>0.2576</v>
      </c>
      <c r="J90" s="1">
        <v>0.48</v>
      </c>
      <c r="K90" s="1">
        <v>0.1045</v>
      </c>
      <c r="L90" s="1">
        <v>1</v>
      </c>
      <c r="M90" s="1">
        <v>53</v>
      </c>
      <c r="N90" s="1">
        <v>54</v>
      </c>
    </row>
    <row r="91" spans="1:14" x14ac:dyDescent="0.25">
      <c r="A91" s="1">
        <v>90</v>
      </c>
      <c r="B91" s="2">
        <v>40547</v>
      </c>
      <c r="C91" s="1">
        <v>21</v>
      </c>
      <c r="D91" s="1" t="b">
        <v>0</v>
      </c>
      <c r="E91" s="1">
        <v>2</v>
      </c>
      <c r="F91" s="1">
        <v>1</v>
      </c>
      <c r="G91" s="1">
        <v>0.22</v>
      </c>
      <c r="H91" s="1">
        <v>90</v>
      </c>
      <c r="I91" s="1">
        <v>0.2727</v>
      </c>
      <c r="J91" s="1">
        <v>0.64</v>
      </c>
      <c r="K91" s="1">
        <v>0</v>
      </c>
      <c r="L91" s="1">
        <v>0</v>
      </c>
      <c r="M91" s="1">
        <v>48</v>
      </c>
      <c r="N91" s="1">
        <v>48</v>
      </c>
    </row>
    <row r="92" spans="1:14" x14ac:dyDescent="0.25">
      <c r="A92" s="1">
        <v>91</v>
      </c>
      <c r="B92" s="2">
        <v>40547</v>
      </c>
      <c r="C92" s="1">
        <v>22</v>
      </c>
      <c r="D92" s="1" t="b">
        <v>0</v>
      </c>
      <c r="E92" s="1">
        <v>2</v>
      </c>
      <c r="F92" s="1">
        <v>1</v>
      </c>
      <c r="G92" s="1">
        <v>0.22</v>
      </c>
      <c r="H92" s="1">
        <v>91</v>
      </c>
      <c r="I92" s="1">
        <v>0.2576</v>
      </c>
      <c r="J92" s="1">
        <v>0.64</v>
      </c>
      <c r="K92" s="1">
        <v>8.9599999999999999E-2</v>
      </c>
      <c r="L92" s="1">
        <v>1</v>
      </c>
      <c r="M92" s="1">
        <v>34</v>
      </c>
      <c r="N92" s="1">
        <v>35</v>
      </c>
    </row>
    <row r="93" spans="1:14" x14ac:dyDescent="0.25">
      <c r="A93" s="1">
        <v>92</v>
      </c>
      <c r="B93" s="2">
        <v>40547</v>
      </c>
      <c r="C93" s="1">
        <v>23</v>
      </c>
      <c r="D93" s="1" t="b">
        <v>0</v>
      </c>
      <c r="E93" s="1">
        <v>2</v>
      </c>
      <c r="F93" s="1">
        <v>1</v>
      </c>
      <c r="G93" s="1">
        <v>0.2</v>
      </c>
      <c r="H93" s="1">
        <v>92</v>
      </c>
      <c r="I93" s="1">
        <v>0.2273</v>
      </c>
      <c r="J93" s="1">
        <v>0.69</v>
      </c>
      <c r="K93" s="1">
        <v>8.9599999999999999E-2</v>
      </c>
      <c r="L93" s="1">
        <v>2</v>
      </c>
      <c r="M93" s="1">
        <v>9</v>
      </c>
      <c r="N93" s="1">
        <v>11</v>
      </c>
    </row>
    <row r="94" spans="1:14" x14ac:dyDescent="0.25">
      <c r="A94" s="1">
        <v>93</v>
      </c>
      <c r="B94" s="2">
        <v>40548</v>
      </c>
      <c r="C94" s="1">
        <v>0</v>
      </c>
      <c r="D94" s="1" t="b">
        <v>0</v>
      </c>
      <c r="E94" s="1">
        <v>3</v>
      </c>
      <c r="F94" s="1">
        <v>1</v>
      </c>
      <c r="G94" s="1">
        <v>0.2</v>
      </c>
      <c r="H94" s="1">
        <v>93</v>
      </c>
      <c r="I94" s="1">
        <v>0.2576</v>
      </c>
      <c r="J94" s="1">
        <v>0.64</v>
      </c>
      <c r="K94" s="1">
        <v>0</v>
      </c>
      <c r="L94" s="1">
        <v>0</v>
      </c>
      <c r="M94" s="1">
        <v>6</v>
      </c>
      <c r="N94" s="1">
        <v>6</v>
      </c>
    </row>
    <row r="95" spans="1:14" x14ac:dyDescent="0.25">
      <c r="A95" s="1">
        <v>94</v>
      </c>
      <c r="B95" s="2">
        <v>40548</v>
      </c>
      <c r="C95" s="1">
        <v>1</v>
      </c>
      <c r="D95" s="1" t="b">
        <v>0</v>
      </c>
      <c r="E95" s="1">
        <v>3</v>
      </c>
      <c r="F95" s="1">
        <v>1</v>
      </c>
      <c r="G95" s="1">
        <v>0.16</v>
      </c>
      <c r="H95" s="1">
        <v>94</v>
      </c>
      <c r="I95" s="1">
        <v>0.19700000000000001</v>
      </c>
      <c r="J95" s="1">
        <v>0.74</v>
      </c>
      <c r="K95" s="1">
        <v>8.9599999999999999E-2</v>
      </c>
      <c r="L95" s="1">
        <v>0</v>
      </c>
      <c r="M95" s="1">
        <v>6</v>
      </c>
      <c r="N95" s="1">
        <v>6</v>
      </c>
    </row>
    <row r="96" spans="1:14" x14ac:dyDescent="0.25">
      <c r="A96" s="1">
        <v>95</v>
      </c>
      <c r="B96" s="2">
        <v>40548</v>
      </c>
      <c r="C96" s="1">
        <v>2</v>
      </c>
      <c r="D96" s="1" t="b">
        <v>0</v>
      </c>
      <c r="E96" s="1">
        <v>3</v>
      </c>
      <c r="F96" s="1">
        <v>1</v>
      </c>
      <c r="G96" s="1">
        <v>0.16</v>
      </c>
      <c r="H96" s="1">
        <v>95</v>
      </c>
      <c r="I96" s="1">
        <v>0.19700000000000001</v>
      </c>
      <c r="J96" s="1">
        <v>0.74</v>
      </c>
      <c r="K96" s="1">
        <v>8.9599999999999999E-2</v>
      </c>
      <c r="L96" s="1">
        <v>0</v>
      </c>
      <c r="M96" s="1">
        <v>2</v>
      </c>
      <c r="N96" s="1">
        <v>2</v>
      </c>
    </row>
    <row r="97" spans="1:14" x14ac:dyDescent="0.25">
      <c r="A97" s="1">
        <v>96</v>
      </c>
      <c r="B97" s="2">
        <v>40548</v>
      </c>
      <c r="C97" s="1">
        <v>4</v>
      </c>
      <c r="D97" s="1" t="b">
        <v>0</v>
      </c>
      <c r="E97" s="1">
        <v>3</v>
      </c>
      <c r="F97" s="1">
        <v>1</v>
      </c>
      <c r="G97" s="1">
        <v>0.24</v>
      </c>
      <c r="H97" s="1">
        <v>96</v>
      </c>
      <c r="I97" s="1">
        <v>0.2273</v>
      </c>
      <c r="J97" s="1">
        <v>0.48</v>
      </c>
      <c r="K97" s="1">
        <v>0.22389999999999999</v>
      </c>
      <c r="L97" s="1">
        <v>0</v>
      </c>
      <c r="M97" s="1">
        <v>2</v>
      </c>
      <c r="N97" s="1">
        <v>2</v>
      </c>
    </row>
    <row r="98" spans="1:14" x14ac:dyDescent="0.25">
      <c r="A98" s="1">
        <v>97</v>
      </c>
      <c r="B98" s="2">
        <v>40548</v>
      </c>
      <c r="C98" s="1">
        <v>5</v>
      </c>
      <c r="D98" s="1" t="b">
        <v>0</v>
      </c>
      <c r="E98" s="1">
        <v>3</v>
      </c>
      <c r="F98" s="1">
        <v>1</v>
      </c>
      <c r="G98" s="1">
        <v>0.22</v>
      </c>
      <c r="H98" s="1">
        <v>97</v>
      </c>
      <c r="I98" s="1">
        <v>0.2273</v>
      </c>
      <c r="J98" s="1">
        <v>0.47</v>
      </c>
      <c r="K98" s="1">
        <v>0.16420000000000001</v>
      </c>
      <c r="L98" s="1">
        <v>0</v>
      </c>
      <c r="M98" s="1">
        <v>3</v>
      </c>
      <c r="N98" s="1">
        <v>3</v>
      </c>
    </row>
    <row r="99" spans="1:14" x14ac:dyDescent="0.25">
      <c r="A99" s="1">
        <v>98</v>
      </c>
      <c r="B99" s="2">
        <v>40548</v>
      </c>
      <c r="C99" s="1">
        <v>6</v>
      </c>
      <c r="D99" s="1" t="b">
        <v>0</v>
      </c>
      <c r="E99" s="1">
        <v>3</v>
      </c>
      <c r="F99" s="1">
        <v>1</v>
      </c>
      <c r="G99" s="1">
        <v>0.2</v>
      </c>
      <c r="H99" s="1">
        <v>98</v>
      </c>
      <c r="I99" s="1">
        <v>0.19700000000000001</v>
      </c>
      <c r="J99" s="1">
        <v>0.47</v>
      </c>
      <c r="K99" s="1">
        <v>0.22389999999999999</v>
      </c>
      <c r="L99" s="1">
        <v>0</v>
      </c>
      <c r="M99" s="1">
        <v>33</v>
      </c>
      <c r="N99" s="1">
        <v>33</v>
      </c>
    </row>
    <row r="100" spans="1:14" x14ac:dyDescent="0.25">
      <c r="A100" s="1">
        <v>99</v>
      </c>
      <c r="B100" s="2">
        <v>40548</v>
      </c>
      <c r="C100" s="1">
        <v>7</v>
      </c>
      <c r="D100" s="1" t="b">
        <v>0</v>
      </c>
      <c r="E100" s="1">
        <v>3</v>
      </c>
      <c r="F100" s="1">
        <v>1</v>
      </c>
      <c r="G100" s="1">
        <v>0.18</v>
      </c>
      <c r="H100" s="1">
        <v>99</v>
      </c>
      <c r="I100" s="1">
        <v>0.18179999999999999</v>
      </c>
      <c r="J100" s="1">
        <v>0.43</v>
      </c>
      <c r="K100" s="1">
        <v>0.19400000000000001</v>
      </c>
      <c r="L100" s="1">
        <v>1</v>
      </c>
      <c r="M100" s="1">
        <v>87</v>
      </c>
      <c r="N100" s="1">
        <v>88</v>
      </c>
    </row>
    <row r="101" spans="1:14" x14ac:dyDescent="0.25">
      <c r="A101" s="1">
        <v>100</v>
      </c>
      <c r="B101" s="2">
        <v>40548</v>
      </c>
      <c r="C101" s="1">
        <v>8</v>
      </c>
      <c r="D101" s="1" t="b">
        <v>0</v>
      </c>
      <c r="E101" s="1">
        <v>3</v>
      </c>
      <c r="F101" s="1">
        <v>1</v>
      </c>
      <c r="G101" s="1">
        <v>0.2</v>
      </c>
      <c r="H101" s="1">
        <v>100</v>
      </c>
      <c r="I101" s="1">
        <v>0.18179999999999999</v>
      </c>
      <c r="J101" s="1">
        <v>0.4</v>
      </c>
      <c r="K101" s="1">
        <v>0.29849999999999999</v>
      </c>
      <c r="L101" s="1">
        <v>3</v>
      </c>
      <c r="M101" s="1">
        <v>192</v>
      </c>
      <c r="N101" s="1">
        <v>195</v>
      </c>
    </row>
    <row r="102" spans="1:14" x14ac:dyDescent="0.25">
      <c r="A102" s="1">
        <v>101</v>
      </c>
      <c r="B102" s="2">
        <v>40548</v>
      </c>
      <c r="C102" s="1">
        <v>9</v>
      </c>
      <c r="D102" s="1" t="b">
        <v>0</v>
      </c>
      <c r="E102" s="1">
        <v>3</v>
      </c>
      <c r="F102" s="1">
        <v>1</v>
      </c>
      <c r="G102" s="1">
        <v>0.22</v>
      </c>
      <c r="H102" s="1">
        <v>101</v>
      </c>
      <c r="I102" s="1">
        <v>0.19700000000000001</v>
      </c>
      <c r="J102" s="1">
        <v>0.37</v>
      </c>
      <c r="K102" s="1">
        <v>0.32840000000000003</v>
      </c>
      <c r="L102" s="1">
        <v>6</v>
      </c>
      <c r="M102" s="1">
        <v>109</v>
      </c>
      <c r="N102" s="1">
        <v>115</v>
      </c>
    </row>
    <row r="103" spans="1:14" x14ac:dyDescent="0.25">
      <c r="A103" s="1">
        <v>102</v>
      </c>
      <c r="B103" s="2">
        <v>40548</v>
      </c>
      <c r="C103" s="1">
        <v>10</v>
      </c>
      <c r="D103" s="1" t="b">
        <v>0</v>
      </c>
      <c r="E103" s="1">
        <v>3</v>
      </c>
      <c r="F103" s="1">
        <v>1</v>
      </c>
      <c r="G103" s="1">
        <v>0.22</v>
      </c>
      <c r="H103" s="1">
        <v>102</v>
      </c>
      <c r="I103" s="1">
        <v>0.19700000000000001</v>
      </c>
      <c r="J103" s="1">
        <v>0.37</v>
      </c>
      <c r="K103" s="1">
        <v>0.32840000000000003</v>
      </c>
      <c r="L103" s="1">
        <v>4</v>
      </c>
      <c r="M103" s="1">
        <v>53</v>
      </c>
      <c r="N103" s="1">
        <v>57</v>
      </c>
    </row>
    <row r="104" spans="1:14" x14ac:dyDescent="0.25">
      <c r="A104" s="1">
        <v>103</v>
      </c>
      <c r="B104" s="2">
        <v>40548</v>
      </c>
      <c r="C104" s="1">
        <v>11</v>
      </c>
      <c r="D104" s="1" t="b">
        <v>0</v>
      </c>
      <c r="E104" s="1">
        <v>3</v>
      </c>
      <c r="F104" s="1">
        <v>1</v>
      </c>
      <c r="G104" s="1">
        <v>0.26</v>
      </c>
      <c r="H104" s="1">
        <v>103</v>
      </c>
      <c r="I104" s="1">
        <v>0.2273</v>
      </c>
      <c r="J104" s="1">
        <v>0.33</v>
      </c>
      <c r="K104" s="1">
        <v>0.32840000000000003</v>
      </c>
      <c r="L104" s="1">
        <v>12</v>
      </c>
      <c r="M104" s="1">
        <v>34</v>
      </c>
      <c r="N104" s="1">
        <v>46</v>
      </c>
    </row>
    <row r="105" spans="1:14" x14ac:dyDescent="0.25">
      <c r="A105" s="1">
        <v>104</v>
      </c>
      <c r="B105" s="2">
        <v>40548</v>
      </c>
      <c r="C105" s="1">
        <v>12</v>
      </c>
      <c r="D105" s="1" t="b">
        <v>0</v>
      </c>
      <c r="E105" s="1">
        <v>3</v>
      </c>
      <c r="F105" s="1">
        <v>1</v>
      </c>
      <c r="G105" s="1">
        <v>0.26</v>
      </c>
      <c r="H105" s="1">
        <v>104</v>
      </c>
      <c r="I105" s="1">
        <v>0.2273</v>
      </c>
      <c r="J105" s="1">
        <v>0.33</v>
      </c>
      <c r="K105" s="1">
        <v>0.32840000000000003</v>
      </c>
      <c r="L105" s="1">
        <v>5</v>
      </c>
      <c r="M105" s="1">
        <v>74</v>
      </c>
      <c r="N105" s="1">
        <v>79</v>
      </c>
    </row>
    <row r="106" spans="1:14" x14ac:dyDescent="0.25">
      <c r="A106" s="1">
        <v>105</v>
      </c>
      <c r="B106" s="2">
        <v>40548</v>
      </c>
      <c r="C106" s="1">
        <v>13</v>
      </c>
      <c r="D106" s="1" t="b">
        <v>0</v>
      </c>
      <c r="E106" s="1">
        <v>3</v>
      </c>
      <c r="F106" s="1">
        <v>1</v>
      </c>
      <c r="G106" s="1">
        <v>0.28000000000000003</v>
      </c>
      <c r="H106" s="1">
        <v>105</v>
      </c>
      <c r="I106" s="1">
        <v>0.2576</v>
      </c>
      <c r="J106" s="1">
        <v>0.3</v>
      </c>
      <c r="K106" s="1">
        <v>0.29849999999999999</v>
      </c>
      <c r="L106" s="1">
        <v>6</v>
      </c>
      <c r="M106" s="1">
        <v>65</v>
      </c>
      <c r="N106" s="1">
        <v>71</v>
      </c>
    </row>
    <row r="107" spans="1:14" x14ac:dyDescent="0.25">
      <c r="A107" s="1">
        <v>106</v>
      </c>
      <c r="B107" s="2">
        <v>40548</v>
      </c>
      <c r="C107" s="1">
        <v>14</v>
      </c>
      <c r="D107" s="1" t="b">
        <v>0</v>
      </c>
      <c r="E107" s="1">
        <v>3</v>
      </c>
      <c r="F107" s="1">
        <v>1</v>
      </c>
      <c r="G107" s="1">
        <v>0.3</v>
      </c>
      <c r="H107" s="1">
        <v>106</v>
      </c>
      <c r="I107" s="1">
        <v>0.28789999999999999</v>
      </c>
      <c r="J107" s="1">
        <v>0.28000000000000003</v>
      </c>
      <c r="K107" s="1">
        <v>0.19400000000000001</v>
      </c>
      <c r="L107" s="1">
        <v>10</v>
      </c>
      <c r="M107" s="1">
        <v>52</v>
      </c>
      <c r="N107" s="1">
        <v>62</v>
      </c>
    </row>
    <row r="108" spans="1:14" x14ac:dyDescent="0.25">
      <c r="A108" s="1">
        <v>107</v>
      </c>
      <c r="B108" s="2">
        <v>40548</v>
      </c>
      <c r="C108" s="1">
        <v>15</v>
      </c>
      <c r="D108" s="1" t="b">
        <v>0</v>
      </c>
      <c r="E108" s="1">
        <v>3</v>
      </c>
      <c r="F108" s="1">
        <v>1</v>
      </c>
      <c r="G108" s="1">
        <v>0.3</v>
      </c>
      <c r="H108" s="1">
        <v>107</v>
      </c>
      <c r="I108" s="1">
        <v>0.28789999999999999</v>
      </c>
      <c r="J108" s="1">
        <v>0.28000000000000003</v>
      </c>
      <c r="K108" s="1">
        <v>0.19400000000000001</v>
      </c>
      <c r="L108" s="1">
        <v>7</v>
      </c>
      <c r="M108" s="1">
        <v>55</v>
      </c>
      <c r="N108" s="1">
        <v>62</v>
      </c>
    </row>
    <row r="109" spans="1:14" x14ac:dyDescent="0.25">
      <c r="A109" s="1">
        <v>108</v>
      </c>
      <c r="B109" s="2">
        <v>40548</v>
      </c>
      <c r="C109" s="1">
        <v>16</v>
      </c>
      <c r="D109" s="1" t="b">
        <v>0</v>
      </c>
      <c r="E109" s="1">
        <v>3</v>
      </c>
      <c r="F109" s="1">
        <v>1</v>
      </c>
      <c r="G109" s="1">
        <v>0.3</v>
      </c>
      <c r="H109" s="1">
        <v>108</v>
      </c>
      <c r="I109" s="1">
        <v>0.31819999999999998</v>
      </c>
      <c r="J109" s="1">
        <v>0.28000000000000003</v>
      </c>
      <c r="K109" s="1">
        <v>8.9599999999999999E-2</v>
      </c>
      <c r="L109" s="1">
        <v>4</v>
      </c>
      <c r="M109" s="1">
        <v>85</v>
      </c>
      <c r="N109" s="1">
        <v>89</v>
      </c>
    </row>
    <row r="110" spans="1:14" x14ac:dyDescent="0.25">
      <c r="A110" s="1">
        <v>109</v>
      </c>
      <c r="B110" s="2">
        <v>40548</v>
      </c>
      <c r="C110" s="1">
        <v>17</v>
      </c>
      <c r="D110" s="1" t="b">
        <v>0</v>
      </c>
      <c r="E110" s="1">
        <v>3</v>
      </c>
      <c r="F110" s="1">
        <v>1</v>
      </c>
      <c r="G110" s="1">
        <v>0.24</v>
      </c>
      <c r="H110" s="1">
        <v>109</v>
      </c>
      <c r="I110" s="1">
        <v>0.2273</v>
      </c>
      <c r="J110" s="1">
        <v>0.38</v>
      </c>
      <c r="K110" s="1">
        <v>0.19400000000000001</v>
      </c>
      <c r="L110" s="1">
        <v>4</v>
      </c>
      <c r="M110" s="1">
        <v>186</v>
      </c>
      <c r="N110" s="1">
        <v>190</v>
      </c>
    </row>
    <row r="111" spans="1:14" x14ac:dyDescent="0.25">
      <c r="A111" s="1">
        <v>110</v>
      </c>
      <c r="B111" s="2">
        <v>40548</v>
      </c>
      <c r="C111" s="1">
        <v>18</v>
      </c>
      <c r="D111" s="1" t="b">
        <v>0</v>
      </c>
      <c r="E111" s="1">
        <v>3</v>
      </c>
      <c r="F111" s="1">
        <v>1</v>
      </c>
      <c r="G111" s="1">
        <v>0.24</v>
      </c>
      <c r="H111" s="1">
        <v>110</v>
      </c>
      <c r="I111" s="1">
        <v>0.2424</v>
      </c>
      <c r="J111" s="1">
        <v>0.38</v>
      </c>
      <c r="K111" s="1">
        <v>0.1343</v>
      </c>
      <c r="L111" s="1">
        <v>3</v>
      </c>
      <c r="M111" s="1">
        <v>166</v>
      </c>
      <c r="N111" s="1">
        <v>169</v>
      </c>
    </row>
    <row r="112" spans="1:14" x14ac:dyDescent="0.25">
      <c r="A112" s="1">
        <v>111</v>
      </c>
      <c r="B112" s="2">
        <v>40548</v>
      </c>
      <c r="C112" s="1">
        <v>19</v>
      </c>
      <c r="D112" s="1" t="b">
        <v>0</v>
      </c>
      <c r="E112" s="1">
        <v>3</v>
      </c>
      <c r="F112" s="1">
        <v>1</v>
      </c>
      <c r="G112" s="1">
        <v>0.24</v>
      </c>
      <c r="H112" s="1">
        <v>111</v>
      </c>
      <c r="I112" s="1">
        <v>0.2576</v>
      </c>
      <c r="J112" s="1">
        <v>0.38</v>
      </c>
      <c r="K112" s="1">
        <v>0.1045</v>
      </c>
      <c r="L112" s="1">
        <v>5</v>
      </c>
      <c r="M112" s="1">
        <v>127</v>
      </c>
      <c r="N112" s="1">
        <v>132</v>
      </c>
    </row>
    <row r="113" spans="1:14" x14ac:dyDescent="0.25">
      <c r="A113" s="1">
        <v>112</v>
      </c>
      <c r="B113" s="2">
        <v>40548</v>
      </c>
      <c r="C113" s="1">
        <v>20</v>
      </c>
      <c r="D113" s="1" t="b">
        <v>0</v>
      </c>
      <c r="E113" s="1">
        <v>3</v>
      </c>
      <c r="F113" s="1">
        <v>1</v>
      </c>
      <c r="G113" s="1">
        <v>0.22</v>
      </c>
      <c r="H113" s="1">
        <v>112</v>
      </c>
      <c r="I113" s="1">
        <v>0.2273</v>
      </c>
      <c r="J113" s="1">
        <v>0.47</v>
      </c>
      <c r="K113" s="1">
        <v>0.16420000000000001</v>
      </c>
      <c r="L113" s="1">
        <v>7</v>
      </c>
      <c r="M113" s="1">
        <v>82</v>
      </c>
      <c r="N113" s="1">
        <v>89</v>
      </c>
    </row>
    <row r="114" spans="1:14" x14ac:dyDescent="0.25">
      <c r="A114" s="1">
        <v>113</v>
      </c>
      <c r="B114" s="2">
        <v>40548</v>
      </c>
      <c r="C114" s="1">
        <v>21</v>
      </c>
      <c r="D114" s="1" t="b">
        <v>0</v>
      </c>
      <c r="E114" s="1">
        <v>3</v>
      </c>
      <c r="F114" s="1">
        <v>1</v>
      </c>
      <c r="G114" s="1">
        <v>0.2</v>
      </c>
      <c r="H114" s="1">
        <v>113</v>
      </c>
      <c r="I114" s="1">
        <v>0.19700000000000001</v>
      </c>
      <c r="J114" s="1">
        <v>0.51</v>
      </c>
      <c r="K114" s="1">
        <v>0.19400000000000001</v>
      </c>
      <c r="L114" s="1">
        <v>3</v>
      </c>
      <c r="M114" s="1">
        <v>40</v>
      </c>
      <c r="N114" s="1">
        <v>43</v>
      </c>
    </row>
    <row r="115" spans="1:14" x14ac:dyDescent="0.25">
      <c r="A115" s="1">
        <v>114</v>
      </c>
      <c r="B115" s="2">
        <v>40548</v>
      </c>
      <c r="C115" s="1">
        <v>22</v>
      </c>
      <c r="D115" s="1" t="b">
        <v>0</v>
      </c>
      <c r="E115" s="1">
        <v>3</v>
      </c>
      <c r="F115" s="1">
        <v>1</v>
      </c>
      <c r="G115" s="1">
        <v>0.18</v>
      </c>
      <c r="H115" s="1">
        <v>114</v>
      </c>
      <c r="I115" s="1">
        <v>0.19700000000000001</v>
      </c>
      <c r="J115" s="1">
        <v>0.55000000000000004</v>
      </c>
      <c r="K115" s="1">
        <v>0.1343</v>
      </c>
      <c r="L115" s="1">
        <v>1</v>
      </c>
      <c r="M115" s="1">
        <v>41</v>
      </c>
      <c r="N115" s="1">
        <v>42</v>
      </c>
    </row>
    <row r="116" spans="1:14" x14ac:dyDescent="0.25">
      <c r="A116" s="1">
        <v>115</v>
      </c>
      <c r="B116" s="2">
        <v>40548</v>
      </c>
      <c r="C116" s="1">
        <v>23</v>
      </c>
      <c r="D116" s="1" t="b">
        <v>0</v>
      </c>
      <c r="E116" s="1">
        <v>3</v>
      </c>
      <c r="F116" s="1">
        <v>1</v>
      </c>
      <c r="G116" s="1">
        <v>0.2</v>
      </c>
      <c r="H116" s="1">
        <v>115</v>
      </c>
      <c r="I116" s="1">
        <v>0.2576</v>
      </c>
      <c r="J116" s="1">
        <v>0.47</v>
      </c>
      <c r="K116" s="1">
        <v>0</v>
      </c>
      <c r="L116" s="1">
        <v>1</v>
      </c>
      <c r="M116" s="1">
        <v>18</v>
      </c>
      <c r="N116" s="1">
        <v>19</v>
      </c>
    </row>
    <row r="117" spans="1:14" x14ac:dyDescent="0.25">
      <c r="A117" s="1">
        <v>116</v>
      </c>
      <c r="B117" s="2">
        <v>40549</v>
      </c>
      <c r="C117" s="1">
        <v>0</v>
      </c>
      <c r="D117" s="1" t="b">
        <v>0</v>
      </c>
      <c r="E117" s="1">
        <v>4</v>
      </c>
      <c r="F117" s="1">
        <v>1</v>
      </c>
      <c r="G117" s="1">
        <v>0.18</v>
      </c>
      <c r="H117" s="1">
        <v>116</v>
      </c>
      <c r="I117" s="1">
        <v>0.2424</v>
      </c>
      <c r="J117" s="1">
        <v>0.55000000000000004</v>
      </c>
      <c r="K117" s="1">
        <v>0</v>
      </c>
      <c r="L117" s="1">
        <v>0</v>
      </c>
      <c r="M117" s="1">
        <v>11</v>
      </c>
      <c r="N117" s="1">
        <v>11</v>
      </c>
    </row>
    <row r="118" spans="1:14" x14ac:dyDescent="0.25">
      <c r="A118" s="1">
        <v>117</v>
      </c>
      <c r="B118" s="2">
        <v>40549</v>
      </c>
      <c r="C118" s="1">
        <v>1</v>
      </c>
      <c r="D118" s="1" t="b">
        <v>0</v>
      </c>
      <c r="E118" s="1">
        <v>4</v>
      </c>
      <c r="F118" s="1">
        <v>1</v>
      </c>
      <c r="G118" s="1">
        <v>0.16</v>
      </c>
      <c r="H118" s="1">
        <v>117</v>
      </c>
      <c r="I118" s="1">
        <v>0.2273</v>
      </c>
      <c r="J118" s="1">
        <v>0.64</v>
      </c>
      <c r="K118" s="1">
        <v>0</v>
      </c>
      <c r="L118" s="1">
        <v>0</v>
      </c>
      <c r="M118" s="1">
        <v>4</v>
      </c>
      <c r="N118" s="1">
        <v>4</v>
      </c>
    </row>
    <row r="119" spans="1:14" x14ac:dyDescent="0.25">
      <c r="A119" s="1">
        <v>118</v>
      </c>
      <c r="B119" s="2">
        <v>40549</v>
      </c>
      <c r="C119" s="1">
        <v>2</v>
      </c>
      <c r="D119" s="1" t="b">
        <v>0</v>
      </c>
      <c r="E119" s="1">
        <v>4</v>
      </c>
      <c r="F119" s="1">
        <v>1</v>
      </c>
      <c r="G119" s="1">
        <v>0.16</v>
      </c>
      <c r="H119" s="1">
        <v>118</v>
      </c>
      <c r="I119" s="1">
        <v>0.2273</v>
      </c>
      <c r="J119" s="1">
        <v>0.64</v>
      </c>
      <c r="K119" s="1">
        <v>0</v>
      </c>
      <c r="L119" s="1">
        <v>0</v>
      </c>
      <c r="M119" s="1">
        <v>2</v>
      </c>
      <c r="N119" s="1">
        <v>2</v>
      </c>
    </row>
    <row r="120" spans="1:14" x14ac:dyDescent="0.25">
      <c r="A120" s="1">
        <v>119</v>
      </c>
      <c r="B120" s="2">
        <v>40549</v>
      </c>
      <c r="C120" s="1">
        <v>4</v>
      </c>
      <c r="D120" s="1" t="b">
        <v>0</v>
      </c>
      <c r="E120" s="1">
        <v>4</v>
      </c>
      <c r="F120" s="1">
        <v>2</v>
      </c>
      <c r="G120" s="1">
        <v>0.16</v>
      </c>
      <c r="H120" s="1">
        <v>119</v>
      </c>
      <c r="I120" s="1">
        <v>0.19700000000000001</v>
      </c>
      <c r="J120" s="1">
        <v>0.64</v>
      </c>
      <c r="K120" s="1">
        <v>8.9599999999999999E-2</v>
      </c>
      <c r="L120" s="1">
        <v>0</v>
      </c>
      <c r="M120" s="1">
        <v>1</v>
      </c>
      <c r="N120" s="1">
        <v>1</v>
      </c>
    </row>
    <row r="121" spans="1:14" x14ac:dyDescent="0.25">
      <c r="A121" s="1">
        <v>120</v>
      </c>
      <c r="B121" s="2">
        <v>40549</v>
      </c>
      <c r="C121" s="1">
        <v>5</v>
      </c>
      <c r="D121" s="1" t="b">
        <v>0</v>
      </c>
      <c r="E121" s="1">
        <v>4</v>
      </c>
      <c r="F121" s="1">
        <v>2</v>
      </c>
      <c r="G121" s="1">
        <v>0.14000000000000001</v>
      </c>
      <c r="H121" s="1">
        <v>120</v>
      </c>
      <c r="I121" s="1">
        <v>0.18179999999999999</v>
      </c>
      <c r="J121" s="1">
        <v>0.69</v>
      </c>
      <c r="K121" s="1">
        <v>8.9599999999999999E-2</v>
      </c>
      <c r="L121" s="1">
        <v>0</v>
      </c>
      <c r="M121" s="1">
        <v>4</v>
      </c>
      <c r="N121" s="1">
        <v>4</v>
      </c>
    </row>
    <row r="122" spans="1:14" x14ac:dyDescent="0.25">
      <c r="A122" s="1">
        <v>121</v>
      </c>
      <c r="B122" s="2">
        <v>40549</v>
      </c>
      <c r="C122" s="1">
        <v>6</v>
      </c>
      <c r="D122" s="1" t="b">
        <v>0</v>
      </c>
      <c r="E122" s="1">
        <v>4</v>
      </c>
      <c r="F122" s="1">
        <v>2</v>
      </c>
      <c r="G122" s="1">
        <v>0.14000000000000001</v>
      </c>
      <c r="H122" s="1">
        <v>121</v>
      </c>
      <c r="I122" s="1">
        <v>0.16669999999999999</v>
      </c>
      <c r="J122" s="1">
        <v>0.63</v>
      </c>
      <c r="K122" s="1">
        <v>0.1045</v>
      </c>
      <c r="L122" s="1">
        <v>0</v>
      </c>
      <c r="M122" s="1">
        <v>36</v>
      </c>
      <c r="N122" s="1">
        <v>36</v>
      </c>
    </row>
    <row r="123" spans="1:14" x14ac:dyDescent="0.25">
      <c r="A123" s="1">
        <v>122</v>
      </c>
      <c r="B123" s="2">
        <v>40549</v>
      </c>
      <c r="C123" s="1">
        <v>7</v>
      </c>
      <c r="D123" s="1" t="b">
        <v>0</v>
      </c>
      <c r="E123" s="1">
        <v>4</v>
      </c>
      <c r="F123" s="1">
        <v>2</v>
      </c>
      <c r="G123" s="1">
        <v>0.16</v>
      </c>
      <c r="H123" s="1">
        <v>122</v>
      </c>
      <c r="I123" s="1">
        <v>0.2273</v>
      </c>
      <c r="J123" s="1">
        <v>0.59</v>
      </c>
      <c r="K123" s="1">
        <v>0</v>
      </c>
      <c r="L123" s="1">
        <v>0</v>
      </c>
      <c r="M123" s="1">
        <v>95</v>
      </c>
      <c r="N123" s="1">
        <v>95</v>
      </c>
    </row>
    <row r="124" spans="1:14" x14ac:dyDescent="0.25">
      <c r="A124" s="1">
        <v>123</v>
      </c>
      <c r="B124" s="2">
        <v>40549</v>
      </c>
      <c r="C124" s="1">
        <v>8</v>
      </c>
      <c r="D124" s="1" t="b">
        <v>0</v>
      </c>
      <c r="E124" s="1">
        <v>4</v>
      </c>
      <c r="F124" s="1">
        <v>1</v>
      </c>
      <c r="G124" s="1">
        <v>0.16</v>
      </c>
      <c r="H124" s="1">
        <v>123</v>
      </c>
      <c r="I124" s="1">
        <v>0.2273</v>
      </c>
      <c r="J124" s="1">
        <v>0.59</v>
      </c>
      <c r="K124" s="1">
        <v>0</v>
      </c>
      <c r="L124" s="1">
        <v>3</v>
      </c>
      <c r="M124" s="1">
        <v>216</v>
      </c>
      <c r="N124" s="1">
        <v>219</v>
      </c>
    </row>
    <row r="125" spans="1:14" x14ac:dyDescent="0.25">
      <c r="A125" s="1">
        <v>124</v>
      </c>
      <c r="B125" s="2">
        <v>40549</v>
      </c>
      <c r="C125" s="1">
        <v>9</v>
      </c>
      <c r="D125" s="1" t="b">
        <v>0</v>
      </c>
      <c r="E125" s="1">
        <v>4</v>
      </c>
      <c r="F125" s="1">
        <v>2</v>
      </c>
      <c r="G125" s="1">
        <v>0.18</v>
      </c>
      <c r="H125" s="1">
        <v>124</v>
      </c>
      <c r="I125" s="1">
        <v>0.2424</v>
      </c>
      <c r="J125" s="1">
        <v>0.51</v>
      </c>
      <c r="K125" s="1">
        <v>0</v>
      </c>
      <c r="L125" s="1">
        <v>6</v>
      </c>
      <c r="M125" s="1">
        <v>116</v>
      </c>
      <c r="N125" s="1">
        <v>122</v>
      </c>
    </row>
    <row r="126" spans="1:14" x14ac:dyDescent="0.25">
      <c r="A126" s="1">
        <v>125</v>
      </c>
      <c r="B126" s="2">
        <v>40549</v>
      </c>
      <c r="C126" s="1">
        <v>10</v>
      </c>
      <c r="D126" s="1" t="b">
        <v>0</v>
      </c>
      <c r="E126" s="1">
        <v>4</v>
      </c>
      <c r="F126" s="1">
        <v>1</v>
      </c>
      <c r="G126" s="1">
        <v>0.2</v>
      </c>
      <c r="H126" s="1">
        <v>125</v>
      </c>
      <c r="I126" s="1">
        <v>0.2576</v>
      </c>
      <c r="J126" s="1">
        <v>0.47</v>
      </c>
      <c r="K126" s="1">
        <v>0</v>
      </c>
      <c r="L126" s="1">
        <v>3</v>
      </c>
      <c r="M126" s="1">
        <v>42</v>
      </c>
      <c r="N126" s="1">
        <v>45</v>
      </c>
    </row>
    <row r="127" spans="1:14" x14ac:dyDescent="0.25">
      <c r="A127" s="1">
        <v>126</v>
      </c>
      <c r="B127" s="2">
        <v>40549</v>
      </c>
      <c r="C127" s="1">
        <v>11</v>
      </c>
      <c r="D127" s="1" t="b">
        <v>0</v>
      </c>
      <c r="E127" s="1">
        <v>4</v>
      </c>
      <c r="F127" s="1">
        <v>1</v>
      </c>
      <c r="G127" s="1">
        <v>0.22</v>
      </c>
      <c r="H127" s="1">
        <v>126</v>
      </c>
      <c r="I127" s="1">
        <v>0.2576</v>
      </c>
      <c r="J127" s="1">
        <v>0.44</v>
      </c>
      <c r="K127" s="1">
        <v>8.9599999999999999E-2</v>
      </c>
      <c r="L127" s="1">
        <v>2</v>
      </c>
      <c r="M127" s="1">
        <v>57</v>
      </c>
      <c r="N127" s="1">
        <v>59</v>
      </c>
    </row>
    <row r="128" spans="1:14" x14ac:dyDescent="0.25">
      <c r="A128" s="1">
        <v>127</v>
      </c>
      <c r="B128" s="2">
        <v>40549</v>
      </c>
      <c r="C128" s="1">
        <v>12</v>
      </c>
      <c r="D128" s="1" t="b">
        <v>0</v>
      </c>
      <c r="E128" s="1">
        <v>4</v>
      </c>
      <c r="F128" s="1">
        <v>1</v>
      </c>
      <c r="G128" s="1">
        <v>0.26</v>
      </c>
      <c r="H128" s="1">
        <v>127</v>
      </c>
      <c r="I128" s="1">
        <v>0.28789999999999999</v>
      </c>
      <c r="J128" s="1">
        <v>0.35</v>
      </c>
      <c r="K128" s="1">
        <v>0</v>
      </c>
      <c r="L128" s="1">
        <v>6</v>
      </c>
      <c r="M128" s="1">
        <v>78</v>
      </c>
      <c r="N128" s="1">
        <v>84</v>
      </c>
    </row>
    <row r="129" spans="1:14" x14ac:dyDescent="0.25">
      <c r="A129" s="1">
        <v>128</v>
      </c>
      <c r="B129" s="2">
        <v>40549</v>
      </c>
      <c r="C129" s="1">
        <v>13</v>
      </c>
      <c r="D129" s="1" t="b">
        <v>0</v>
      </c>
      <c r="E129" s="1">
        <v>4</v>
      </c>
      <c r="F129" s="1">
        <v>1</v>
      </c>
      <c r="G129" s="1">
        <v>0.26</v>
      </c>
      <c r="H129" s="1">
        <v>128</v>
      </c>
      <c r="I129" s="1">
        <v>0.2727</v>
      </c>
      <c r="J129" s="1">
        <v>0.35</v>
      </c>
      <c r="K129" s="1">
        <v>0.1045</v>
      </c>
      <c r="L129" s="1">
        <v>12</v>
      </c>
      <c r="M129" s="1">
        <v>55</v>
      </c>
      <c r="N129" s="1">
        <v>67</v>
      </c>
    </row>
    <row r="130" spans="1:14" x14ac:dyDescent="0.25">
      <c r="A130" s="1">
        <v>129</v>
      </c>
      <c r="B130" s="2">
        <v>40549</v>
      </c>
      <c r="C130" s="1">
        <v>14</v>
      </c>
      <c r="D130" s="1" t="b">
        <v>0</v>
      </c>
      <c r="E130" s="1">
        <v>4</v>
      </c>
      <c r="F130" s="1">
        <v>1</v>
      </c>
      <c r="G130" s="1">
        <v>0.28000000000000003</v>
      </c>
      <c r="H130" s="1">
        <v>129</v>
      </c>
      <c r="I130" s="1">
        <v>0.2727</v>
      </c>
      <c r="J130" s="1">
        <v>0.36</v>
      </c>
      <c r="K130" s="1">
        <v>0.16420000000000001</v>
      </c>
      <c r="L130" s="1">
        <v>11</v>
      </c>
      <c r="M130" s="1">
        <v>59</v>
      </c>
      <c r="N130" s="1">
        <v>70</v>
      </c>
    </row>
    <row r="131" spans="1:14" x14ac:dyDescent="0.25">
      <c r="A131" s="1">
        <v>130</v>
      </c>
      <c r="B131" s="2">
        <v>40549</v>
      </c>
      <c r="C131" s="1">
        <v>15</v>
      </c>
      <c r="D131" s="1" t="b">
        <v>0</v>
      </c>
      <c r="E131" s="1">
        <v>4</v>
      </c>
      <c r="F131" s="1">
        <v>1</v>
      </c>
      <c r="G131" s="1">
        <v>0.28000000000000003</v>
      </c>
      <c r="H131" s="1">
        <v>130</v>
      </c>
      <c r="I131" s="1">
        <v>0.2727</v>
      </c>
      <c r="J131" s="1">
        <v>0.36</v>
      </c>
      <c r="K131" s="1">
        <v>0</v>
      </c>
      <c r="L131" s="1">
        <v>8</v>
      </c>
      <c r="M131" s="1">
        <v>54</v>
      </c>
      <c r="N131" s="1">
        <v>62</v>
      </c>
    </row>
    <row r="132" spans="1:14" x14ac:dyDescent="0.25">
      <c r="A132" s="1">
        <v>131</v>
      </c>
      <c r="B132" s="2">
        <v>40549</v>
      </c>
      <c r="C132" s="1">
        <v>16</v>
      </c>
      <c r="D132" s="1" t="b">
        <v>0</v>
      </c>
      <c r="E132" s="1">
        <v>4</v>
      </c>
      <c r="F132" s="1">
        <v>1</v>
      </c>
      <c r="G132" s="1">
        <v>0.26</v>
      </c>
      <c r="H132" s="1">
        <v>131</v>
      </c>
      <c r="I132" s="1">
        <v>0.2576</v>
      </c>
      <c r="J132" s="1">
        <v>0.38</v>
      </c>
      <c r="K132" s="1">
        <v>0.16420000000000001</v>
      </c>
      <c r="L132" s="1">
        <v>12</v>
      </c>
      <c r="M132" s="1">
        <v>74</v>
      </c>
      <c r="N132" s="1">
        <v>86</v>
      </c>
    </row>
    <row r="133" spans="1:14" x14ac:dyDescent="0.25">
      <c r="A133" s="1">
        <v>132</v>
      </c>
      <c r="B133" s="2">
        <v>40549</v>
      </c>
      <c r="C133" s="1">
        <v>17</v>
      </c>
      <c r="D133" s="1" t="b">
        <v>0</v>
      </c>
      <c r="E133" s="1">
        <v>4</v>
      </c>
      <c r="F133" s="1">
        <v>1</v>
      </c>
      <c r="G133" s="1">
        <v>0.22</v>
      </c>
      <c r="H133" s="1">
        <v>132</v>
      </c>
      <c r="I133" s="1">
        <v>0.2273</v>
      </c>
      <c r="J133" s="1">
        <v>0.51</v>
      </c>
      <c r="K133" s="1">
        <v>0.16420000000000001</v>
      </c>
      <c r="L133" s="1">
        <v>9</v>
      </c>
      <c r="M133" s="1">
        <v>163</v>
      </c>
      <c r="N133" s="1">
        <v>172</v>
      </c>
    </row>
    <row r="134" spans="1:14" x14ac:dyDescent="0.25">
      <c r="A134" s="1">
        <v>133</v>
      </c>
      <c r="B134" s="2">
        <v>40549</v>
      </c>
      <c r="C134" s="1">
        <v>18</v>
      </c>
      <c r="D134" s="1" t="b">
        <v>0</v>
      </c>
      <c r="E134" s="1">
        <v>4</v>
      </c>
      <c r="F134" s="1">
        <v>1</v>
      </c>
      <c r="G134" s="1">
        <v>0.22</v>
      </c>
      <c r="H134" s="1">
        <v>133</v>
      </c>
      <c r="I134" s="1">
        <v>0.2273</v>
      </c>
      <c r="J134" s="1">
        <v>0.51</v>
      </c>
      <c r="K134" s="1">
        <v>0.1343</v>
      </c>
      <c r="L134" s="1">
        <v>5</v>
      </c>
      <c r="M134" s="1">
        <v>158</v>
      </c>
      <c r="N134" s="1">
        <v>163</v>
      </c>
    </row>
    <row r="135" spans="1:14" x14ac:dyDescent="0.25">
      <c r="A135" s="1">
        <v>134</v>
      </c>
      <c r="B135" s="2">
        <v>40549</v>
      </c>
      <c r="C135" s="1">
        <v>19</v>
      </c>
      <c r="D135" s="1" t="b">
        <v>0</v>
      </c>
      <c r="E135" s="1">
        <v>4</v>
      </c>
      <c r="F135" s="1">
        <v>1</v>
      </c>
      <c r="G135" s="1">
        <v>0.22</v>
      </c>
      <c r="H135" s="1">
        <v>134</v>
      </c>
      <c r="I135" s="1">
        <v>0.2576</v>
      </c>
      <c r="J135" s="1">
        <v>0.55000000000000004</v>
      </c>
      <c r="K135" s="1">
        <v>8.9599999999999999E-2</v>
      </c>
      <c r="L135" s="1">
        <v>3</v>
      </c>
      <c r="M135" s="1">
        <v>109</v>
      </c>
      <c r="N135" s="1">
        <v>112</v>
      </c>
    </row>
    <row r="136" spans="1:14" x14ac:dyDescent="0.25">
      <c r="A136" s="1">
        <v>135</v>
      </c>
      <c r="B136" s="2">
        <v>40549</v>
      </c>
      <c r="C136" s="1">
        <v>20</v>
      </c>
      <c r="D136" s="1" t="b">
        <v>0</v>
      </c>
      <c r="E136" s="1">
        <v>4</v>
      </c>
      <c r="F136" s="1">
        <v>1</v>
      </c>
      <c r="G136" s="1">
        <v>0.2</v>
      </c>
      <c r="H136" s="1">
        <v>135</v>
      </c>
      <c r="I136" s="1">
        <v>0.21210000000000001</v>
      </c>
      <c r="J136" s="1">
        <v>0.51</v>
      </c>
      <c r="K136" s="1">
        <v>0.16420000000000001</v>
      </c>
      <c r="L136" s="1">
        <v>3</v>
      </c>
      <c r="M136" s="1">
        <v>66</v>
      </c>
      <c r="N136" s="1">
        <v>69</v>
      </c>
    </row>
    <row r="137" spans="1:14" x14ac:dyDescent="0.25">
      <c r="A137" s="1">
        <v>136</v>
      </c>
      <c r="B137" s="2">
        <v>40549</v>
      </c>
      <c r="C137" s="1">
        <v>21</v>
      </c>
      <c r="D137" s="1" t="b">
        <v>0</v>
      </c>
      <c r="E137" s="1">
        <v>4</v>
      </c>
      <c r="F137" s="1">
        <v>2</v>
      </c>
      <c r="G137" s="1">
        <v>0.22</v>
      </c>
      <c r="H137" s="1">
        <v>136</v>
      </c>
      <c r="I137" s="1">
        <v>0.21210000000000001</v>
      </c>
      <c r="J137" s="1">
        <v>0.55000000000000004</v>
      </c>
      <c r="K137" s="1">
        <v>0.22389999999999999</v>
      </c>
      <c r="L137" s="1">
        <v>0</v>
      </c>
      <c r="M137" s="1">
        <v>48</v>
      </c>
      <c r="N137" s="1">
        <v>48</v>
      </c>
    </row>
    <row r="138" spans="1:14" x14ac:dyDescent="0.25">
      <c r="A138" s="1">
        <v>137</v>
      </c>
      <c r="B138" s="2">
        <v>40549</v>
      </c>
      <c r="C138" s="1">
        <v>22</v>
      </c>
      <c r="D138" s="1" t="b">
        <v>0</v>
      </c>
      <c r="E138" s="1">
        <v>4</v>
      </c>
      <c r="F138" s="1">
        <v>2</v>
      </c>
      <c r="G138" s="1">
        <v>0.22</v>
      </c>
      <c r="H138" s="1">
        <v>137</v>
      </c>
      <c r="I138" s="1">
        <v>0.21210000000000001</v>
      </c>
      <c r="J138" s="1">
        <v>0.51</v>
      </c>
      <c r="K138" s="1">
        <v>0.28360000000000002</v>
      </c>
      <c r="L138" s="1">
        <v>1</v>
      </c>
      <c r="M138" s="1">
        <v>51</v>
      </c>
      <c r="N138" s="1">
        <v>52</v>
      </c>
    </row>
    <row r="139" spans="1:14" x14ac:dyDescent="0.25">
      <c r="A139" s="1">
        <v>138</v>
      </c>
      <c r="B139" s="2">
        <v>40549</v>
      </c>
      <c r="C139" s="1">
        <v>23</v>
      </c>
      <c r="D139" s="1" t="b">
        <v>0</v>
      </c>
      <c r="E139" s="1">
        <v>4</v>
      </c>
      <c r="F139" s="1">
        <v>2</v>
      </c>
      <c r="G139" s="1">
        <v>0.2</v>
      </c>
      <c r="H139" s="1">
        <v>138</v>
      </c>
      <c r="I139" s="1">
        <v>0.19700000000000001</v>
      </c>
      <c r="J139" s="1">
        <v>0.59</v>
      </c>
      <c r="K139" s="1">
        <v>0.19400000000000001</v>
      </c>
      <c r="L139" s="1">
        <v>4</v>
      </c>
      <c r="M139" s="1">
        <v>19</v>
      </c>
      <c r="N139" s="1">
        <v>23</v>
      </c>
    </row>
    <row r="140" spans="1:14" x14ac:dyDescent="0.25">
      <c r="A140" s="1">
        <v>139</v>
      </c>
      <c r="B140" s="2">
        <v>40550</v>
      </c>
      <c r="C140" s="1">
        <v>0</v>
      </c>
      <c r="D140" s="1" t="b">
        <v>0</v>
      </c>
      <c r="E140" s="1">
        <v>5</v>
      </c>
      <c r="F140" s="1">
        <v>2</v>
      </c>
      <c r="G140" s="1">
        <v>0.2</v>
      </c>
      <c r="H140" s="1">
        <v>139</v>
      </c>
      <c r="I140" s="1">
        <v>0.19700000000000001</v>
      </c>
      <c r="J140" s="1">
        <v>0.64</v>
      </c>
      <c r="K140" s="1">
        <v>0.19400000000000001</v>
      </c>
      <c r="L140" s="1">
        <v>4</v>
      </c>
      <c r="M140" s="1">
        <v>13</v>
      </c>
      <c r="N140" s="1">
        <v>17</v>
      </c>
    </row>
    <row r="141" spans="1:14" x14ac:dyDescent="0.25">
      <c r="A141" s="1">
        <v>140</v>
      </c>
      <c r="B141" s="2">
        <v>40550</v>
      </c>
      <c r="C141" s="1">
        <v>1</v>
      </c>
      <c r="D141" s="1" t="b">
        <v>0</v>
      </c>
      <c r="E141" s="1">
        <v>5</v>
      </c>
      <c r="F141" s="1">
        <v>2</v>
      </c>
      <c r="G141" s="1">
        <v>0.2</v>
      </c>
      <c r="H141" s="1">
        <v>140</v>
      </c>
      <c r="I141" s="1">
        <v>0.19700000000000001</v>
      </c>
      <c r="J141" s="1">
        <v>0.69</v>
      </c>
      <c r="K141" s="1">
        <v>0.22389999999999999</v>
      </c>
      <c r="L141" s="1">
        <v>2</v>
      </c>
      <c r="M141" s="1">
        <v>5</v>
      </c>
      <c r="N141" s="1">
        <v>7</v>
      </c>
    </row>
    <row r="142" spans="1:14" x14ac:dyDescent="0.25">
      <c r="A142" s="1">
        <v>141</v>
      </c>
      <c r="B142" s="2">
        <v>40550</v>
      </c>
      <c r="C142" s="1">
        <v>2</v>
      </c>
      <c r="D142" s="1" t="b">
        <v>0</v>
      </c>
      <c r="E142" s="1">
        <v>5</v>
      </c>
      <c r="F142" s="1">
        <v>2</v>
      </c>
      <c r="G142" s="1">
        <v>0.2</v>
      </c>
      <c r="H142" s="1">
        <v>141</v>
      </c>
      <c r="I142" s="1">
        <v>0.19700000000000001</v>
      </c>
      <c r="J142" s="1">
        <v>0.69</v>
      </c>
      <c r="K142" s="1">
        <v>0.22389999999999999</v>
      </c>
      <c r="L142" s="1">
        <v>0</v>
      </c>
      <c r="M142" s="1">
        <v>1</v>
      </c>
      <c r="N142" s="1">
        <v>1</v>
      </c>
    </row>
    <row r="143" spans="1:14" x14ac:dyDescent="0.25">
      <c r="A143" s="1">
        <v>142</v>
      </c>
      <c r="B143" s="2">
        <v>40550</v>
      </c>
      <c r="C143" s="1">
        <v>4</v>
      </c>
      <c r="D143" s="1" t="b">
        <v>0</v>
      </c>
      <c r="E143" s="1">
        <v>5</v>
      </c>
      <c r="F143" s="1">
        <v>2</v>
      </c>
      <c r="G143" s="1">
        <v>0.2</v>
      </c>
      <c r="H143" s="1">
        <v>142</v>
      </c>
      <c r="I143" s="1">
        <v>0.21210000000000001</v>
      </c>
      <c r="J143" s="1">
        <v>0.69</v>
      </c>
      <c r="K143" s="1">
        <v>0.1343</v>
      </c>
      <c r="L143" s="1">
        <v>0</v>
      </c>
      <c r="M143" s="1">
        <v>1</v>
      </c>
      <c r="N143" s="1">
        <v>1</v>
      </c>
    </row>
    <row r="144" spans="1:14" x14ac:dyDescent="0.25">
      <c r="A144" s="1">
        <v>143</v>
      </c>
      <c r="B144" s="2">
        <v>40550</v>
      </c>
      <c r="C144" s="1">
        <v>5</v>
      </c>
      <c r="D144" s="1" t="b">
        <v>0</v>
      </c>
      <c r="E144" s="1">
        <v>5</v>
      </c>
      <c r="F144" s="1">
        <v>3</v>
      </c>
      <c r="G144" s="1">
        <v>0.22</v>
      </c>
      <c r="H144" s="1">
        <v>143</v>
      </c>
      <c r="I144" s="1">
        <v>0.2727</v>
      </c>
      <c r="J144" s="1">
        <v>0.55000000000000004</v>
      </c>
      <c r="K144" s="1">
        <v>0</v>
      </c>
      <c r="L144" s="1">
        <v>0</v>
      </c>
      <c r="M144" s="1">
        <v>5</v>
      </c>
      <c r="N144" s="1">
        <v>5</v>
      </c>
    </row>
    <row r="145" spans="1:14" x14ac:dyDescent="0.25">
      <c r="A145" s="1">
        <v>144</v>
      </c>
      <c r="B145" s="2">
        <v>40550</v>
      </c>
      <c r="C145" s="1">
        <v>6</v>
      </c>
      <c r="D145" s="1" t="b">
        <v>0</v>
      </c>
      <c r="E145" s="1">
        <v>5</v>
      </c>
      <c r="F145" s="1">
        <v>2</v>
      </c>
      <c r="G145" s="1">
        <v>0.2</v>
      </c>
      <c r="H145" s="1">
        <v>144</v>
      </c>
      <c r="I145" s="1">
        <v>0.2576</v>
      </c>
      <c r="J145" s="1">
        <v>0.69</v>
      </c>
      <c r="K145" s="1">
        <v>0</v>
      </c>
      <c r="L145" s="1">
        <v>8</v>
      </c>
      <c r="M145" s="1">
        <v>26</v>
      </c>
      <c r="N145" s="1">
        <v>34</v>
      </c>
    </row>
    <row r="146" spans="1:14" x14ac:dyDescent="0.25">
      <c r="A146" s="1">
        <v>145</v>
      </c>
      <c r="B146" s="2">
        <v>40550</v>
      </c>
      <c r="C146" s="1">
        <v>7</v>
      </c>
      <c r="D146" s="1" t="b">
        <v>0</v>
      </c>
      <c r="E146" s="1">
        <v>5</v>
      </c>
      <c r="F146" s="1">
        <v>1</v>
      </c>
      <c r="G146" s="1">
        <v>0.2</v>
      </c>
      <c r="H146" s="1">
        <v>145</v>
      </c>
      <c r="I146" s="1">
        <v>0.21210000000000001</v>
      </c>
      <c r="J146" s="1">
        <v>0.69</v>
      </c>
      <c r="K146" s="1">
        <v>0.1343</v>
      </c>
      <c r="L146" s="1">
        <v>8</v>
      </c>
      <c r="M146" s="1">
        <v>76</v>
      </c>
      <c r="N146" s="1">
        <v>84</v>
      </c>
    </row>
    <row r="147" spans="1:14" x14ac:dyDescent="0.25">
      <c r="A147" s="1">
        <v>146</v>
      </c>
      <c r="B147" s="2">
        <v>40550</v>
      </c>
      <c r="C147" s="1">
        <v>8</v>
      </c>
      <c r="D147" s="1" t="b">
        <v>0</v>
      </c>
      <c r="E147" s="1">
        <v>5</v>
      </c>
      <c r="F147" s="1">
        <v>1</v>
      </c>
      <c r="G147" s="1">
        <v>0.2</v>
      </c>
      <c r="H147" s="1">
        <v>146</v>
      </c>
      <c r="I147" s="1">
        <v>0.19700000000000001</v>
      </c>
      <c r="J147" s="1">
        <v>0.51</v>
      </c>
      <c r="K147" s="1">
        <v>0.25369999999999998</v>
      </c>
      <c r="L147" s="1">
        <v>20</v>
      </c>
      <c r="M147" s="1">
        <v>190</v>
      </c>
      <c r="N147" s="1">
        <v>210</v>
      </c>
    </row>
    <row r="148" spans="1:14" x14ac:dyDescent="0.25">
      <c r="A148" s="1">
        <v>147</v>
      </c>
      <c r="B148" s="2">
        <v>40550</v>
      </c>
      <c r="C148" s="1">
        <v>9</v>
      </c>
      <c r="D148" s="1" t="b">
        <v>0</v>
      </c>
      <c r="E148" s="1">
        <v>5</v>
      </c>
      <c r="F148" s="1">
        <v>1</v>
      </c>
      <c r="G148" s="1">
        <v>0.2</v>
      </c>
      <c r="H148" s="1">
        <v>147</v>
      </c>
      <c r="I148" s="1">
        <v>0.18179999999999999</v>
      </c>
      <c r="J148" s="1">
        <v>0.47</v>
      </c>
      <c r="K148" s="1">
        <v>0.29849999999999999</v>
      </c>
      <c r="L148" s="1">
        <v>9</v>
      </c>
      <c r="M148" s="1">
        <v>125</v>
      </c>
      <c r="N148" s="1">
        <v>134</v>
      </c>
    </row>
    <row r="149" spans="1:14" x14ac:dyDescent="0.25">
      <c r="A149" s="1">
        <v>148</v>
      </c>
      <c r="B149" s="2">
        <v>40550</v>
      </c>
      <c r="C149" s="1">
        <v>10</v>
      </c>
      <c r="D149" s="1" t="b">
        <v>0</v>
      </c>
      <c r="E149" s="1">
        <v>5</v>
      </c>
      <c r="F149" s="1">
        <v>1</v>
      </c>
      <c r="G149" s="1">
        <v>0.22</v>
      </c>
      <c r="H149" s="1">
        <v>148</v>
      </c>
      <c r="I149" s="1">
        <v>0.19700000000000001</v>
      </c>
      <c r="J149" s="1">
        <v>0.37</v>
      </c>
      <c r="K149" s="1">
        <v>0.32840000000000003</v>
      </c>
      <c r="L149" s="1">
        <v>16</v>
      </c>
      <c r="M149" s="1">
        <v>47</v>
      </c>
      <c r="N149" s="1">
        <v>63</v>
      </c>
    </row>
    <row r="150" spans="1:14" x14ac:dyDescent="0.25">
      <c r="A150" s="1">
        <v>149</v>
      </c>
      <c r="B150" s="2">
        <v>40550</v>
      </c>
      <c r="C150" s="1">
        <v>11</v>
      </c>
      <c r="D150" s="1" t="b">
        <v>0</v>
      </c>
      <c r="E150" s="1">
        <v>5</v>
      </c>
      <c r="F150" s="1">
        <v>2</v>
      </c>
      <c r="G150" s="1">
        <v>0.2</v>
      </c>
      <c r="H150" s="1">
        <v>149</v>
      </c>
      <c r="I150" s="1">
        <v>0.19700000000000001</v>
      </c>
      <c r="J150" s="1">
        <v>0.4</v>
      </c>
      <c r="K150" s="1">
        <v>0.22389999999999999</v>
      </c>
      <c r="L150" s="1">
        <v>19</v>
      </c>
      <c r="M150" s="1">
        <v>48</v>
      </c>
      <c r="N150" s="1">
        <v>67</v>
      </c>
    </row>
    <row r="151" spans="1:14" x14ac:dyDescent="0.25">
      <c r="A151" s="1">
        <v>150</v>
      </c>
      <c r="B151" s="2">
        <v>40550</v>
      </c>
      <c r="C151" s="1">
        <v>12</v>
      </c>
      <c r="D151" s="1" t="b">
        <v>0</v>
      </c>
      <c r="E151" s="1">
        <v>5</v>
      </c>
      <c r="F151" s="1">
        <v>2</v>
      </c>
      <c r="G151" s="1">
        <v>0.2</v>
      </c>
      <c r="H151" s="1">
        <v>150</v>
      </c>
      <c r="I151" s="1">
        <v>0.19700000000000001</v>
      </c>
      <c r="J151" s="1">
        <v>0.37</v>
      </c>
      <c r="K151" s="1">
        <v>0.25369999999999998</v>
      </c>
      <c r="L151" s="1">
        <v>9</v>
      </c>
      <c r="M151" s="1">
        <v>50</v>
      </c>
      <c r="N151" s="1">
        <v>59</v>
      </c>
    </row>
    <row r="152" spans="1:14" x14ac:dyDescent="0.25">
      <c r="A152" s="1">
        <v>151</v>
      </c>
      <c r="B152" s="2">
        <v>40550</v>
      </c>
      <c r="C152" s="1">
        <v>13</v>
      </c>
      <c r="D152" s="1" t="b">
        <v>0</v>
      </c>
      <c r="E152" s="1">
        <v>5</v>
      </c>
      <c r="F152" s="1">
        <v>2</v>
      </c>
      <c r="G152" s="1">
        <v>0.2</v>
      </c>
      <c r="H152" s="1">
        <v>151</v>
      </c>
      <c r="I152" s="1">
        <v>0.18179999999999999</v>
      </c>
      <c r="J152" s="1">
        <v>0.37</v>
      </c>
      <c r="K152" s="1">
        <v>0.28360000000000002</v>
      </c>
      <c r="L152" s="1">
        <v>9</v>
      </c>
      <c r="M152" s="1">
        <v>64</v>
      </c>
      <c r="N152" s="1">
        <v>73</v>
      </c>
    </row>
    <row r="153" spans="1:14" x14ac:dyDescent="0.25">
      <c r="A153" s="1">
        <v>152</v>
      </c>
      <c r="B153" s="2">
        <v>40550</v>
      </c>
      <c r="C153" s="1">
        <v>14</v>
      </c>
      <c r="D153" s="1" t="b">
        <v>0</v>
      </c>
      <c r="E153" s="1">
        <v>5</v>
      </c>
      <c r="F153" s="1">
        <v>2</v>
      </c>
      <c r="G153" s="1">
        <v>0.2</v>
      </c>
      <c r="H153" s="1">
        <v>152</v>
      </c>
      <c r="I153" s="1">
        <v>0.19700000000000001</v>
      </c>
      <c r="J153" s="1">
        <v>0.4</v>
      </c>
      <c r="K153" s="1">
        <v>0.25369999999999998</v>
      </c>
      <c r="L153" s="1">
        <v>7</v>
      </c>
      <c r="M153" s="1">
        <v>43</v>
      </c>
      <c r="N153" s="1">
        <v>50</v>
      </c>
    </row>
    <row r="154" spans="1:14" x14ac:dyDescent="0.25">
      <c r="A154" s="1">
        <v>153</v>
      </c>
      <c r="B154" s="2">
        <v>40550</v>
      </c>
      <c r="C154" s="1">
        <v>15</v>
      </c>
      <c r="D154" s="1" t="b">
        <v>0</v>
      </c>
      <c r="E154" s="1">
        <v>5</v>
      </c>
      <c r="F154" s="1">
        <v>2</v>
      </c>
      <c r="G154" s="1">
        <v>0.2</v>
      </c>
      <c r="H154" s="1">
        <v>153</v>
      </c>
      <c r="I154" s="1">
        <v>0.21210000000000001</v>
      </c>
      <c r="J154" s="1">
        <v>0.37</v>
      </c>
      <c r="K154" s="1">
        <v>0.16420000000000001</v>
      </c>
      <c r="L154" s="1">
        <v>9</v>
      </c>
      <c r="M154" s="1">
        <v>63</v>
      </c>
      <c r="N154" s="1">
        <v>72</v>
      </c>
    </row>
    <row r="155" spans="1:14" x14ac:dyDescent="0.25">
      <c r="A155" s="1">
        <v>154</v>
      </c>
      <c r="B155" s="2">
        <v>40550</v>
      </c>
      <c r="C155" s="1">
        <v>16</v>
      </c>
      <c r="D155" s="1" t="b">
        <v>0</v>
      </c>
      <c r="E155" s="1">
        <v>5</v>
      </c>
      <c r="F155" s="1">
        <v>2</v>
      </c>
      <c r="G155" s="1">
        <v>0.2</v>
      </c>
      <c r="H155" s="1">
        <v>154</v>
      </c>
      <c r="I155" s="1">
        <v>0.21210000000000001</v>
      </c>
      <c r="J155" s="1">
        <v>0.37</v>
      </c>
      <c r="K155" s="1">
        <v>0.16420000000000001</v>
      </c>
      <c r="L155" s="1">
        <v>5</v>
      </c>
      <c r="M155" s="1">
        <v>82</v>
      </c>
      <c r="N155" s="1">
        <v>87</v>
      </c>
    </row>
    <row r="156" spans="1:14" x14ac:dyDescent="0.25">
      <c r="A156" s="1">
        <v>155</v>
      </c>
      <c r="B156" s="2">
        <v>40550</v>
      </c>
      <c r="C156" s="1">
        <v>17</v>
      </c>
      <c r="D156" s="1" t="b">
        <v>0</v>
      </c>
      <c r="E156" s="1">
        <v>5</v>
      </c>
      <c r="F156" s="1">
        <v>2</v>
      </c>
      <c r="G156" s="1">
        <v>0.2</v>
      </c>
      <c r="H156" s="1">
        <v>155</v>
      </c>
      <c r="I156" s="1">
        <v>0.2576</v>
      </c>
      <c r="J156" s="1">
        <v>0.37</v>
      </c>
      <c r="K156" s="1">
        <v>0</v>
      </c>
      <c r="L156" s="1">
        <v>9</v>
      </c>
      <c r="M156" s="1">
        <v>178</v>
      </c>
      <c r="N156" s="1">
        <v>187</v>
      </c>
    </row>
    <row r="157" spans="1:14" x14ac:dyDescent="0.25">
      <c r="A157" s="1">
        <v>156</v>
      </c>
      <c r="B157" s="2">
        <v>40550</v>
      </c>
      <c r="C157" s="1">
        <v>18</v>
      </c>
      <c r="D157" s="1" t="b">
        <v>0</v>
      </c>
      <c r="E157" s="1">
        <v>5</v>
      </c>
      <c r="F157" s="1">
        <v>1</v>
      </c>
      <c r="G157" s="1">
        <v>0.2</v>
      </c>
      <c r="H157" s="1">
        <v>156</v>
      </c>
      <c r="I157" s="1">
        <v>0.2273</v>
      </c>
      <c r="J157" s="1">
        <v>0.4</v>
      </c>
      <c r="K157" s="1">
        <v>8.9599999999999999E-2</v>
      </c>
      <c r="L157" s="1">
        <v>7</v>
      </c>
      <c r="M157" s="1">
        <v>116</v>
      </c>
      <c r="N157" s="1">
        <v>123</v>
      </c>
    </row>
    <row r="158" spans="1:14" x14ac:dyDescent="0.25">
      <c r="A158" s="1">
        <v>157</v>
      </c>
      <c r="B158" s="2">
        <v>40550</v>
      </c>
      <c r="C158" s="1">
        <v>19</v>
      </c>
      <c r="D158" s="1" t="b">
        <v>0</v>
      </c>
      <c r="E158" s="1">
        <v>5</v>
      </c>
      <c r="F158" s="1">
        <v>1</v>
      </c>
      <c r="G158" s="1">
        <v>0.16</v>
      </c>
      <c r="H158" s="1">
        <v>157</v>
      </c>
      <c r="I158" s="1">
        <v>0.19700000000000001</v>
      </c>
      <c r="J158" s="1">
        <v>0.55000000000000004</v>
      </c>
      <c r="K158" s="1">
        <v>8.9599999999999999E-2</v>
      </c>
      <c r="L158" s="1">
        <v>3</v>
      </c>
      <c r="M158" s="1">
        <v>92</v>
      </c>
      <c r="N158" s="1">
        <v>95</v>
      </c>
    </row>
    <row r="159" spans="1:14" x14ac:dyDescent="0.25">
      <c r="A159" s="1">
        <v>158</v>
      </c>
      <c r="B159" s="2">
        <v>40550</v>
      </c>
      <c r="C159" s="1">
        <v>20</v>
      </c>
      <c r="D159" s="1" t="b">
        <v>0</v>
      </c>
      <c r="E159" s="1">
        <v>5</v>
      </c>
      <c r="F159" s="1">
        <v>1</v>
      </c>
      <c r="G159" s="1">
        <v>0.18</v>
      </c>
      <c r="H159" s="1">
        <v>158</v>
      </c>
      <c r="I159" s="1">
        <v>0.21210000000000001</v>
      </c>
      <c r="J159" s="1">
        <v>0.47</v>
      </c>
      <c r="K159" s="1">
        <v>0.1045</v>
      </c>
      <c r="L159" s="1">
        <v>1</v>
      </c>
      <c r="M159" s="1">
        <v>50</v>
      </c>
      <c r="N159" s="1">
        <v>51</v>
      </c>
    </row>
    <row r="160" spans="1:14" x14ac:dyDescent="0.25">
      <c r="A160" s="1">
        <v>159</v>
      </c>
      <c r="B160" s="2">
        <v>40550</v>
      </c>
      <c r="C160" s="1">
        <v>21</v>
      </c>
      <c r="D160" s="1" t="b">
        <v>0</v>
      </c>
      <c r="E160" s="1">
        <v>5</v>
      </c>
      <c r="F160" s="1">
        <v>1</v>
      </c>
      <c r="G160" s="1">
        <v>0.18</v>
      </c>
      <c r="H160" s="1">
        <v>159</v>
      </c>
      <c r="I160" s="1">
        <v>0.19700000000000001</v>
      </c>
      <c r="J160" s="1">
        <v>0.47</v>
      </c>
      <c r="K160" s="1">
        <v>0.1343</v>
      </c>
      <c r="L160" s="1">
        <v>0</v>
      </c>
      <c r="M160" s="1">
        <v>39</v>
      </c>
      <c r="N160" s="1">
        <v>39</v>
      </c>
    </row>
    <row r="161" spans="1:14" x14ac:dyDescent="0.25">
      <c r="A161" s="1">
        <v>160</v>
      </c>
      <c r="B161" s="2">
        <v>40550</v>
      </c>
      <c r="C161" s="1">
        <v>22</v>
      </c>
      <c r="D161" s="1" t="b">
        <v>0</v>
      </c>
      <c r="E161" s="1">
        <v>5</v>
      </c>
      <c r="F161" s="1">
        <v>2</v>
      </c>
      <c r="G161" s="1">
        <v>0.18</v>
      </c>
      <c r="H161" s="1">
        <v>160</v>
      </c>
      <c r="I161" s="1">
        <v>0.19700000000000001</v>
      </c>
      <c r="J161" s="1">
        <v>0.43</v>
      </c>
      <c r="K161" s="1">
        <v>0.16420000000000001</v>
      </c>
      <c r="L161" s="1">
        <v>2</v>
      </c>
      <c r="M161" s="1">
        <v>34</v>
      </c>
      <c r="N161" s="1">
        <v>36</v>
      </c>
    </row>
    <row r="162" spans="1:14" x14ac:dyDescent="0.25">
      <c r="A162" s="1">
        <v>161</v>
      </c>
      <c r="B162" s="2">
        <v>40550</v>
      </c>
      <c r="C162" s="1">
        <v>23</v>
      </c>
      <c r="D162" s="1" t="b">
        <v>0</v>
      </c>
      <c r="E162" s="1">
        <v>5</v>
      </c>
      <c r="F162" s="1">
        <v>2</v>
      </c>
      <c r="G162" s="1">
        <v>0.18</v>
      </c>
      <c r="H162" s="1">
        <v>161</v>
      </c>
      <c r="I162" s="1">
        <v>0.19700000000000001</v>
      </c>
      <c r="J162" s="1">
        <v>0.51</v>
      </c>
      <c r="K162" s="1">
        <v>0.16420000000000001</v>
      </c>
      <c r="L162" s="1">
        <v>1</v>
      </c>
      <c r="M162" s="1">
        <v>14</v>
      </c>
      <c r="N162" s="1">
        <v>15</v>
      </c>
    </row>
    <row r="163" spans="1:14" x14ac:dyDescent="0.25">
      <c r="A163" s="1">
        <v>162</v>
      </c>
      <c r="B163" s="2">
        <v>40551</v>
      </c>
      <c r="C163" s="1">
        <v>0</v>
      </c>
      <c r="D163" s="1" t="b">
        <v>0</v>
      </c>
      <c r="E163" s="1">
        <v>6</v>
      </c>
      <c r="F163" s="1">
        <v>2</v>
      </c>
      <c r="G163" s="1">
        <v>0.18</v>
      </c>
      <c r="H163" s="1">
        <v>162</v>
      </c>
      <c r="I163" s="1">
        <v>0.19700000000000001</v>
      </c>
      <c r="J163" s="1">
        <v>0.51</v>
      </c>
      <c r="K163" s="1">
        <v>0.16420000000000001</v>
      </c>
      <c r="L163" s="1">
        <v>1</v>
      </c>
      <c r="M163" s="1">
        <v>24</v>
      </c>
      <c r="N163" s="1">
        <v>25</v>
      </c>
    </row>
    <row r="164" spans="1:14" x14ac:dyDescent="0.25">
      <c r="A164" s="1">
        <v>163</v>
      </c>
      <c r="B164" s="2">
        <v>40551</v>
      </c>
      <c r="C164" s="1">
        <v>1</v>
      </c>
      <c r="D164" s="1" t="b">
        <v>0</v>
      </c>
      <c r="E164" s="1">
        <v>6</v>
      </c>
      <c r="F164" s="1">
        <v>2</v>
      </c>
      <c r="G164" s="1">
        <v>0.18</v>
      </c>
      <c r="H164" s="1">
        <v>163</v>
      </c>
      <c r="I164" s="1">
        <v>0.21210000000000001</v>
      </c>
      <c r="J164" s="1">
        <v>0.55000000000000004</v>
      </c>
      <c r="K164" s="1">
        <v>8.9599999999999999E-2</v>
      </c>
      <c r="L164" s="1">
        <v>1</v>
      </c>
      <c r="M164" s="1">
        <v>15</v>
      </c>
      <c r="N164" s="1">
        <v>16</v>
      </c>
    </row>
    <row r="165" spans="1:14" x14ac:dyDescent="0.25">
      <c r="A165" s="1">
        <v>164</v>
      </c>
      <c r="B165" s="2">
        <v>40551</v>
      </c>
      <c r="C165" s="1">
        <v>2</v>
      </c>
      <c r="D165" s="1" t="b">
        <v>0</v>
      </c>
      <c r="E165" s="1">
        <v>6</v>
      </c>
      <c r="F165" s="1">
        <v>2</v>
      </c>
      <c r="G165" s="1">
        <v>0.18</v>
      </c>
      <c r="H165" s="1">
        <v>164</v>
      </c>
      <c r="I165" s="1">
        <v>0.2424</v>
      </c>
      <c r="J165" s="1">
        <v>0.55000000000000004</v>
      </c>
      <c r="K165" s="1">
        <v>0</v>
      </c>
      <c r="L165" s="1">
        <v>3</v>
      </c>
      <c r="M165" s="1">
        <v>13</v>
      </c>
      <c r="N165" s="1">
        <v>16</v>
      </c>
    </row>
    <row r="166" spans="1:14" x14ac:dyDescent="0.25">
      <c r="A166" s="1">
        <v>165</v>
      </c>
      <c r="B166" s="2">
        <v>40551</v>
      </c>
      <c r="C166" s="1">
        <v>3</v>
      </c>
      <c r="D166" s="1" t="b">
        <v>0</v>
      </c>
      <c r="E166" s="1">
        <v>6</v>
      </c>
      <c r="F166" s="1">
        <v>3</v>
      </c>
      <c r="G166" s="1">
        <v>0.18</v>
      </c>
      <c r="H166" s="1">
        <v>165</v>
      </c>
      <c r="I166" s="1">
        <v>0.19700000000000001</v>
      </c>
      <c r="J166" s="1">
        <v>0.55000000000000004</v>
      </c>
      <c r="K166" s="1">
        <v>0.16420000000000001</v>
      </c>
      <c r="L166" s="1">
        <v>0</v>
      </c>
      <c r="M166" s="1">
        <v>7</v>
      </c>
      <c r="N166" s="1">
        <v>7</v>
      </c>
    </row>
    <row r="167" spans="1:14" x14ac:dyDescent="0.25">
      <c r="A167" s="1">
        <v>166</v>
      </c>
      <c r="B167" s="2">
        <v>40551</v>
      </c>
      <c r="C167" s="1">
        <v>4</v>
      </c>
      <c r="D167" s="1" t="b">
        <v>0</v>
      </c>
      <c r="E167" s="1">
        <v>6</v>
      </c>
      <c r="F167" s="1">
        <v>3</v>
      </c>
      <c r="G167" s="1">
        <v>0.18</v>
      </c>
      <c r="H167" s="1">
        <v>166</v>
      </c>
      <c r="I167" s="1">
        <v>0.19700000000000001</v>
      </c>
      <c r="J167" s="1">
        <v>0.55000000000000004</v>
      </c>
      <c r="K167" s="1">
        <v>0.16420000000000001</v>
      </c>
      <c r="L167" s="1">
        <v>0</v>
      </c>
      <c r="M167" s="1">
        <v>1</v>
      </c>
      <c r="N167" s="1">
        <v>1</v>
      </c>
    </row>
    <row r="168" spans="1:14" x14ac:dyDescent="0.25">
      <c r="A168" s="1">
        <v>167</v>
      </c>
      <c r="B168" s="2">
        <v>40551</v>
      </c>
      <c r="C168" s="1">
        <v>5</v>
      </c>
      <c r="D168" s="1" t="b">
        <v>0</v>
      </c>
      <c r="E168" s="1">
        <v>6</v>
      </c>
      <c r="F168" s="1">
        <v>2</v>
      </c>
      <c r="G168" s="1">
        <v>0.16</v>
      </c>
      <c r="H168" s="1">
        <v>167</v>
      </c>
      <c r="I168" s="1">
        <v>0.16669999999999999</v>
      </c>
      <c r="J168" s="1">
        <v>0.74</v>
      </c>
      <c r="K168" s="1">
        <v>0.16420000000000001</v>
      </c>
      <c r="L168" s="1">
        <v>0</v>
      </c>
      <c r="M168" s="1">
        <v>5</v>
      </c>
      <c r="N168" s="1">
        <v>5</v>
      </c>
    </row>
    <row r="169" spans="1:14" x14ac:dyDescent="0.25">
      <c r="A169" s="1">
        <v>168</v>
      </c>
      <c r="B169" s="2">
        <v>40551</v>
      </c>
      <c r="C169" s="1">
        <v>6</v>
      </c>
      <c r="D169" s="1" t="b">
        <v>0</v>
      </c>
      <c r="E169" s="1">
        <v>6</v>
      </c>
      <c r="F169" s="1">
        <v>2</v>
      </c>
      <c r="G169" s="1">
        <v>0.16</v>
      </c>
      <c r="H169" s="1">
        <v>168</v>
      </c>
      <c r="I169" s="1">
        <v>0.16669999999999999</v>
      </c>
      <c r="J169" s="1">
        <v>0.74</v>
      </c>
      <c r="K169" s="1">
        <v>0.16420000000000001</v>
      </c>
      <c r="L169" s="1">
        <v>0</v>
      </c>
      <c r="M169" s="1">
        <v>2</v>
      </c>
      <c r="N169" s="1">
        <v>2</v>
      </c>
    </row>
    <row r="170" spans="1:14" x14ac:dyDescent="0.25">
      <c r="A170" s="1">
        <v>169</v>
      </c>
      <c r="B170" s="2">
        <v>40551</v>
      </c>
      <c r="C170" s="1">
        <v>7</v>
      </c>
      <c r="D170" s="1" t="b">
        <v>0</v>
      </c>
      <c r="E170" s="1">
        <v>6</v>
      </c>
      <c r="F170" s="1">
        <v>2</v>
      </c>
      <c r="G170" s="1">
        <v>0.16</v>
      </c>
      <c r="H170" s="1">
        <v>169</v>
      </c>
      <c r="I170" s="1">
        <v>0.18179999999999999</v>
      </c>
      <c r="J170" s="1">
        <v>0.74</v>
      </c>
      <c r="K170" s="1">
        <v>0.1045</v>
      </c>
      <c r="L170" s="1">
        <v>1</v>
      </c>
      <c r="M170" s="1">
        <v>8</v>
      </c>
      <c r="N170" s="1">
        <v>9</v>
      </c>
    </row>
    <row r="171" spans="1:14" x14ac:dyDescent="0.25">
      <c r="A171" s="1">
        <v>170</v>
      </c>
      <c r="B171" s="2">
        <v>40551</v>
      </c>
      <c r="C171" s="1">
        <v>8</v>
      </c>
      <c r="D171" s="1" t="b">
        <v>0</v>
      </c>
      <c r="E171" s="1">
        <v>6</v>
      </c>
      <c r="F171" s="1">
        <v>3</v>
      </c>
      <c r="G171" s="1">
        <v>0.16</v>
      </c>
      <c r="H171" s="1">
        <v>170</v>
      </c>
      <c r="I171" s="1">
        <v>0.18179999999999999</v>
      </c>
      <c r="J171" s="1">
        <v>0.93</v>
      </c>
      <c r="K171" s="1">
        <v>0.1045</v>
      </c>
      <c r="L171" s="1">
        <v>0</v>
      </c>
      <c r="M171" s="1">
        <v>15</v>
      </c>
      <c r="N171" s="1">
        <v>15</v>
      </c>
    </row>
    <row r="172" spans="1:14" x14ac:dyDescent="0.25">
      <c r="A172" s="1">
        <v>171</v>
      </c>
      <c r="B172" s="2">
        <v>40551</v>
      </c>
      <c r="C172" s="1">
        <v>9</v>
      </c>
      <c r="D172" s="1" t="b">
        <v>0</v>
      </c>
      <c r="E172" s="1">
        <v>6</v>
      </c>
      <c r="F172" s="1">
        <v>3</v>
      </c>
      <c r="G172" s="1">
        <v>0.16</v>
      </c>
      <c r="H172" s="1">
        <v>171</v>
      </c>
      <c r="I172" s="1">
        <v>0.18179999999999999</v>
      </c>
      <c r="J172" s="1">
        <v>0.93</v>
      </c>
      <c r="K172" s="1">
        <v>0.1045</v>
      </c>
      <c r="L172" s="1">
        <v>0</v>
      </c>
      <c r="M172" s="1">
        <v>20</v>
      </c>
      <c r="N172" s="1">
        <v>20</v>
      </c>
    </row>
    <row r="173" spans="1:14" x14ac:dyDescent="0.25">
      <c r="A173" s="1">
        <v>172</v>
      </c>
      <c r="B173" s="2">
        <v>40551</v>
      </c>
      <c r="C173" s="1">
        <v>10</v>
      </c>
      <c r="D173" s="1" t="b">
        <v>0</v>
      </c>
      <c r="E173" s="1">
        <v>6</v>
      </c>
      <c r="F173" s="1">
        <v>2</v>
      </c>
      <c r="G173" s="1">
        <v>0.18</v>
      </c>
      <c r="H173" s="1">
        <v>172</v>
      </c>
      <c r="I173" s="1">
        <v>0.19700000000000001</v>
      </c>
      <c r="J173" s="1">
        <v>0.8</v>
      </c>
      <c r="K173" s="1">
        <v>0.16420000000000001</v>
      </c>
      <c r="L173" s="1">
        <v>5</v>
      </c>
      <c r="M173" s="1">
        <v>56</v>
      </c>
      <c r="N173" s="1">
        <v>61</v>
      </c>
    </row>
    <row r="174" spans="1:14" x14ac:dyDescent="0.25">
      <c r="A174" s="1">
        <v>173</v>
      </c>
      <c r="B174" s="2">
        <v>40551</v>
      </c>
      <c r="C174" s="1">
        <v>11</v>
      </c>
      <c r="D174" s="1" t="b">
        <v>0</v>
      </c>
      <c r="E174" s="1">
        <v>6</v>
      </c>
      <c r="F174" s="1">
        <v>2</v>
      </c>
      <c r="G174" s="1">
        <v>0.2</v>
      </c>
      <c r="H174" s="1">
        <v>173</v>
      </c>
      <c r="I174" s="1">
        <v>0.18179999999999999</v>
      </c>
      <c r="J174" s="1">
        <v>0.69</v>
      </c>
      <c r="K174" s="1">
        <v>0.3881</v>
      </c>
      <c r="L174" s="1">
        <v>2</v>
      </c>
      <c r="M174" s="1">
        <v>60</v>
      </c>
      <c r="N174" s="1">
        <v>62</v>
      </c>
    </row>
    <row r="175" spans="1:14" x14ac:dyDescent="0.25">
      <c r="A175" s="1">
        <v>174</v>
      </c>
      <c r="B175" s="2">
        <v>40551</v>
      </c>
      <c r="C175" s="1">
        <v>12</v>
      </c>
      <c r="D175" s="1" t="b">
        <v>0</v>
      </c>
      <c r="E175" s="1">
        <v>6</v>
      </c>
      <c r="F175" s="1">
        <v>2</v>
      </c>
      <c r="G175" s="1">
        <v>0.2</v>
      </c>
      <c r="H175" s="1">
        <v>174</v>
      </c>
      <c r="I175" s="1">
        <v>0.18179999999999999</v>
      </c>
      <c r="J175" s="1">
        <v>0.59</v>
      </c>
      <c r="K175" s="1">
        <v>0.35820000000000002</v>
      </c>
      <c r="L175" s="1">
        <v>8</v>
      </c>
      <c r="M175" s="1">
        <v>90</v>
      </c>
      <c r="N175" s="1">
        <v>98</v>
      </c>
    </row>
    <row r="176" spans="1:14" x14ac:dyDescent="0.25">
      <c r="A176" s="1">
        <v>175</v>
      </c>
      <c r="B176" s="2">
        <v>40551</v>
      </c>
      <c r="C176" s="1">
        <v>13</v>
      </c>
      <c r="D176" s="1" t="b">
        <v>0</v>
      </c>
      <c r="E176" s="1">
        <v>6</v>
      </c>
      <c r="F176" s="1">
        <v>1</v>
      </c>
      <c r="G176" s="1">
        <v>0.2</v>
      </c>
      <c r="H176" s="1">
        <v>175</v>
      </c>
      <c r="I176" s="1">
        <v>0.18179999999999999</v>
      </c>
      <c r="J176" s="1">
        <v>0.44</v>
      </c>
      <c r="K176" s="1">
        <v>0.32840000000000003</v>
      </c>
      <c r="L176" s="1">
        <v>7</v>
      </c>
      <c r="M176" s="1">
        <v>95</v>
      </c>
      <c r="N176" s="1">
        <v>102</v>
      </c>
    </row>
    <row r="177" spans="1:14" x14ac:dyDescent="0.25">
      <c r="A177" s="1">
        <v>176</v>
      </c>
      <c r="B177" s="2">
        <v>40551</v>
      </c>
      <c r="C177" s="1">
        <v>14</v>
      </c>
      <c r="D177" s="1" t="b">
        <v>0</v>
      </c>
      <c r="E177" s="1">
        <v>6</v>
      </c>
      <c r="F177" s="1">
        <v>1</v>
      </c>
      <c r="G177" s="1">
        <v>0.2</v>
      </c>
      <c r="H177" s="1">
        <v>176</v>
      </c>
      <c r="I177" s="1">
        <v>0.16669999999999999</v>
      </c>
      <c r="J177" s="1">
        <v>0.32</v>
      </c>
      <c r="K177" s="1">
        <v>0.49249999999999999</v>
      </c>
      <c r="L177" s="1">
        <v>12</v>
      </c>
      <c r="M177" s="1">
        <v>83</v>
      </c>
      <c r="N177" s="1">
        <v>95</v>
      </c>
    </row>
    <row r="178" spans="1:14" x14ac:dyDescent="0.25">
      <c r="A178" s="1">
        <v>177</v>
      </c>
      <c r="B178" s="2">
        <v>40551</v>
      </c>
      <c r="C178" s="1">
        <v>15</v>
      </c>
      <c r="D178" s="1" t="b">
        <v>0</v>
      </c>
      <c r="E178" s="1">
        <v>6</v>
      </c>
      <c r="F178" s="1">
        <v>1</v>
      </c>
      <c r="G178" s="1">
        <v>0.2</v>
      </c>
      <c r="H178" s="1">
        <v>177</v>
      </c>
      <c r="I178" s="1">
        <v>0.16669999999999999</v>
      </c>
      <c r="J178" s="1">
        <v>0.32</v>
      </c>
      <c r="K178" s="1">
        <v>0.44779999999999998</v>
      </c>
      <c r="L178" s="1">
        <v>5</v>
      </c>
      <c r="M178" s="1">
        <v>69</v>
      </c>
      <c r="N178" s="1">
        <v>74</v>
      </c>
    </row>
    <row r="179" spans="1:14" x14ac:dyDescent="0.25">
      <c r="A179" s="1">
        <v>178</v>
      </c>
      <c r="B179" s="2">
        <v>40551</v>
      </c>
      <c r="C179" s="1">
        <v>16</v>
      </c>
      <c r="D179" s="1" t="b">
        <v>0</v>
      </c>
      <c r="E179" s="1">
        <v>6</v>
      </c>
      <c r="F179" s="1">
        <v>1</v>
      </c>
      <c r="G179" s="1">
        <v>0.18</v>
      </c>
      <c r="H179" s="1">
        <v>178</v>
      </c>
      <c r="I179" s="1">
        <v>0.13639999999999999</v>
      </c>
      <c r="J179" s="1">
        <v>0.28999999999999998</v>
      </c>
      <c r="K179" s="1">
        <v>0.44779999999999998</v>
      </c>
      <c r="L179" s="1">
        <v>8</v>
      </c>
      <c r="M179" s="1">
        <v>68</v>
      </c>
      <c r="N179" s="1">
        <v>76</v>
      </c>
    </row>
    <row r="180" spans="1:14" x14ac:dyDescent="0.25">
      <c r="A180" s="1">
        <v>179</v>
      </c>
      <c r="B180" s="2">
        <v>40551</v>
      </c>
      <c r="C180" s="1">
        <v>17</v>
      </c>
      <c r="D180" s="1" t="b">
        <v>0</v>
      </c>
      <c r="E180" s="1">
        <v>6</v>
      </c>
      <c r="F180" s="1">
        <v>1</v>
      </c>
      <c r="G180" s="1">
        <v>0.16</v>
      </c>
      <c r="H180" s="1">
        <v>179</v>
      </c>
      <c r="I180" s="1">
        <v>0.1212</v>
      </c>
      <c r="J180" s="1">
        <v>0.37</v>
      </c>
      <c r="K180" s="1">
        <v>0.55220000000000002</v>
      </c>
      <c r="L180" s="1">
        <v>5</v>
      </c>
      <c r="M180" s="1">
        <v>64</v>
      </c>
      <c r="N180" s="1">
        <v>69</v>
      </c>
    </row>
    <row r="181" spans="1:14" x14ac:dyDescent="0.25">
      <c r="A181" s="1">
        <v>180</v>
      </c>
      <c r="B181" s="2">
        <v>40551</v>
      </c>
      <c r="C181" s="1">
        <v>18</v>
      </c>
      <c r="D181" s="1" t="b">
        <v>0</v>
      </c>
      <c r="E181" s="1">
        <v>6</v>
      </c>
      <c r="F181" s="1">
        <v>1</v>
      </c>
      <c r="G181" s="1">
        <v>0.14000000000000001</v>
      </c>
      <c r="H181" s="1">
        <v>180</v>
      </c>
      <c r="I181" s="1">
        <v>0.1212</v>
      </c>
      <c r="J181" s="1">
        <v>0.39</v>
      </c>
      <c r="K181" s="1">
        <v>0.29849999999999999</v>
      </c>
      <c r="L181" s="1">
        <v>3</v>
      </c>
      <c r="M181" s="1">
        <v>52</v>
      </c>
      <c r="N181" s="1">
        <v>55</v>
      </c>
    </row>
    <row r="182" spans="1:14" x14ac:dyDescent="0.25">
      <c r="A182" s="1">
        <v>181</v>
      </c>
      <c r="B182" s="2">
        <v>40551</v>
      </c>
      <c r="C182" s="1">
        <v>19</v>
      </c>
      <c r="D182" s="1" t="b">
        <v>0</v>
      </c>
      <c r="E182" s="1">
        <v>6</v>
      </c>
      <c r="F182" s="1">
        <v>1</v>
      </c>
      <c r="G182" s="1">
        <v>0.14000000000000001</v>
      </c>
      <c r="H182" s="1">
        <v>181</v>
      </c>
      <c r="I182" s="1">
        <v>0.1212</v>
      </c>
      <c r="J182" s="1">
        <v>0.36</v>
      </c>
      <c r="K182" s="1">
        <v>0.25369999999999998</v>
      </c>
      <c r="L182" s="1">
        <v>4</v>
      </c>
      <c r="M182" s="1">
        <v>26</v>
      </c>
      <c r="N182" s="1">
        <v>30</v>
      </c>
    </row>
    <row r="183" spans="1:14" x14ac:dyDescent="0.25">
      <c r="A183" s="1">
        <v>182</v>
      </c>
      <c r="B183" s="2">
        <v>40551</v>
      </c>
      <c r="C183" s="1">
        <v>20</v>
      </c>
      <c r="D183" s="1" t="b">
        <v>0</v>
      </c>
      <c r="E183" s="1">
        <v>6</v>
      </c>
      <c r="F183" s="1">
        <v>1</v>
      </c>
      <c r="G183" s="1">
        <v>0.12</v>
      </c>
      <c r="H183" s="1">
        <v>182</v>
      </c>
      <c r="I183" s="1">
        <v>0.1212</v>
      </c>
      <c r="J183" s="1">
        <v>0.36</v>
      </c>
      <c r="K183" s="1">
        <v>0.25369999999999998</v>
      </c>
      <c r="L183" s="1">
        <v>0</v>
      </c>
      <c r="M183" s="1">
        <v>28</v>
      </c>
      <c r="N183" s="1">
        <v>28</v>
      </c>
    </row>
    <row r="184" spans="1:14" x14ac:dyDescent="0.25">
      <c r="A184" s="1">
        <v>183</v>
      </c>
      <c r="B184" s="2">
        <v>40551</v>
      </c>
      <c r="C184" s="1">
        <v>21</v>
      </c>
      <c r="D184" s="1" t="b">
        <v>0</v>
      </c>
      <c r="E184" s="1">
        <v>6</v>
      </c>
      <c r="F184" s="1">
        <v>1</v>
      </c>
      <c r="G184" s="1">
        <v>0.12</v>
      </c>
      <c r="H184" s="1">
        <v>183</v>
      </c>
      <c r="I184" s="1">
        <v>0.1061</v>
      </c>
      <c r="J184" s="1">
        <v>0.39</v>
      </c>
      <c r="K184" s="1">
        <v>0.35820000000000002</v>
      </c>
      <c r="L184" s="1">
        <v>2</v>
      </c>
      <c r="M184" s="1">
        <v>35</v>
      </c>
      <c r="N184" s="1">
        <v>37</v>
      </c>
    </row>
    <row r="185" spans="1:14" x14ac:dyDescent="0.25">
      <c r="A185" s="1">
        <v>184</v>
      </c>
      <c r="B185" s="2">
        <v>40551</v>
      </c>
      <c r="C185" s="1">
        <v>22</v>
      </c>
      <c r="D185" s="1" t="b">
        <v>0</v>
      </c>
      <c r="E185" s="1">
        <v>6</v>
      </c>
      <c r="F185" s="1">
        <v>1</v>
      </c>
      <c r="G185" s="1">
        <v>0.12</v>
      </c>
      <c r="H185" s="1">
        <v>184</v>
      </c>
      <c r="I185" s="1">
        <v>0.1061</v>
      </c>
      <c r="J185" s="1">
        <v>0.36</v>
      </c>
      <c r="K185" s="1">
        <v>0.3881</v>
      </c>
      <c r="L185" s="1">
        <v>1</v>
      </c>
      <c r="M185" s="1">
        <v>33</v>
      </c>
      <c r="N185" s="1">
        <v>34</v>
      </c>
    </row>
    <row r="186" spans="1:14" x14ac:dyDescent="0.25">
      <c r="A186" s="1">
        <v>185</v>
      </c>
      <c r="B186" s="2">
        <v>40551</v>
      </c>
      <c r="C186" s="1">
        <v>23</v>
      </c>
      <c r="D186" s="1" t="b">
        <v>0</v>
      </c>
      <c r="E186" s="1">
        <v>6</v>
      </c>
      <c r="F186" s="1">
        <v>1</v>
      </c>
      <c r="G186" s="1">
        <v>0.1</v>
      </c>
      <c r="H186" s="1">
        <v>185</v>
      </c>
      <c r="I186" s="1">
        <v>6.0600000000000001E-2</v>
      </c>
      <c r="J186" s="1">
        <v>0.39</v>
      </c>
      <c r="K186" s="1">
        <v>0.44779999999999998</v>
      </c>
      <c r="L186" s="1">
        <v>0</v>
      </c>
      <c r="M186" s="1">
        <v>22</v>
      </c>
      <c r="N186" s="1">
        <v>22</v>
      </c>
    </row>
    <row r="187" spans="1:14" x14ac:dyDescent="0.25">
      <c r="A187" s="1">
        <v>186</v>
      </c>
      <c r="B187" s="2">
        <v>40552</v>
      </c>
      <c r="C187" s="1">
        <v>0</v>
      </c>
      <c r="D187" s="1" t="b">
        <v>0</v>
      </c>
      <c r="E187" s="1">
        <v>0</v>
      </c>
      <c r="F187" s="1">
        <v>1</v>
      </c>
      <c r="G187" s="1">
        <v>0.1</v>
      </c>
      <c r="H187" s="1">
        <v>186</v>
      </c>
      <c r="I187" s="1">
        <v>7.5800000000000006E-2</v>
      </c>
      <c r="J187" s="1">
        <v>0.42</v>
      </c>
      <c r="K187" s="1">
        <v>0.3881</v>
      </c>
      <c r="L187" s="1">
        <v>1</v>
      </c>
      <c r="M187" s="1">
        <v>24</v>
      </c>
      <c r="N187" s="1">
        <v>25</v>
      </c>
    </row>
    <row r="188" spans="1:14" x14ac:dyDescent="0.25">
      <c r="A188" s="1">
        <v>187</v>
      </c>
      <c r="B188" s="2">
        <v>40552</v>
      </c>
      <c r="C188" s="1">
        <v>1</v>
      </c>
      <c r="D188" s="1" t="b">
        <v>0</v>
      </c>
      <c r="E188" s="1">
        <v>0</v>
      </c>
      <c r="F188" s="1">
        <v>1</v>
      </c>
      <c r="G188" s="1">
        <v>0.1</v>
      </c>
      <c r="H188" s="1">
        <v>187</v>
      </c>
      <c r="I188" s="1">
        <v>6.0600000000000001E-2</v>
      </c>
      <c r="J188" s="1">
        <v>0.42</v>
      </c>
      <c r="K188" s="1">
        <v>0.4627</v>
      </c>
      <c r="L188" s="1">
        <v>0</v>
      </c>
      <c r="M188" s="1">
        <v>12</v>
      </c>
      <c r="N188" s="1">
        <v>12</v>
      </c>
    </row>
    <row r="189" spans="1:14" x14ac:dyDescent="0.25">
      <c r="A189" s="1">
        <v>188</v>
      </c>
      <c r="B189" s="2">
        <v>40552</v>
      </c>
      <c r="C189" s="1">
        <v>2</v>
      </c>
      <c r="D189" s="1" t="b">
        <v>0</v>
      </c>
      <c r="E189" s="1">
        <v>0</v>
      </c>
      <c r="F189" s="1">
        <v>1</v>
      </c>
      <c r="G189" s="1">
        <v>0.1</v>
      </c>
      <c r="H189" s="1">
        <v>188</v>
      </c>
      <c r="I189" s="1">
        <v>6.0600000000000001E-2</v>
      </c>
      <c r="J189" s="1">
        <v>0.46</v>
      </c>
      <c r="K189" s="1">
        <v>0.4627</v>
      </c>
      <c r="L189" s="1">
        <v>0</v>
      </c>
      <c r="M189" s="1">
        <v>11</v>
      </c>
      <c r="N189" s="1">
        <v>11</v>
      </c>
    </row>
    <row r="190" spans="1:14" x14ac:dyDescent="0.25">
      <c r="A190" s="1">
        <v>189</v>
      </c>
      <c r="B190" s="2">
        <v>40552</v>
      </c>
      <c r="C190" s="1">
        <v>3</v>
      </c>
      <c r="D190" s="1" t="b">
        <v>0</v>
      </c>
      <c r="E190" s="1">
        <v>0</v>
      </c>
      <c r="F190" s="1">
        <v>1</v>
      </c>
      <c r="G190" s="1">
        <v>0.1</v>
      </c>
      <c r="H190" s="1">
        <v>189</v>
      </c>
      <c r="I190" s="1">
        <v>7.5800000000000006E-2</v>
      </c>
      <c r="J190" s="1">
        <v>0.46</v>
      </c>
      <c r="K190" s="1">
        <v>0.41789999999999999</v>
      </c>
      <c r="L190" s="1">
        <v>0</v>
      </c>
      <c r="M190" s="1">
        <v>4</v>
      </c>
      <c r="N190" s="1">
        <v>4</v>
      </c>
    </row>
    <row r="191" spans="1:14" x14ac:dyDescent="0.25">
      <c r="A191" s="1">
        <v>190</v>
      </c>
      <c r="B191" s="2">
        <v>40552</v>
      </c>
      <c r="C191" s="1">
        <v>4</v>
      </c>
      <c r="D191" s="1" t="b">
        <v>0</v>
      </c>
      <c r="E191" s="1">
        <v>0</v>
      </c>
      <c r="F191" s="1">
        <v>1</v>
      </c>
      <c r="G191" s="1">
        <v>0.08</v>
      </c>
      <c r="H191" s="1">
        <v>190</v>
      </c>
      <c r="I191" s="1">
        <v>9.0899999999999995E-2</v>
      </c>
      <c r="J191" s="1">
        <v>0.53</v>
      </c>
      <c r="K191" s="1">
        <v>0.19400000000000001</v>
      </c>
      <c r="L191" s="1">
        <v>0</v>
      </c>
      <c r="M191" s="1">
        <v>1</v>
      </c>
      <c r="N191" s="1">
        <v>1</v>
      </c>
    </row>
    <row r="192" spans="1:14" x14ac:dyDescent="0.25">
      <c r="A192" s="1">
        <v>191</v>
      </c>
      <c r="B192" s="2">
        <v>40552</v>
      </c>
      <c r="C192" s="1">
        <v>5</v>
      </c>
      <c r="D192" s="1" t="b">
        <v>0</v>
      </c>
      <c r="E192" s="1">
        <v>0</v>
      </c>
      <c r="F192" s="1">
        <v>1</v>
      </c>
      <c r="G192" s="1">
        <v>0.08</v>
      </c>
      <c r="H192" s="1">
        <v>191</v>
      </c>
      <c r="I192" s="1">
        <v>9.0899999999999995E-2</v>
      </c>
      <c r="J192" s="1">
        <v>0.53</v>
      </c>
      <c r="K192" s="1">
        <v>0.19400000000000001</v>
      </c>
      <c r="L192" s="1">
        <v>0</v>
      </c>
      <c r="M192" s="1">
        <v>1</v>
      </c>
      <c r="N192" s="1">
        <v>1</v>
      </c>
    </row>
    <row r="193" spans="1:14" x14ac:dyDescent="0.25">
      <c r="A193" s="1">
        <v>192</v>
      </c>
      <c r="B193" s="2">
        <v>40552</v>
      </c>
      <c r="C193" s="1">
        <v>6</v>
      </c>
      <c r="D193" s="1" t="b">
        <v>0</v>
      </c>
      <c r="E193" s="1">
        <v>0</v>
      </c>
      <c r="F193" s="1">
        <v>1</v>
      </c>
      <c r="G193" s="1">
        <v>0.1</v>
      </c>
      <c r="H193" s="1">
        <v>192</v>
      </c>
      <c r="I193" s="1">
        <v>9.0899999999999995E-2</v>
      </c>
      <c r="J193" s="1">
        <v>0.49</v>
      </c>
      <c r="K193" s="1">
        <v>0.28360000000000002</v>
      </c>
      <c r="L193" s="1">
        <v>0</v>
      </c>
      <c r="M193" s="1">
        <v>1</v>
      </c>
      <c r="N193" s="1">
        <v>1</v>
      </c>
    </row>
    <row r="194" spans="1:14" x14ac:dyDescent="0.25">
      <c r="A194" s="1">
        <v>193</v>
      </c>
      <c r="B194" s="2">
        <v>40552</v>
      </c>
      <c r="C194" s="1">
        <v>7</v>
      </c>
      <c r="D194" s="1" t="b">
        <v>0</v>
      </c>
      <c r="E194" s="1">
        <v>0</v>
      </c>
      <c r="F194" s="1">
        <v>1</v>
      </c>
      <c r="G194" s="1">
        <v>0.08</v>
      </c>
      <c r="H194" s="1">
        <v>193</v>
      </c>
      <c r="I194" s="1">
        <v>9.0899999999999995E-2</v>
      </c>
      <c r="J194" s="1">
        <v>0.53</v>
      </c>
      <c r="K194" s="1">
        <v>0.19400000000000001</v>
      </c>
      <c r="L194" s="1">
        <v>1</v>
      </c>
      <c r="M194" s="1">
        <v>5</v>
      </c>
      <c r="N194" s="1">
        <v>6</v>
      </c>
    </row>
    <row r="195" spans="1:14" x14ac:dyDescent="0.25">
      <c r="A195" s="1">
        <v>194</v>
      </c>
      <c r="B195" s="2">
        <v>40552</v>
      </c>
      <c r="C195" s="1">
        <v>8</v>
      </c>
      <c r="D195" s="1" t="b">
        <v>0</v>
      </c>
      <c r="E195" s="1">
        <v>0</v>
      </c>
      <c r="F195" s="1">
        <v>1</v>
      </c>
      <c r="G195" s="1">
        <v>0.1</v>
      </c>
      <c r="H195" s="1">
        <v>194</v>
      </c>
      <c r="I195" s="1">
        <v>9.0899999999999995E-2</v>
      </c>
      <c r="J195" s="1">
        <v>0.49</v>
      </c>
      <c r="K195" s="1">
        <v>0.28360000000000002</v>
      </c>
      <c r="L195" s="1">
        <v>0</v>
      </c>
      <c r="M195" s="1">
        <v>10</v>
      </c>
      <c r="N195" s="1">
        <v>10</v>
      </c>
    </row>
    <row r="196" spans="1:14" x14ac:dyDescent="0.25">
      <c r="A196" s="1">
        <v>195</v>
      </c>
      <c r="B196" s="2">
        <v>40552</v>
      </c>
      <c r="C196" s="1">
        <v>9</v>
      </c>
      <c r="D196" s="1" t="b">
        <v>0</v>
      </c>
      <c r="E196" s="1">
        <v>0</v>
      </c>
      <c r="F196" s="1">
        <v>1</v>
      </c>
      <c r="G196" s="1">
        <v>0.12</v>
      </c>
      <c r="H196" s="1">
        <v>195</v>
      </c>
      <c r="I196" s="1">
        <v>7.5800000000000006E-2</v>
      </c>
      <c r="J196" s="1">
        <v>0.46</v>
      </c>
      <c r="K196" s="1">
        <v>0.52239999999999998</v>
      </c>
      <c r="L196" s="1">
        <v>0</v>
      </c>
      <c r="M196" s="1">
        <v>19</v>
      </c>
      <c r="N196" s="1">
        <v>19</v>
      </c>
    </row>
    <row r="197" spans="1:14" x14ac:dyDescent="0.25">
      <c r="A197" s="1">
        <v>196</v>
      </c>
      <c r="B197" s="2">
        <v>40552</v>
      </c>
      <c r="C197" s="1">
        <v>10</v>
      </c>
      <c r="D197" s="1" t="b">
        <v>0</v>
      </c>
      <c r="E197" s="1">
        <v>0</v>
      </c>
      <c r="F197" s="1">
        <v>1</v>
      </c>
      <c r="G197" s="1">
        <v>0.14000000000000001</v>
      </c>
      <c r="H197" s="1">
        <v>196</v>
      </c>
      <c r="I197" s="1">
        <v>0.1061</v>
      </c>
      <c r="J197" s="1">
        <v>0.43</v>
      </c>
      <c r="K197" s="1">
        <v>0.3881</v>
      </c>
      <c r="L197" s="1">
        <v>0</v>
      </c>
      <c r="M197" s="1">
        <v>49</v>
      </c>
      <c r="N197" s="1">
        <v>49</v>
      </c>
    </row>
    <row r="198" spans="1:14" x14ac:dyDescent="0.25">
      <c r="A198" s="1">
        <v>197</v>
      </c>
      <c r="B198" s="2">
        <v>40552</v>
      </c>
      <c r="C198" s="1">
        <v>11</v>
      </c>
      <c r="D198" s="1" t="b">
        <v>0</v>
      </c>
      <c r="E198" s="1">
        <v>0</v>
      </c>
      <c r="F198" s="1">
        <v>1</v>
      </c>
      <c r="G198" s="1">
        <v>0.16</v>
      </c>
      <c r="H198" s="1">
        <v>197</v>
      </c>
      <c r="I198" s="1">
        <v>0.1212</v>
      </c>
      <c r="J198" s="1">
        <v>0.4</v>
      </c>
      <c r="K198" s="1">
        <v>0.52239999999999998</v>
      </c>
      <c r="L198" s="1">
        <v>2</v>
      </c>
      <c r="M198" s="1">
        <v>47</v>
      </c>
      <c r="N198" s="1">
        <v>49</v>
      </c>
    </row>
    <row r="199" spans="1:14" x14ac:dyDescent="0.25">
      <c r="A199" s="1">
        <v>198</v>
      </c>
      <c r="B199" s="2">
        <v>40552</v>
      </c>
      <c r="C199" s="1">
        <v>12</v>
      </c>
      <c r="D199" s="1" t="b">
        <v>0</v>
      </c>
      <c r="E199" s="1">
        <v>0</v>
      </c>
      <c r="F199" s="1">
        <v>1</v>
      </c>
      <c r="G199" s="1">
        <v>0.18</v>
      </c>
      <c r="H199" s="1">
        <v>198</v>
      </c>
      <c r="I199" s="1">
        <v>0.13639999999999999</v>
      </c>
      <c r="J199" s="1">
        <v>0.37</v>
      </c>
      <c r="K199" s="1">
        <v>0.44779999999999998</v>
      </c>
      <c r="L199" s="1">
        <v>4</v>
      </c>
      <c r="M199" s="1">
        <v>79</v>
      </c>
      <c r="N199" s="1">
        <v>83</v>
      </c>
    </row>
    <row r="200" spans="1:14" x14ac:dyDescent="0.25">
      <c r="A200" s="1">
        <v>199</v>
      </c>
      <c r="B200" s="2">
        <v>40552</v>
      </c>
      <c r="C200" s="1">
        <v>13</v>
      </c>
      <c r="D200" s="1" t="b">
        <v>0</v>
      </c>
      <c r="E200" s="1">
        <v>0</v>
      </c>
      <c r="F200" s="1">
        <v>1</v>
      </c>
      <c r="G200" s="1">
        <v>0.2</v>
      </c>
      <c r="H200" s="1">
        <v>199</v>
      </c>
      <c r="I200" s="1">
        <v>0.16669999999999999</v>
      </c>
      <c r="J200" s="1">
        <v>0.34</v>
      </c>
      <c r="K200" s="1">
        <v>0.44779999999999998</v>
      </c>
      <c r="L200" s="1">
        <v>6</v>
      </c>
      <c r="M200" s="1">
        <v>69</v>
      </c>
      <c r="N200" s="1">
        <v>75</v>
      </c>
    </row>
    <row r="201" spans="1:14" x14ac:dyDescent="0.25">
      <c r="A201" s="1">
        <v>200</v>
      </c>
      <c r="B201" s="2">
        <v>40552</v>
      </c>
      <c r="C201" s="1">
        <v>14</v>
      </c>
      <c r="D201" s="1" t="b">
        <v>0</v>
      </c>
      <c r="E201" s="1">
        <v>0</v>
      </c>
      <c r="F201" s="1">
        <v>1</v>
      </c>
      <c r="G201" s="1">
        <v>0.22</v>
      </c>
      <c r="H201" s="1">
        <v>200</v>
      </c>
      <c r="I201" s="1">
        <v>0.18179999999999999</v>
      </c>
      <c r="J201" s="1">
        <v>0.32</v>
      </c>
      <c r="K201" s="1">
        <v>0.4627</v>
      </c>
      <c r="L201" s="1">
        <v>8</v>
      </c>
      <c r="M201" s="1">
        <v>64</v>
      </c>
      <c r="N201" s="1">
        <v>72</v>
      </c>
    </row>
    <row r="202" spans="1:14" x14ac:dyDescent="0.25">
      <c r="A202" s="1">
        <v>201</v>
      </c>
      <c r="B202" s="2">
        <v>40552</v>
      </c>
      <c r="C202" s="1">
        <v>15</v>
      </c>
      <c r="D202" s="1" t="b">
        <v>0</v>
      </c>
      <c r="E202" s="1">
        <v>0</v>
      </c>
      <c r="F202" s="1">
        <v>1</v>
      </c>
      <c r="G202" s="1">
        <v>0.22</v>
      </c>
      <c r="H202" s="1">
        <v>201</v>
      </c>
      <c r="I202" s="1">
        <v>0.19700000000000001</v>
      </c>
      <c r="J202" s="1">
        <v>0.35</v>
      </c>
      <c r="K202" s="1">
        <v>0.35820000000000002</v>
      </c>
      <c r="L202" s="1">
        <v>5</v>
      </c>
      <c r="M202" s="1">
        <v>77</v>
      </c>
      <c r="N202" s="1">
        <v>82</v>
      </c>
    </row>
    <row r="203" spans="1:14" x14ac:dyDescent="0.25">
      <c r="A203" s="1">
        <v>202</v>
      </c>
      <c r="B203" s="2">
        <v>40552</v>
      </c>
      <c r="C203" s="1">
        <v>16</v>
      </c>
      <c r="D203" s="1" t="b">
        <v>0</v>
      </c>
      <c r="E203" s="1">
        <v>0</v>
      </c>
      <c r="F203" s="1">
        <v>1</v>
      </c>
      <c r="G203" s="1">
        <v>0.2</v>
      </c>
      <c r="H203" s="1">
        <v>202</v>
      </c>
      <c r="I203" s="1">
        <v>0.16669999999999999</v>
      </c>
      <c r="J203" s="1">
        <v>0.34</v>
      </c>
      <c r="K203" s="1">
        <v>0.44779999999999998</v>
      </c>
      <c r="L203" s="1">
        <v>13</v>
      </c>
      <c r="M203" s="1">
        <v>79</v>
      </c>
      <c r="N203" s="1">
        <v>92</v>
      </c>
    </row>
    <row r="204" spans="1:14" x14ac:dyDescent="0.25">
      <c r="A204" s="1">
        <v>203</v>
      </c>
      <c r="B204" s="2">
        <v>40552</v>
      </c>
      <c r="C204" s="1">
        <v>17</v>
      </c>
      <c r="D204" s="1" t="b">
        <v>0</v>
      </c>
      <c r="E204" s="1">
        <v>0</v>
      </c>
      <c r="F204" s="1">
        <v>1</v>
      </c>
      <c r="G204" s="1">
        <v>0.18</v>
      </c>
      <c r="H204" s="1">
        <v>203</v>
      </c>
      <c r="I204" s="1">
        <v>0.1515</v>
      </c>
      <c r="J204" s="1">
        <v>0.37</v>
      </c>
      <c r="K204" s="1">
        <v>0.3881</v>
      </c>
      <c r="L204" s="1">
        <v>3</v>
      </c>
      <c r="M204" s="1">
        <v>59</v>
      </c>
      <c r="N204" s="1">
        <v>62</v>
      </c>
    </row>
    <row r="205" spans="1:14" x14ac:dyDescent="0.25">
      <c r="A205" s="1">
        <v>204</v>
      </c>
      <c r="B205" s="2">
        <v>40552</v>
      </c>
      <c r="C205" s="1">
        <v>18</v>
      </c>
      <c r="D205" s="1" t="b">
        <v>0</v>
      </c>
      <c r="E205" s="1">
        <v>0</v>
      </c>
      <c r="F205" s="1">
        <v>1</v>
      </c>
      <c r="G205" s="1">
        <v>0.16</v>
      </c>
      <c r="H205" s="1">
        <v>204</v>
      </c>
      <c r="I205" s="1">
        <v>0.13639999999999999</v>
      </c>
      <c r="J205" s="1">
        <v>0.4</v>
      </c>
      <c r="K205" s="1">
        <v>0.32840000000000003</v>
      </c>
      <c r="L205" s="1">
        <v>4</v>
      </c>
      <c r="M205" s="1">
        <v>44</v>
      </c>
      <c r="N205" s="1">
        <v>48</v>
      </c>
    </row>
    <row r="206" spans="1:14" x14ac:dyDescent="0.25">
      <c r="A206" s="1">
        <v>205</v>
      </c>
      <c r="B206" s="2">
        <v>40552</v>
      </c>
      <c r="C206" s="1">
        <v>19</v>
      </c>
      <c r="D206" s="1" t="b">
        <v>0</v>
      </c>
      <c r="E206" s="1">
        <v>0</v>
      </c>
      <c r="F206" s="1">
        <v>1</v>
      </c>
      <c r="G206" s="1">
        <v>0.16</v>
      </c>
      <c r="H206" s="1">
        <v>205</v>
      </c>
      <c r="I206" s="1">
        <v>0.13639999999999999</v>
      </c>
      <c r="J206" s="1">
        <v>0.43</v>
      </c>
      <c r="K206" s="1">
        <v>0.32840000000000003</v>
      </c>
      <c r="L206" s="1">
        <v>1</v>
      </c>
      <c r="M206" s="1">
        <v>40</v>
      </c>
      <c r="N206" s="1">
        <v>41</v>
      </c>
    </row>
    <row r="207" spans="1:14" x14ac:dyDescent="0.25">
      <c r="A207" s="1">
        <v>206</v>
      </c>
      <c r="B207" s="2">
        <v>40552</v>
      </c>
      <c r="C207" s="1">
        <v>20</v>
      </c>
      <c r="D207" s="1" t="b">
        <v>0</v>
      </c>
      <c r="E207" s="1">
        <v>0</v>
      </c>
      <c r="F207" s="1">
        <v>1</v>
      </c>
      <c r="G207" s="1">
        <v>0.14000000000000001</v>
      </c>
      <c r="H207" s="1">
        <v>206</v>
      </c>
      <c r="I207" s="1">
        <v>0.1212</v>
      </c>
      <c r="J207" s="1">
        <v>0.46</v>
      </c>
      <c r="K207" s="1">
        <v>0.25369999999999998</v>
      </c>
      <c r="L207" s="1">
        <v>0</v>
      </c>
      <c r="M207" s="1">
        <v>38</v>
      </c>
      <c r="N207" s="1">
        <v>38</v>
      </c>
    </row>
    <row r="208" spans="1:14" x14ac:dyDescent="0.25">
      <c r="A208" s="1">
        <v>207</v>
      </c>
      <c r="B208" s="2">
        <v>40552</v>
      </c>
      <c r="C208" s="1">
        <v>21</v>
      </c>
      <c r="D208" s="1" t="b">
        <v>0</v>
      </c>
      <c r="E208" s="1">
        <v>0</v>
      </c>
      <c r="F208" s="1">
        <v>1</v>
      </c>
      <c r="G208" s="1">
        <v>0.14000000000000001</v>
      </c>
      <c r="H208" s="1">
        <v>207</v>
      </c>
      <c r="I208" s="1">
        <v>0.1061</v>
      </c>
      <c r="J208" s="1">
        <v>0.46</v>
      </c>
      <c r="K208" s="1">
        <v>0.41789999999999999</v>
      </c>
      <c r="L208" s="1">
        <v>1</v>
      </c>
      <c r="M208" s="1">
        <v>19</v>
      </c>
      <c r="N208" s="1">
        <v>20</v>
      </c>
    </row>
    <row r="209" spans="1:14" x14ac:dyDescent="0.25">
      <c r="A209" s="1">
        <v>208</v>
      </c>
      <c r="B209" s="2">
        <v>40552</v>
      </c>
      <c r="C209" s="1">
        <v>22</v>
      </c>
      <c r="D209" s="1" t="b">
        <v>0</v>
      </c>
      <c r="E209" s="1">
        <v>0</v>
      </c>
      <c r="F209" s="1">
        <v>1</v>
      </c>
      <c r="G209" s="1">
        <v>0.14000000000000001</v>
      </c>
      <c r="H209" s="1">
        <v>208</v>
      </c>
      <c r="I209" s="1">
        <v>0.1212</v>
      </c>
      <c r="J209" s="1">
        <v>0.46</v>
      </c>
      <c r="K209" s="1">
        <v>0.29849999999999999</v>
      </c>
      <c r="L209" s="1">
        <v>5</v>
      </c>
      <c r="M209" s="1">
        <v>10</v>
      </c>
      <c r="N209" s="1">
        <v>15</v>
      </c>
    </row>
    <row r="210" spans="1:14" x14ac:dyDescent="0.25">
      <c r="A210" s="1">
        <v>209</v>
      </c>
      <c r="B210" s="2">
        <v>40552</v>
      </c>
      <c r="C210" s="1">
        <v>23</v>
      </c>
      <c r="D210" s="1" t="b">
        <v>0</v>
      </c>
      <c r="E210" s="1">
        <v>0</v>
      </c>
      <c r="F210" s="1">
        <v>1</v>
      </c>
      <c r="G210" s="1">
        <v>0.12</v>
      </c>
      <c r="H210" s="1">
        <v>209</v>
      </c>
      <c r="I210" s="1">
        <v>0.13639999999999999</v>
      </c>
      <c r="J210" s="1">
        <v>0.5</v>
      </c>
      <c r="K210" s="1">
        <v>0.19400000000000001</v>
      </c>
      <c r="L210" s="1">
        <v>0</v>
      </c>
      <c r="M210" s="1">
        <v>6</v>
      </c>
      <c r="N210" s="1">
        <v>6</v>
      </c>
    </row>
    <row r="211" spans="1:14" x14ac:dyDescent="0.25">
      <c r="A211" s="1">
        <v>210</v>
      </c>
      <c r="B211" s="2">
        <v>40553</v>
      </c>
      <c r="C211" s="1">
        <v>0</v>
      </c>
      <c r="D211" s="1" t="b">
        <v>0</v>
      </c>
      <c r="E211" s="1">
        <v>1</v>
      </c>
      <c r="F211" s="1">
        <v>1</v>
      </c>
      <c r="G211" s="1">
        <v>0.12</v>
      </c>
      <c r="H211" s="1">
        <v>210</v>
      </c>
      <c r="I211" s="1">
        <v>0.1212</v>
      </c>
      <c r="J211" s="1">
        <v>0.5</v>
      </c>
      <c r="K211" s="1">
        <v>0.28360000000000002</v>
      </c>
      <c r="L211" s="1">
        <v>2</v>
      </c>
      <c r="M211" s="1">
        <v>3</v>
      </c>
      <c r="N211" s="1">
        <v>5</v>
      </c>
    </row>
    <row r="212" spans="1:14" x14ac:dyDescent="0.25">
      <c r="A212" s="1">
        <v>211</v>
      </c>
      <c r="B212" s="2">
        <v>40553</v>
      </c>
      <c r="C212" s="1">
        <v>1</v>
      </c>
      <c r="D212" s="1" t="b">
        <v>0</v>
      </c>
      <c r="E212" s="1">
        <v>1</v>
      </c>
      <c r="F212" s="1">
        <v>1</v>
      </c>
      <c r="G212" s="1">
        <v>0.12</v>
      </c>
      <c r="H212" s="1">
        <v>211</v>
      </c>
      <c r="I212" s="1">
        <v>0.1212</v>
      </c>
      <c r="J212" s="1">
        <v>0.5</v>
      </c>
      <c r="K212" s="1">
        <v>0.28360000000000002</v>
      </c>
      <c r="L212" s="1">
        <v>1</v>
      </c>
      <c r="M212" s="1">
        <v>0</v>
      </c>
      <c r="N212" s="1">
        <v>1</v>
      </c>
    </row>
    <row r="213" spans="1:14" x14ac:dyDescent="0.25">
      <c r="A213" s="1">
        <v>212</v>
      </c>
      <c r="B213" s="2">
        <v>40553</v>
      </c>
      <c r="C213" s="1">
        <v>2</v>
      </c>
      <c r="D213" s="1" t="b">
        <v>0</v>
      </c>
      <c r="E213" s="1">
        <v>1</v>
      </c>
      <c r="F213" s="1">
        <v>1</v>
      </c>
      <c r="G213" s="1">
        <v>0.12</v>
      </c>
      <c r="H213" s="1">
        <v>212</v>
      </c>
      <c r="I213" s="1">
        <v>0.1212</v>
      </c>
      <c r="J213" s="1">
        <v>0.5</v>
      </c>
      <c r="K213" s="1">
        <v>0.22389999999999999</v>
      </c>
      <c r="L213" s="1">
        <v>0</v>
      </c>
      <c r="M213" s="1">
        <v>3</v>
      </c>
      <c r="N213" s="1">
        <v>3</v>
      </c>
    </row>
    <row r="214" spans="1:14" x14ac:dyDescent="0.25">
      <c r="A214" s="1">
        <v>213</v>
      </c>
      <c r="B214" s="2">
        <v>40553</v>
      </c>
      <c r="C214" s="1">
        <v>3</v>
      </c>
      <c r="D214" s="1" t="b">
        <v>0</v>
      </c>
      <c r="E214" s="1">
        <v>1</v>
      </c>
      <c r="F214" s="1">
        <v>1</v>
      </c>
      <c r="G214" s="1">
        <v>0.12</v>
      </c>
      <c r="H214" s="1">
        <v>213</v>
      </c>
      <c r="I214" s="1">
        <v>0.1212</v>
      </c>
      <c r="J214" s="1">
        <v>0.5</v>
      </c>
      <c r="K214" s="1">
        <v>0.22389999999999999</v>
      </c>
      <c r="L214" s="1">
        <v>0</v>
      </c>
      <c r="M214" s="1">
        <v>1</v>
      </c>
      <c r="N214" s="1">
        <v>1</v>
      </c>
    </row>
    <row r="215" spans="1:14" x14ac:dyDescent="0.25">
      <c r="A215" s="1">
        <v>214</v>
      </c>
      <c r="B215" s="2">
        <v>40553</v>
      </c>
      <c r="C215" s="1">
        <v>4</v>
      </c>
      <c r="D215" s="1" t="b">
        <v>0</v>
      </c>
      <c r="E215" s="1">
        <v>1</v>
      </c>
      <c r="F215" s="1">
        <v>1</v>
      </c>
      <c r="G215" s="1">
        <v>0.1</v>
      </c>
      <c r="H215" s="1">
        <v>214</v>
      </c>
      <c r="I215" s="1">
        <v>0.1212</v>
      </c>
      <c r="J215" s="1">
        <v>0.54</v>
      </c>
      <c r="K215" s="1">
        <v>0.1343</v>
      </c>
      <c r="L215" s="1">
        <v>1</v>
      </c>
      <c r="M215" s="1">
        <v>2</v>
      </c>
      <c r="N215" s="1">
        <v>3</v>
      </c>
    </row>
    <row r="216" spans="1:14" x14ac:dyDescent="0.25">
      <c r="A216" s="1">
        <v>215</v>
      </c>
      <c r="B216" s="2">
        <v>40553</v>
      </c>
      <c r="C216" s="1">
        <v>5</v>
      </c>
      <c r="D216" s="1" t="b">
        <v>0</v>
      </c>
      <c r="E216" s="1">
        <v>1</v>
      </c>
      <c r="F216" s="1">
        <v>1</v>
      </c>
      <c r="G216" s="1">
        <v>0.1</v>
      </c>
      <c r="H216" s="1">
        <v>215</v>
      </c>
      <c r="I216" s="1">
        <v>0.1061</v>
      </c>
      <c r="J216" s="1">
        <v>0.54</v>
      </c>
      <c r="K216" s="1">
        <v>0.25369999999999998</v>
      </c>
      <c r="L216" s="1">
        <v>0</v>
      </c>
      <c r="M216" s="1">
        <v>3</v>
      </c>
      <c r="N216" s="1">
        <v>3</v>
      </c>
    </row>
    <row r="217" spans="1:14" x14ac:dyDescent="0.25">
      <c r="A217" s="1">
        <v>216</v>
      </c>
      <c r="B217" s="2">
        <v>40553</v>
      </c>
      <c r="C217" s="1">
        <v>6</v>
      </c>
      <c r="D217" s="1" t="b">
        <v>0</v>
      </c>
      <c r="E217" s="1">
        <v>1</v>
      </c>
      <c r="F217" s="1">
        <v>1</v>
      </c>
      <c r="G217" s="1">
        <v>0.12</v>
      </c>
      <c r="H217" s="1">
        <v>216</v>
      </c>
      <c r="I217" s="1">
        <v>0.1212</v>
      </c>
      <c r="J217" s="1">
        <v>0.5</v>
      </c>
      <c r="K217" s="1">
        <v>0.28360000000000002</v>
      </c>
      <c r="L217" s="1">
        <v>0</v>
      </c>
      <c r="M217" s="1">
        <v>31</v>
      </c>
      <c r="N217" s="1">
        <v>31</v>
      </c>
    </row>
    <row r="218" spans="1:14" x14ac:dyDescent="0.25">
      <c r="A218" s="1">
        <v>217</v>
      </c>
      <c r="B218" s="2">
        <v>40553</v>
      </c>
      <c r="C218" s="1">
        <v>7</v>
      </c>
      <c r="D218" s="1" t="b">
        <v>0</v>
      </c>
      <c r="E218" s="1">
        <v>1</v>
      </c>
      <c r="F218" s="1">
        <v>1</v>
      </c>
      <c r="G218" s="1">
        <v>0.12</v>
      </c>
      <c r="H218" s="1">
        <v>217</v>
      </c>
      <c r="I218" s="1">
        <v>0.1212</v>
      </c>
      <c r="J218" s="1">
        <v>0.5</v>
      </c>
      <c r="K218" s="1">
        <v>0.22389999999999999</v>
      </c>
      <c r="L218" s="1">
        <v>2</v>
      </c>
      <c r="M218" s="1">
        <v>75</v>
      </c>
      <c r="N218" s="1">
        <v>77</v>
      </c>
    </row>
    <row r="219" spans="1:14" x14ac:dyDescent="0.25">
      <c r="A219" s="1">
        <v>218</v>
      </c>
      <c r="B219" s="2">
        <v>40553</v>
      </c>
      <c r="C219" s="1">
        <v>8</v>
      </c>
      <c r="D219" s="1" t="b">
        <v>0</v>
      </c>
      <c r="E219" s="1">
        <v>1</v>
      </c>
      <c r="F219" s="1">
        <v>2</v>
      </c>
      <c r="G219" s="1">
        <v>0.12</v>
      </c>
      <c r="H219" s="1">
        <v>218</v>
      </c>
      <c r="I219" s="1">
        <v>0.1212</v>
      </c>
      <c r="J219" s="1">
        <v>0.5</v>
      </c>
      <c r="K219" s="1">
        <v>0.28360000000000002</v>
      </c>
      <c r="L219" s="1">
        <v>4</v>
      </c>
      <c r="M219" s="1">
        <v>184</v>
      </c>
      <c r="N219" s="1">
        <v>188</v>
      </c>
    </row>
    <row r="220" spans="1:14" x14ac:dyDescent="0.25">
      <c r="A220" s="1">
        <v>219</v>
      </c>
      <c r="B220" s="2">
        <v>40553</v>
      </c>
      <c r="C220" s="1">
        <v>9</v>
      </c>
      <c r="D220" s="1" t="b">
        <v>0</v>
      </c>
      <c r="E220" s="1">
        <v>1</v>
      </c>
      <c r="F220" s="1">
        <v>2</v>
      </c>
      <c r="G220" s="1">
        <v>0.14000000000000001</v>
      </c>
      <c r="H220" s="1">
        <v>219</v>
      </c>
      <c r="I220" s="1">
        <v>0.1212</v>
      </c>
      <c r="J220" s="1">
        <v>0.5</v>
      </c>
      <c r="K220" s="1">
        <v>0.25369999999999998</v>
      </c>
      <c r="L220" s="1">
        <v>2</v>
      </c>
      <c r="M220" s="1">
        <v>92</v>
      </c>
      <c r="N220" s="1">
        <v>94</v>
      </c>
    </row>
    <row r="221" spans="1:14" x14ac:dyDescent="0.25">
      <c r="A221" s="1">
        <v>220</v>
      </c>
      <c r="B221" s="2">
        <v>40553</v>
      </c>
      <c r="C221" s="1">
        <v>10</v>
      </c>
      <c r="D221" s="1" t="b">
        <v>0</v>
      </c>
      <c r="E221" s="1">
        <v>1</v>
      </c>
      <c r="F221" s="1">
        <v>2</v>
      </c>
      <c r="G221" s="1">
        <v>0.14000000000000001</v>
      </c>
      <c r="H221" s="1">
        <v>220</v>
      </c>
      <c r="I221" s="1">
        <v>0.1212</v>
      </c>
      <c r="J221" s="1">
        <v>0.5</v>
      </c>
      <c r="K221" s="1">
        <v>0.29849999999999999</v>
      </c>
      <c r="L221" s="1">
        <v>0</v>
      </c>
      <c r="M221" s="1">
        <v>31</v>
      </c>
      <c r="N221" s="1">
        <v>31</v>
      </c>
    </row>
    <row r="222" spans="1:14" x14ac:dyDescent="0.25">
      <c r="A222" s="1">
        <v>221</v>
      </c>
      <c r="B222" s="2">
        <v>40553</v>
      </c>
      <c r="C222" s="1">
        <v>11</v>
      </c>
      <c r="D222" s="1" t="b">
        <v>0</v>
      </c>
      <c r="E222" s="1">
        <v>1</v>
      </c>
      <c r="F222" s="1">
        <v>2</v>
      </c>
      <c r="G222" s="1">
        <v>0.16</v>
      </c>
      <c r="H222" s="1">
        <v>221</v>
      </c>
      <c r="I222" s="1">
        <v>0.13639999999999999</v>
      </c>
      <c r="J222" s="1">
        <v>0.47</v>
      </c>
      <c r="K222" s="1">
        <v>0.28360000000000002</v>
      </c>
      <c r="L222" s="1">
        <v>2</v>
      </c>
      <c r="M222" s="1">
        <v>28</v>
      </c>
      <c r="N222" s="1">
        <v>30</v>
      </c>
    </row>
    <row r="223" spans="1:14" x14ac:dyDescent="0.25">
      <c r="A223" s="1">
        <v>222</v>
      </c>
      <c r="B223" s="2">
        <v>40553</v>
      </c>
      <c r="C223" s="1">
        <v>12</v>
      </c>
      <c r="D223" s="1" t="b">
        <v>0</v>
      </c>
      <c r="E223" s="1">
        <v>1</v>
      </c>
      <c r="F223" s="1">
        <v>2</v>
      </c>
      <c r="G223" s="1">
        <v>0.2</v>
      </c>
      <c r="H223" s="1">
        <v>222</v>
      </c>
      <c r="I223" s="1">
        <v>0.18179999999999999</v>
      </c>
      <c r="J223" s="1">
        <v>0.4</v>
      </c>
      <c r="K223" s="1">
        <v>0.28360000000000002</v>
      </c>
      <c r="L223" s="1">
        <v>5</v>
      </c>
      <c r="M223" s="1">
        <v>47</v>
      </c>
      <c r="N223" s="1">
        <v>52</v>
      </c>
    </row>
    <row r="224" spans="1:14" x14ac:dyDescent="0.25">
      <c r="A224" s="1">
        <v>223</v>
      </c>
      <c r="B224" s="2">
        <v>40553</v>
      </c>
      <c r="C224" s="1">
        <v>13</v>
      </c>
      <c r="D224" s="1" t="b">
        <v>0</v>
      </c>
      <c r="E224" s="1">
        <v>1</v>
      </c>
      <c r="F224" s="1">
        <v>2</v>
      </c>
      <c r="G224" s="1">
        <v>0.2</v>
      </c>
      <c r="H224" s="1">
        <v>223</v>
      </c>
      <c r="I224" s="1">
        <v>0.18179999999999999</v>
      </c>
      <c r="J224" s="1">
        <v>0.4</v>
      </c>
      <c r="K224" s="1">
        <v>0.28360000000000002</v>
      </c>
      <c r="L224" s="1">
        <v>4</v>
      </c>
      <c r="M224" s="1">
        <v>50</v>
      </c>
      <c r="N224" s="1">
        <v>54</v>
      </c>
    </row>
    <row r="225" spans="1:14" x14ac:dyDescent="0.25">
      <c r="A225" s="1">
        <v>224</v>
      </c>
      <c r="B225" s="2">
        <v>40553</v>
      </c>
      <c r="C225" s="1">
        <v>14</v>
      </c>
      <c r="D225" s="1" t="b">
        <v>0</v>
      </c>
      <c r="E225" s="1">
        <v>1</v>
      </c>
      <c r="F225" s="1">
        <v>2</v>
      </c>
      <c r="G225" s="1">
        <v>0.2</v>
      </c>
      <c r="H225" s="1">
        <v>224</v>
      </c>
      <c r="I225" s="1">
        <v>0.19700000000000001</v>
      </c>
      <c r="J225" s="1">
        <v>0.4</v>
      </c>
      <c r="K225" s="1">
        <v>0.22389999999999999</v>
      </c>
      <c r="L225" s="1">
        <v>0</v>
      </c>
      <c r="M225" s="1">
        <v>47</v>
      </c>
      <c r="N225" s="1">
        <v>47</v>
      </c>
    </row>
    <row r="226" spans="1:14" x14ac:dyDescent="0.25">
      <c r="A226" s="1">
        <v>225</v>
      </c>
      <c r="B226" s="2">
        <v>40553</v>
      </c>
      <c r="C226" s="1">
        <v>15</v>
      </c>
      <c r="D226" s="1" t="b">
        <v>0</v>
      </c>
      <c r="E226" s="1">
        <v>1</v>
      </c>
      <c r="F226" s="1">
        <v>2</v>
      </c>
      <c r="G226" s="1">
        <v>0.2</v>
      </c>
      <c r="H226" s="1">
        <v>225</v>
      </c>
      <c r="I226" s="1">
        <v>0.19700000000000001</v>
      </c>
      <c r="J226" s="1">
        <v>0.4</v>
      </c>
      <c r="K226" s="1">
        <v>0.22389999999999999</v>
      </c>
      <c r="L226" s="1">
        <v>2</v>
      </c>
      <c r="M226" s="1">
        <v>43</v>
      </c>
      <c r="N226" s="1">
        <v>45</v>
      </c>
    </row>
    <row r="227" spans="1:14" x14ac:dyDescent="0.25">
      <c r="A227" s="1">
        <v>226</v>
      </c>
      <c r="B227" s="2">
        <v>40553</v>
      </c>
      <c r="C227" s="1">
        <v>16</v>
      </c>
      <c r="D227" s="1" t="b">
        <v>0</v>
      </c>
      <c r="E227" s="1">
        <v>1</v>
      </c>
      <c r="F227" s="1">
        <v>1</v>
      </c>
      <c r="G227" s="1">
        <v>0.2</v>
      </c>
      <c r="H227" s="1">
        <v>226</v>
      </c>
      <c r="I227" s="1">
        <v>0.21210000000000001</v>
      </c>
      <c r="J227" s="1">
        <v>0.4</v>
      </c>
      <c r="K227" s="1">
        <v>0.1343</v>
      </c>
      <c r="L227" s="1">
        <v>4</v>
      </c>
      <c r="M227" s="1">
        <v>70</v>
      </c>
      <c r="N227" s="1">
        <v>74</v>
      </c>
    </row>
    <row r="228" spans="1:14" x14ac:dyDescent="0.25">
      <c r="A228" s="1">
        <v>227</v>
      </c>
      <c r="B228" s="2">
        <v>40553</v>
      </c>
      <c r="C228" s="1">
        <v>17</v>
      </c>
      <c r="D228" s="1" t="b">
        <v>0</v>
      </c>
      <c r="E228" s="1">
        <v>1</v>
      </c>
      <c r="F228" s="1">
        <v>1</v>
      </c>
      <c r="G228" s="1">
        <v>0.2</v>
      </c>
      <c r="H228" s="1">
        <v>227</v>
      </c>
      <c r="I228" s="1">
        <v>0.2273</v>
      </c>
      <c r="J228" s="1">
        <v>0.4</v>
      </c>
      <c r="K228" s="1">
        <v>0.1045</v>
      </c>
      <c r="L228" s="1">
        <v>4</v>
      </c>
      <c r="M228" s="1">
        <v>174</v>
      </c>
      <c r="N228" s="1">
        <v>178</v>
      </c>
    </row>
    <row r="229" spans="1:14" x14ac:dyDescent="0.25">
      <c r="A229" s="1">
        <v>228</v>
      </c>
      <c r="B229" s="2">
        <v>40553</v>
      </c>
      <c r="C229" s="1">
        <v>18</v>
      </c>
      <c r="D229" s="1" t="b">
        <v>0</v>
      </c>
      <c r="E229" s="1">
        <v>1</v>
      </c>
      <c r="F229" s="1">
        <v>1</v>
      </c>
      <c r="G229" s="1">
        <v>0.2</v>
      </c>
      <c r="H229" s="1">
        <v>228</v>
      </c>
      <c r="I229" s="1">
        <v>0.19700000000000001</v>
      </c>
      <c r="J229" s="1">
        <v>0.4</v>
      </c>
      <c r="K229" s="1">
        <v>0.22389999999999999</v>
      </c>
      <c r="L229" s="1">
        <v>1</v>
      </c>
      <c r="M229" s="1">
        <v>154</v>
      </c>
      <c r="N229" s="1">
        <v>155</v>
      </c>
    </row>
    <row r="230" spans="1:14" x14ac:dyDescent="0.25">
      <c r="A230" s="1">
        <v>229</v>
      </c>
      <c r="B230" s="2">
        <v>40553</v>
      </c>
      <c r="C230" s="1">
        <v>19</v>
      </c>
      <c r="D230" s="1" t="b">
        <v>0</v>
      </c>
      <c r="E230" s="1">
        <v>1</v>
      </c>
      <c r="F230" s="1">
        <v>1</v>
      </c>
      <c r="G230" s="1">
        <v>0.16</v>
      </c>
      <c r="H230" s="1">
        <v>229</v>
      </c>
      <c r="I230" s="1">
        <v>0.16669999999999999</v>
      </c>
      <c r="J230" s="1">
        <v>0.47</v>
      </c>
      <c r="K230" s="1">
        <v>0.16420000000000001</v>
      </c>
      <c r="L230" s="1">
        <v>3</v>
      </c>
      <c r="M230" s="1">
        <v>92</v>
      </c>
      <c r="N230" s="1">
        <v>95</v>
      </c>
    </row>
    <row r="231" spans="1:14" x14ac:dyDescent="0.25">
      <c r="A231" s="1">
        <v>230</v>
      </c>
      <c r="B231" s="2">
        <v>40553</v>
      </c>
      <c r="C231" s="1">
        <v>20</v>
      </c>
      <c r="D231" s="1" t="b">
        <v>0</v>
      </c>
      <c r="E231" s="1">
        <v>1</v>
      </c>
      <c r="F231" s="1">
        <v>1</v>
      </c>
      <c r="G231" s="1">
        <v>0.16</v>
      </c>
      <c r="H231" s="1">
        <v>230</v>
      </c>
      <c r="I231" s="1">
        <v>0.16669999999999999</v>
      </c>
      <c r="J231" s="1">
        <v>0.5</v>
      </c>
      <c r="K231" s="1">
        <v>0.16420000000000001</v>
      </c>
      <c r="L231" s="1">
        <v>1</v>
      </c>
      <c r="M231" s="1">
        <v>73</v>
      </c>
      <c r="N231" s="1">
        <v>74</v>
      </c>
    </row>
    <row r="232" spans="1:14" x14ac:dyDescent="0.25">
      <c r="A232" s="1">
        <v>231</v>
      </c>
      <c r="B232" s="2">
        <v>40553</v>
      </c>
      <c r="C232" s="1">
        <v>21</v>
      </c>
      <c r="D232" s="1" t="b">
        <v>0</v>
      </c>
      <c r="E232" s="1">
        <v>1</v>
      </c>
      <c r="F232" s="1">
        <v>1</v>
      </c>
      <c r="G232" s="1">
        <v>0.14000000000000001</v>
      </c>
      <c r="H232" s="1">
        <v>231</v>
      </c>
      <c r="I232" s="1">
        <v>0.13639999999999999</v>
      </c>
      <c r="J232" s="1">
        <v>0.59</v>
      </c>
      <c r="K232" s="1">
        <v>0.19400000000000001</v>
      </c>
      <c r="L232" s="1">
        <v>1</v>
      </c>
      <c r="M232" s="1">
        <v>37</v>
      </c>
      <c r="N232" s="1">
        <v>38</v>
      </c>
    </row>
    <row r="233" spans="1:14" x14ac:dyDescent="0.25">
      <c r="A233" s="1">
        <v>232</v>
      </c>
      <c r="B233" s="2">
        <v>40553</v>
      </c>
      <c r="C233" s="1">
        <v>22</v>
      </c>
      <c r="D233" s="1" t="b">
        <v>0</v>
      </c>
      <c r="E233" s="1">
        <v>1</v>
      </c>
      <c r="F233" s="1">
        <v>1</v>
      </c>
      <c r="G233" s="1">
        <v>0.14000000000000001</v>
      </c>
      <c r="H233" s="1">
        <v>232</v>
      </c>
      <c r="I233" s="1">
        <v>0.1515</v>
      </c>
      <c r="J233" s="1">
        <v>0.59</v>
      </c>
      <c r="K233" s="1">
        <v>0.16420000000000001</v>
      </c>
      <c r="L233" s="1">
        <v>2</v>
      </c>
      <c r="M233" s="1">
        <v>22</v>
      </c>
      <c r="N233" s="1">
        <v>24</v>
      </c>
    </row>
    <row r="234" spans="1:14" x14ac:dyDescent="0.25">
      <c r="A234" s="1">
        <v>233</v>
      </c>
      <c r="B234" s="2">
        <v>40553</v>
      </c>
      <c r="C234" s="1">
        <v>23</v>
      </c>
      <c r="D234" s="1" t="b">
        <v>0</v>
      </c>
      <c r="E234" s="1">
        <v>1</v>
      </c>
      <c r="F234" s="1">
        <v>1</v>
      </c>
      <c r="G234" s="1">
        <v>0.14000000000000001</v>
      </c>
      <c r="H234" s="1">
        <v>233</v>
      </c>
      <c r="I234" s="1">
        <v>0.1515</v>
      </c>
      <c r="J234" s="1">
        <v>0.59</v>
      </c>
      <c r="K234" s="1">
        <v>0.16420000000000001</v>
      </c>
      <c r="L234" s="1">
        <v>0</v>
      </c>
      <c r="M234" s="1">
        <v>18</v>
      </c>
      <c r="N234" s="1">
        <v>18</v>
      </c>
    </row>
    <row r="235" spans="1:14" x14ac:dyDescent="0.25">
      <c r="A235" s="1">
        <v>234</v>
      </c>
      <c r="B235" s="2">
        <v>40554</v>
      </c>
      <c r="C235" s="1">
        <v>0</v>
      </c>
      <c r="D235" s="1" t="b">
        <v>0</v>
      </c>
      <c r="E235" s="1">
        <v>2</v>
      </c>
      <c r="F235" s="1">
        <v>1</v>
      </c>
      <c r="G235" s="1">
        <v>0.14000000000000001</v>
      </c>
      <c r="H235" s="1">
        <v>234</v>
      </c>
      <c r="I235" s="1">
        <v>0.16669999999999999</v>
      </c>
      <c r="J235" s="1">
        <v>0.59</v>
      </c>
      <c r="K235" s="1">
        <v>0.1045</v>
      </c>
      <c r="L235" s="1">
        <v>2</v>
      </c>
      <c r="M235" s="1">
        <v>10</v>
      </c>
      <c r="N235" s="1">
        <v>12</v>
      </c>
    </row>
    <row r="236" spans="1:14" x14ac:dyDescent="0.25">
      <c r="A236" s="1">
        <v>235</v>
      </c>
      <c r="B236" s="2">
        <v>40554</v>
      </c>
      <c r="C236" s="1">
        <v>1</v>
      </c>
      <c r="D236" s="1" t="b">
        <v>0</v>
      </c>
      <c r="E236" s="1">
        <v>2</v>
      </c>
      <c r="F236" s="1">
        <v>1</v>
      </c>
      <c r="G236" s="1">
        <v>0.14000000000000001</v>
      </c>
      <c r="H236" s="1">
        <v>235</v>
      </c>
      <c r="I236" s="1">
        <v>0.1515</v>
      </c>
      <c r="J236" s="1">
        <v>0.59</v>
      </c>
      <c r="K236" s="1">
        <v>0.16420000000000001</v>
      </c>
      <c r="L236" s="1">
        <v>0</v>
      </c>
      <c r="M236" s="1">
        <v>3</v>
      </c>
      <c r="N236" s="1">
        <v>3</v>
      </c>
    </row>
    <row r="237" spans="1:14" x14ac:dyDescent="0.25">
      <c r="A237" s="1">
        <v>236</v>
      </c>
      <c r="B237" s="2">
        <v>40554</v>
      </c>
      <c r="C237" s="1">
        <v>2</v>
      </c>
      <c r="D237" s="1" t="b">
        <v>0</v>
      </c>
      <c r="E237" s="1">
        <v>2</v>
      </c>
      <c r="F237" s="1">
        <v>2</v>
      </c>
      <c r="G237" s="1">
        <v>0.16</v>
      </c>
      <c r="H237" s="1">
        <v>236</v>
      </c>
      <c r="I237" s="1">
        <v>0.1515</v>
      </c>
      <c r="J237" s="1">
        <v>0.55000000000000004</v>
      </c>
      <c r="K237" s="1">
        <v>0.19400000000000001</v>
      </c>
      <c r="L237" s="1">
        <v>0</v>
      </c>
      <c r="M237" s="1">
        <v>3</v>
      </c>
      <c r="N237" s="1">
        <v>3</v>
      </c>
    </row>
    <row r="238" spans="1:14" x14ac:dyDescent="0.25">
      <c r="A238" s="1">
        <v>237</v>
      </c>
      <c r="B238" s="2">
        <v>40554</v>
      </c>
      <c r="C238" s="1">
        <v>5</v>
      </c>
      <c r="D238" s="1" t="b">
        <v>0</v>
      </c>
      <c r="E238" s="1">
        <v>2</v>
      </c>
      <c r="F238" s="1">
        <v>2</v>
      </c>
      <c r="G238" s="1">
        <v>0.16</v>
      </c>
      <c r="H238" s="1">
        <v>237</v>
      </c>
      <c r="I238" s="1">
        <v>0.18179999999999999</v>
      </c>
      <c r="J238" s="1">
        <v>0.55000000000000004</v>
      </c>
      <c r="K238" s="1">
        <v>0.1343</v>
      </c>
      <c r="L238" s="1">
        <v>0</v>
      </c>
      <c r="M238" s="1">
        <v>6</v>
      </c>
      <c r="N238" s="1">
        <v>6</v>
      </c>
    </row>
    <row r="239" spans="1:14" x14ac:dyDescent="0.25">
      <c r="A239" s="1">
        <v>238</v>
      </c>
      <c r="B239" s="2">
        <v>40554</v>
      </c>
      <c r="C239" s="1">
        <v>6</v>
      </c>
      <c r="D239" s="1" t="b">
        <v>0</v>
      </c>
      <c r="E239" s="1">
        <v>2</v>
      </c>
      <c r="F239" s="1">
        <v>2</v>
      </c>
      <c r="G239" s="1">
        <v>0.16</v>
      </c>
      <c r="H239" s="1">
        <v>238</v>
      </c>
      <c r="I239" s="1">
        <v>0.18179999999999999</v>
      </c>
      <c r="J239" s="1">
        <v>0.55000000000000004</v>
      </c>
      <c r="K239" s="1">
        <v>0.1343</v>
      </c>
      <c r="L239" s="1">
        <v>0</v>
      </c>
      <c r="M239" s="1">
        <v>27</v>
      </c>
      <c r="N239" s="1">
        <v>27</v>
      </c>
    </row>
    <row r="240" spans="1:14" x14ac:dyDescent="0.25">
      <c r="A240" s="1">
        <v>239</v>
      </c>
      <c r="B240" s="2">
        <v>40554</v>
      </c>
      <c r="C240" s="1">
        <v>7</v>
      </c>
      <c r="D240" s="1" t="b">
        <v>0</v>
      </c>
      <c r="E240" s="1">
        <v>2</v>
      </c>
      <c r="F240" s="1">
        <v>2</v>
      </c>
      <c r="G240" s="1">
        <v>0.16</v>
      </c>
      <c r="H240" s="1">
        <v>239</v>
      </c>
      <c r="I240" s="1">
        <v>0.2273</v>
      </c>
      <c r="J240" s="1">
        <v>0.55000000000000004</v>
      </c>
      <c r="K240" s="1">
        <v>0</v>
      </c>
      <c r="L240" s="1">
        <v>2</v>
      </c>
      <c r="M240" s="1">
        <v>97</v>
      </c>
      <c r="N240" s="1">
        <v>99</v>
      </c>
    </row>
    <row r="241" spans="1:14" x14ac:dyDescent="0.25">
      <c r="A241" s="1">
        <v>240</v>
      </c>
      <c r="B241" s="2">
        <v>40554</v>
      </c>
      <c r="C241" s="1">
        <v>8</v>
      </c>
      <c r="D241" s="1" t="b">
        <v>0</v>
      </c>
      <c r="E241" s="1">
        <v>2</v>
      </c>
      <c r="F241" s="1">
        <v>2</v>
      </c>
      <c r="G241" s="1">
        <v>0.18</v>
      </c>
      <c r="H241" s="1">
        <v>240</v>
      </c>
      <c r="I241" s="1">
        <v>0.21210000000000001</v>
      </c>
      <c r="J241" s="1">
        <v>0.51</v>
      </c>
      <c r="K241" s="1">
        <v>8.9599999999999999E-2</v>
      </c>
      <c r="L241" s="1">
        <v>3</v>
      </c>
      <c r="M241" s="1">
        <v>214</v>
      </c>
      <c r="N241" s="1">
        <v>217</v>
      </c>
    </row>
    <row r="242" spans="1:14" x14ac:dyDescent="0.25">
      <c r="A242" s="1">
        <v>241</v>
      </c>
      <c r="B242" s="2">
        <v>40554</v>
      </c>
      <c r="C242" s="1">
        <v>9</v>
      </c>
      <c r="D242" s="1" t="b">
        <v>0</v>
      </c>
      <c r="E242" s="1">
        <v>2</v>
      </c>
      <c r="F242" s="1">
        <v>2</v>
      </c>
      <c r="G242" s="1">
        <v>0.18</v>
      </c>
      <c r="H242" s="1">
        <v>241</v>
      </c>
      <c r="I242" s="1">
        <v>0.19700000000000001</v>
      </c>
      <c r="J242" s="1">
        <v>0.51</v>
      </c>
      <c r="K242" s="1">
        <v>0.16420000000000001</v>
      </c>
      <c r="L242" s="1">
        <v>3</v>
      </c>
      <c r="M242" s="1">
        <v>127</v>
      </c>
      <c r="N242" s="1">
        <v>130</v>
      </c>
    </row>
    <row r="243" spans="1:14" x14ac:dyDescent="0.25">
      <c r="A243" s="1">
        <v>242</v>
      </c>
      <c r="B243" s="2">
        <v>40554</v>
      </c>
      <c r="C243" s="1">
        <v>10</v>
      </c>
      <c r="D243" s="1" t="b">
        <v>0</v>
      </c>
      <c r="E243" s="1">
        <v>2</v>
      </c>
      <c r="F243" s="1">
        <v>2</v>
      </c>
      <c r="G243" s="1">
        <v>0.2</v>
      </c>
      <c r="H243" s="1">
        <v>242</v>
      </c>
      <c r="I243" s="1">
        <v>0.21210000000000001</v>
      </c>
      <c r="J243" s="1">
        <v>0.51</v>
      </c>
      <c r="K243" s="1">
        <v>0.16420000000000001</v>
      </c>
      <c r="L243" s="1">
        <v>3</v>
      </c>
      <c r="M243" s="1">
        <v>51</v>
      </c>
      <c r="N243" s="1">
        <v>54</v>
      </c>
    </row>
    <row r="244" spans="1:14" x14ac:dyDescent="0.25">
      <c r="A244" s="1">
        <v>243</v>
      </c>
      <c r="B244" s="2">
        <v>40554</v>
      </c>
      <c r="C244" s="1">
        <v>11</v>
      </c>
      <c r="D244" s="1" t="b">
        <v>0</v>
      </c>
      <c r="E244" s="1">
        <v>2</v>
      </c>
      <c r="F244" s="1">
        <v>2</v>
      </c>
      <c r="G244" s="1">
        <v>0.2</v>
      </c>
      <c r="H244" s="1">
        <v>243</v>
      </c>
      <c r="I244" s="1">
        <v>0.21210000000000001</v>
      </c>
      <c r="J244" s="1">
        <v>0.47</v>
      </c>
      <c r="K244" s="1">
        <v>0.1343</v>
      </c>
      <c r="L244" s="1">
        <v>4</v>
      </c>
      <c r="M244" s="1">
        <v>31</v>
      </c>
      <c r="N244" s="1">
        <v>35</v>
      </c>
    </row>
    <row r="245" spans="1:14" x14ac:dyDescent="0.25">
      <c r="A245" s="1">
        <v>244</v>
      </c>
      <c r="B245" s="2">
        <v>40554</v>
      </c>
      <c r="C245" s="1">
        <v>12</v>
      </c>
      <c r="D245" s="1" t="b">
        <v>0</v>
      </c>
      <c r="E245" s="1">
        <v>2</v>
      </c>
      <c r="F245" s="1">
        <v>2</v>
      </c>
      <c r="G245" s="1">
        <v>0.2</v>
      </c>
      <c r="H245" s="1">
        <v>244</v>
      </c>
      <c r="I245" s="1">
        <v>0.2273</v>
      </c>
      <c r="J245" s="1">
        <v>0.51</v>
      </c>
      <c r="K245" s="1">
        <v>0.1045</v>
      </c>
      <c r="L245" s="1">
        <v>2</v>
      </c>
      <c r="M245" s="1">
        <v>55</v>
      </c>
      <c r="N245" s="1">
        <v>57</v>
      </c>
    </row>
    <row r="246" spans="1:14" x14ac:dyDescent="0.25">
      <c r="A246" s="1">
        <v>245</v>
      </c>
      <c r="B246" s="2">
        <v>40554</v>
      </c>
      <c r="C246" s="1">
        <v>13</v>
      </c>
      <c r="D246" s="1" t="b">
        <v>0</v>
      </c>
      <c r="E246" s="1">
        <v>2</v>
      </c>
      <c r="F246" s="1">
        <v>2</v>
      </c>
      <c r="G246" s="1">
        <v>0.2</v>
      </c>
      <c r="H246" s="1">
        <v>245</v>
      </c>
      <c r="I246" s="1">
        <v>0.2273</v>
      </c>
      <c r="J246" s="1">
        <v>0.59</v>
      </c>
      <c r="K246" s="1">
        <v>8.9599999999999999E-2</v>
      </c>
      <c r="L246" s="1">
        <v>6</v>
      </c>
      <c r="M246" s="1">
        <v>46</v>
      </c>
      <c r="N246" s="1">
        <v>52</v>
      </c>
    </row>
    <row r="247" spans="1:14" x14ac:dyDescent="0.25">
      <c r="A247" s="1">
        <v>246</v>
      </c>
      <c r="B247" s="2">
        <v>40554</v>
      </c>
      <c r="C247" s="1">
        <v>14</v>
      </c>
      <c r="D247" s="1" t="b">
        <v>0</v>
      </c>
      <c r="E247" s="1">
        <v>2</v>
      </c>
      <c r="F247" s="1">
        <v>2</v>
      </c>
      <c r="G247" s="1">
        <v>0.2</v>
      </c>
      <c r="H247" s="1">
        <v>246</v>
      </c>
      <c r="I247" s="1">
        <v>0.2273</v>
      </c>
      <c r="J247" s="1">
        <v>0.59</v>
      </c>
      <c r="K247" s="1">
        <v>8.9599999999999999E-2</v>
      </c>
      <c r="L247" s="1">
        <v>3</v>
      </c>
      <c r="M247" s="1">
        <v>60</v>
      </c>
      <c r="N247" s="1">
        <v>63</v>
      </c>
    </row>
    <row r="248" spans="1:14" x14ac:dyDescent="0.25">
      <c r="A248" s="1">
        <v>247</v>
      </c>
      <c r="B248" s="2">
        <v>40554</v>
      </c>
      <c r="C248" s="1">
        <v>15</v>
      </c>
      <c r="D248" s="1" t="b">
        <v>0</v>
      </c>
      <c r="E248" s="1">
        <v>2</v>
      </c>
      <c r="F248" s="1">
        <v>2</v>
      </c>
      <c r="G248" s="1">
        <v>0.16</v>
      </c>
      <c r="H248" s="1">
        <v>247</v>
      </c>
      <c r="I248" s="1">
        <v>0.19700000000000001</v>
      </c>
      <c r="J248" s="1">
        <v>0.8</v>
      </c>
      <c r="K248" s="1">
        <v>8.9599999999999999E-2</v>
      </c>
      <c r="L248" s="1">
        <v>2</v>
      </c>
      <c r="M248" s="1">
        <v>45</v>
      </c>
      <c r="N248" s="1">
        <v>47</v>
      </c>
    </row>
    <row r="249" spans="1:14" x14ac:dyDescent="0.25">
      <c r="A249" s="1">
        <v>248</v>
      </c>
      <c r="B249" s="2">
        <v>40554</v>
      </c>
      <c r="C249" s="1">
        <v>16</v>
      </c>
      <c r="D249" s="1" t="b">
        <v>0</v>
      </c>
      <c r="E249" s="1">
        <v>2</v>
      </c>
      <c r="F249" s="1">
        <v>2</v>
      </c>
      <c r="G249" s="1">
        <v>0.16</v>
      </c>
      <c r="H249" s="1">
        <v>248</v>
      </c>
      <c r="I249" s="1">
        <v>0.1515</v>
      </c>
      <c r="J249" s="1">
        <v>0.86</v>
      </c>
      <c r="K249" s="1">
        <v>0.22389999999999999</v>
      </c>
      <c r="L249" s="1">
        <v>4</v>
      </c>
      <c r="M249" s="1">
        <v>72</v>
      </c>
      <c r="N249" s="1">
        <v>76</v>
      </c>
    </row>
    <row r="250" spans="1:14" x14ac:dyDescent="0.25">
      <c r="A250" s="1">
        <v>249</v>
      </c>
      <c r="B250" s="2">
        <v>40554</v>
      </c>
      <c r="C250" s="1">
        <v>17</v>
      </c>
      <c r="D250" s="1" t="b">
        <v>0</v>
      </c>
      <c r="E250" s="1">
        <v>2</v>
      </c>
      <c r="F250" s="1">
        <v>2</v>
      </c>
      <c r="G250" s="1">
        <v>0.16</v>
      </c>
      <c r="H250" s="1">
        <v>249</v>
      </c>
      <c r="I250" s="1">
        <v>0.1515</v>
      </c>
      <c r="J250" s="1">
        <v>0.86</v>
      </c>
      <c r="K250" s="1">
        <v>0.22389999999999999</v>
      </c>
      <c r="L250" s="1">
        <v>6</v>
      </c>
      <c r="M250" s="1">
        <v>130</v>
      </c>
      <c r="N250" s="1">
        <v>136</v>
      </c>
    </row>
    <row r="251" spans="1:14" x14ac:dyDescent="0.25">
      <c r="A251" s="1">
        <v>250</v>
      </c>
      <c r="B251" s="2">
        <v>40554</v>
      </c>
      <c r="C251" s="1">
        <v>18</v>
      </c>
      <c r="D251" s="1" t="b">
        <v>0</v>
      </c>
      <c r="E251" s="1">
        <v>2</v>
      </c>
      <c r="F251" s="1">
        <v>3</v>
      </c>
      <c r="G251" s="1">
        <v>0.16</v>
      </c>
      <c r="H251" s="1">
        <v>250</v>
      </c>
      <c r="I251" s="1">
        <v>0.18179999999999999</v>
      </c>
      <c r="J251" s="1">
        <v>0.93</v>
      </c>
      <c r="K251" s="1">
        <v>0.1045</v>
      </c>
      <c r="L251" s="1">
        <v>1</v>
      </c>
      <c r="M251" s="1">
        <v>94</v>
      </c>
      <c r="N251" s="1">
        <v>95</v>
      </c>
    </row>
    <row r="252" spans="1:14" x14ac:dyDescent="0.25">
      <c r="A252" s="1">
        <v>251</v>
      </c>
      <c r="B252" s="2">
        <v>40554</v>
      </c>
      <c r="C252" s="1">
        <v>19</v>
      </c>
      <c r="D252" s="1" t="b">
        <v>0</v>
      </c>
      <c r="E252" s="1">
        <v>2</v>
      </c>
      <c r="F252" s="1">
        <v>3</v>
      </c>
      <c r="G252" s="1">
        <v>0.16</v>
      </c>
      <c r="H252" s="1">
        <v>251</v>
      </c>
      <c r="I252" s="1">
        <v>0.2273</v>
      </c>
      <c r="J252" s="1">
        <v>0.93</v>
      </c>
      <c r="K252" s="1">
        <v>0</v>
      </c>
      <c r="L252" s="1">
        <v>0</v>
      </c>
      <c r="M252" s="1">
        <v>51</v>
      </c>
      <c r="N252" s="1">
        <v>51</v>
      </c>
    </row>
    <row r="253" spans="1:14" x14ac:dyDescent="0.25">
      <c r="A253" s="1">
        <v>252</v>
      </c>
      <c r="B253" s="2">
        <v>40554</v>
      </c>
      <c r="C253" s="1">
        <v>20</v>
      </c>
      <c r="D253" s="1" t="b">
        <v>0</v>
      </c>
      <c r="E253" s="1">
        <v>2</v>
      </c>
      <c r="F253" s="1">
        <v>3</v>
      </c>
      <c r="G253" s="1">
        <v>0.16</v>
      </c>
      <c r="H253" s="1">
        <v>252</v>
      </c>
      <c r="I253" s="1">
        <v>0.1515</v>
      </c>
      <c r="J253" s="1">
        <v>0.93</v>
      </c>
      <c r="K253" s="1">
        <v>0.19400000000000001</v>
      </c>
      <c r="L253" s="1">
        <v>0</v>
      </c>
      <c r="M253" s="1">
        <v>32</v>
      </c>
      <c r="N253" s="1">
        <v>32</v>
      </c>
    </row>
    <row r="254" spans="1:14" x14ac:dyDescent="0.25">
      <c r="A254" s="1">
        <v>253</v>
      </c>
      <c r="B254" s="2">
        <v>40554</v>
      </c>
      <c r="C254" s="1">
        <v>21</v>
      </c>
      <c r="D254" s="1" t="b">
        <v>0</v>
      </c>
      <c r="E254" s="1">
        <v>2</v>
      </c>
      <c r="F254" s="1">
        <v>3</v>
      </c>
      <c r="G254" s="1">
        <v>0.16</v>
      </c>
      <c r="H254" s="1">
        <v>253</v>
      </c>
      <c r="I254" s="1">
        <v>0.19700000000000001</v>
      </c>
      <c r="J254" s="1">
        <v>0.86</v>
      </c>
      <c r="K254" s="1">
        <v>8.9599999999999999E-2</v>
      </c>
      <c r="L254" s="1">
        <v>0</v>
      </c>
      <c r="M254" s="1">
        <v>20</v>
      </c>
      <c r="N254" s="1">
        <v>20</v>
      </c>
    </row>
    <row r="255" spans="1:14" x14ac:dyDescent="0.25">
      <c r="A255" s="1">
        <v>254</v>
      </c>
      <c r="B255" s="2">
        <v>40554</v>
      </c>
      <c r="C255" s="1">
        <v>22</v>
      </c>
      <c r="D255" s="1" t="b">
        <v>0</v>
      </c>
      <c r="E255" s="1">
        <v>2</v>
      </c>
      <c r="F255" s="1">
        <v>3</v>
      </c>
      <c r="G255" s="1">
        <v>0.16</v>
      </c>
      <c r="H255" s="1">
        <v>254</v>
      </c>
      <c r="I255" s="1">
        <v>0.18179999999999999</v>
      </c>
      <c r="J255" s="1">
        <v>0.93</v>
      </c>
      <c r="K255" s="1">
        <v>0.1045</v>
      </c>
      <c r="L255" s="1">
        <v>1</v>
      </c>
      <c r="M255" s="1">
        <v>28</v>
      </c>
      <c r="N255" s="1">
        <v>29</v>
      </c>
    </row>
    <row r="256" spans="1:14" x14ac:dyDescent="0.25">
      <c r="A256" s="1">
        <v>255</v>
      </c>
      <c r="B256" s="2">
        <v>40554</v>
      </c>
      <c r="C256" s="1">
        <v>23</v>
      </c>
      <c r="D256" s="1" t="b">
        <v>0</v>
      </c>
      <c r="E256" s="1">
        <v>2</v>
      </c>
      <c r="F256" s="1">
        <v>3</v>
      </c>
      <c r="G256" s="1">
        <v>0.16</v>
      </c>
      <c r="H256" s="1">
        <v>255</v>
      </c>
      <c r="I256" s="1">
        <v>0.19700000000000001</v>
      </c>
      <c r="J256" s="1">
        <v>0.93</v>
      </c>
      <c r="K256" s="1">
        <v>8.9599999999999999E-2</v>
      </c>
      <c r="L256" s="1">
        <v>1</v>
      </c>
      <c r="M256" s="1">
        <v>18</v>
      </c>
      <c r="N256" s="1">
        <v>19</v>
      </c>
    </row>
    <row r="257" spans="1:14" x14ac:dyDescent="0.25">
      <c r="A257" s="1">
        <v>256</v>
      </c>
      <c r="B257" s="2">
        <v>40555</v>
      </c>
      <c r="C257" s="1">
        <v>0</v>
      </c>
      <c r="D257" s="1" t="b">
        <v>0</v>
      </c>
      <c r="E257" s="1">
        <v>3</v>
      </c>
      <c r="F257" s="1">
        <v>2</v>
      </c>
      <c r="G257" s="1">
        <v>0.16</v>
      </c>
      <c r="H257" s="1">
        <v>256</v>
      </c>
      <c r="I257" s="1">
        <v>0.19700000000000001</v>
      </c>
      <c r="J257" s="1">
        <v>0.86</v>
      </c>
      <c r="K257" s="1">
        <v>8.9599999999999999E-2</v>
      </c>
      <c r="L257" s="1">
        <v>0</v>
      </c>
      <c r="M257" s="1">
        <v>7</v>
      </c>
      <c r="N257" s="1">
        <v>7</v>
      </c>
    </row>
    <row r="258" spans="1:14" x14ac:dyDescent="0.25">
      <c r="A258" s="1">
        <v>257</v>
      </c>
      <c r="B258" s="2">
        <v>40555</v>
      </c>
      <c r="C258" s="1">
        <v>1</v>
      </c>
      <c r="D258" s="1" t="b">
        <v>0</v>
      </c>
      <c r="E258" s="1">
        <v>3</v>
      </c>
      <c r="F258" s="1">
        <v>2</v>
      </c>
      <c r="G258" s="1">
        <v>0.16</v>
      </c>
      <c r="H258" s="1">
        <v>257</v>
      </c>
      <c r="I258" s="1">
        <v>0.18179999999999999</v>
      </c>
      <c r="J258" s="1">
        <v>0.86</v>
      </c>
      <c r="K258" s="1">
        <v>0.1045</v>
      </c>
      <c r="L258" s="1">
        <v>0</v>
      </c>
      <c r="M258" s="1">
        <v>6</v>
      </c>
      <c r="N258" s="1">
        <v>6</v>
      </c>
    </row>
    <row r="259" spans="1:14" x14ac:dyDescent="0.25">
      <c r="A259" s="1">
        <v>258</v>
      </c>
      <c r="B259" s="2">
        <v>40555</v>
      </c>
      <c r="C259" s="1">
        <v>2</v>
      </c>
      <c r="D259" s="1" t="b">
        <v>0</v>
      </c>
      <c r="E259" s="1">
        <v>3</v>
      </c>
      <c r="F259" s="1">
        <v>1</v>
      </c>
      <c r="G259" s="1">
        <v>0.14000000000000001</v>
      </c>
      <c r="H259" s="1">
        <v>258</v>
      </c>
      <c r="I259" s="1">
        <v>0.1515</v>
      </c>
      <c r="J259" s="1">
        <v>0.86</v>
      </c>
      <c r="K259" s="1">
        <v>0.1343</v>
      </c>
      <c r="L259" s="1">
        <v>0</v>
      </c>
      <c r="M259" s="1">
        <v>1</v>
      </c>
      <c r="N259" s="1">
        <v>1</v>
      </c>
    </row>
    <row r="260" spans="1:14" x14ac:dyDescent="0.25">
      <c r="A260" s="1">
        <v>259</v>
      </c>
      <c r="B260" s="2">
        <v>40555</v>
      </c>
      <c r="C260" s="1">
        <v>5</v>
      </c>
      <c r="D260" s="1" t="b">
        <v>0</v>
      </c>
      <c r="E260" s="1">
        <v>3</v>
      </c>
      <c r="F260" s="1">
        <v>1</v>
      </c>
      <c r="G260" s="1">
        <v>0.14000000000000001</v>
      </c>
      <c r="H260" s="1">
        <v>259</v>
      </c>
      <c r="I260" s="1">
        <v>0.1515</v>
      </c>
      <c r="J260" s="1">
        <v>0.86</v>
      </c>
      <c r="K260" s="1">
        <v>0.16420000000000001</v>
      </c>
      <c r="L260" s="1">
        <v>0</v>
      </c>
      <c r="M260" s="1">
        <v>5</v>
      </c>
      <c r="N260" s="1">
        <v>5</v>
      </c>
    </row>
    <row r="261" spans="1:14" x14ac:dyDescent="0.25">
      <c r="A261" s="1">
        <v>260</v>
      </c>
      <c r="B261" s="2">
        <v>40555</v>
      </c>
      <c r="C261" s="1">
        <v>6</v>
      </c>
      <c r="D261" s="1" t="b">
        <v>0</v>
      </c>
      <c r="E261" s="1">
        <v>3</v>
      </c>
      <c r="F261" s="1">
        <v>1</v>
      </c>
      <c r="G261" s="1">
        <v>0.12</v>
      </c>
      <c r="H261" s="1">
        <v>260</v>
      </c>
      <c r="I261" s="1">
        <v>0.1515</v>
      </c>
      <c r="J261" s="1">
        <v>0.93</v>
      </c>
      <c r="K261" s="1">
        <v>0.1343</v>
      </c>
      <c r="L261" s="1">
        <v>0</v>
      </c>
      <c r="M261" s="1">
        <v>16</v>
      </c>
      <c r="N261" s="1">
        <v>16</v>
      </c>
    </row>
    <row r="262" spans="1:14" x14ac:dyDescent="0.25">
      <c r="A262" s="1">
        <v>261</v>
      </c>
      <c r="B262" s="2">
        <v>40555</v>
      </c>
      <c r="C262" s="1">
        <v>7</v>
      </c>
      <c r="D262" s="1" t="b">
        <v>0</v>
      </c>
      <c r="E262" s="1">
        <v>3</v>
      </c>
      <c r="F262" s="1">
        <v>1</v>
      </c>
      <c r="G262" s="1">
        <v>0.14000000000000001</v>
      </c>
      <c r="H262" s="1">
        <v>261</v>
      </c>
      <c r="I262" s="1">
        <v>0.1515</v>
      </c>
      <c r="J262" s="1">
        <v>0.69</v>
      </c>
      <c r="K262" s="1">
        <v>0.1343</v>
      </c>
      <c r="L262" s="1">
        <v>0</v>
      </c>
      <c r="M262" s="1">
        <v>54</v>
      </c>
      <c r="N262" s="1">
        <v>54</v>
      </c>
    </row>
    <row r="263" spans="1:14" x14ac:dyDescent="0.25">
      <c r="A263" s="1">
        <v>262</v>
      </c>
      <c r="B263" s="2">
        <v>40555</v>
      </c>
      <c r="C263" s="1">
        <v>8</v>
      </c>
      <c r="D263" s="1" t="b">
        <v>0</v>
      </c>
      <c r="E263" s="1">
        <v>3</v>
      </c>
      <c r="F263" s="1">
        <v>1</v>
      </c>
      <c r="G263" s="1">
        <v>0.16</v>
      </c>
      <c r="H263" s="1">
        <v>262</v>
      </c>
      <c r="I263" s="1">
        <v>0.16669999999999999</v>
      </c>
      <c r="J263" s="1">
        <v>0.59</v>
      </c>
      <c r="K263" s="1">
        <v>0.16420000000000001</v>
      </c>
      <c r="L263" s="1">
        <v>3</v>
      </c>
      <c r="M263" s="1">
        <v>125</v>
      </c>
      <c r="N263" s="1">
        <v>128</v>
      </c>
    </row>
    <row r="264" spans="1:14" x14ac:dyDescent="0.25">
      <c r="A264" s="1">
        <v>263</v>
      </c>
      <c r="B264" s="2">
        <v>40555</v>
      </c>
      <c r="C264" s="1">
        <v>9</v>
      </c>
      <c r="D264" s="1" t="b">
        <v>0</v>
      </c>
      <c r="E264" s="1">
        <v>3</v>
      </c>
      <c r="F264" s="1">
        <v>1</v>
      </c>
      <c r="G264" s="1">
        <v>0.16</v>
      </c>
      <c r="H264" s="1">
        <v>263</v>
      </c>
      <c r="I264" s="1">
        <v>0.13639999999999999</v>
      </c>
      <c r="J264" s="1">
        <v>0.59</v>
      </c>
      <c r="K264" s="1">
        <v>0.32840000000000003</v>
      </c>
      <c r="L264" s="1">
        <v>3</v>
      </c>
      <c r="M264" s="1">
        <v>78</v>
      </c>
      <c r="N264" s="1">
        <v>81</v>
      </c>
    </row>
    <row r="265" spans="1:14" x14ac:dyDescent="0.25">
      <c r="A265" s="1">
        <v>264</v>
      </c>
      <c r="B265" s="2">
        <v>40555</v>
      </c>
      <c r="C265" s="1">
        <v>10</v>
      </c>
      <c r="D265" s="1" t="b">
        <v>0</v>
      </c>
      <c r="E265" s="1">
        <v>3</v>
      </c>
      <c r="F265" s="1">
        <v>1</v>
      </c>
      <c r="G265" s="1">
        <v>0.18</v>
      </c>
      <c r="H265" s="1">
        <v>264</v>
      </c>
      <c r="I265" s="1">
        <v>0.18179999999999999</v>
      </c>
      <c r="J265" s="1">
        <v>0.55000000000000004</v>
      </c>
      <c r="K265" s="1">
        <v>0.22389999999999999</v>
      </c>
      <c r="L265" s="1">
        <v>0</v>
      </c>
      <c r="M265" s="1">
        <v>39</v>
      </c>
      <c r="N265" s="1">
        <v>39</v>
      </c>
    </row>
    <row r="266" spans="1:14" x14ac:dyDescent="0.25">
      <c r="A266" s="1">
        <v>265</v>
      </c>
      <c r="B266" s="2">
        <v>40555</v>
      </c>
      <c r="C266" s="1">
        <v>11</v>
      </c>
      <c r="D266" s="1" t="b">
        <v>0</v>
      </c>
      <c r="E266" s="1">
        <v>3</v>
      </c>
      <c r="F266" s="1">
        <v>1</v>
      </c>
      <c r="G266" s="1">
        <v>0.2</v>
      </c>
      <c r="H266" s="1">
        <v>265</v>
      </c>
      <c r="I266" s="1">
        <v>0.18179999999999999</v>
      </c>
      <c r="J266" s="1">
        <v>0.51</v>
      </c>
      <c r="K266" s="1">
        <v>0.3881</v>
      </c>
      <c r="L266" s="1">
        <v>3</v>
      </c>
      <c r="M266" s="1">
        <v>32</v>
      </c>
      <c r="N266" s="1">
        <v>35</v>
      </c>
    </row>
    <row r="267" spans="1:14" x14ac:dyDescent="0.25">
      <c r="A267" s="1">
        <v>266</v>
      </c>
      <c r="B267" s="2">
        <v>40555</v>
      </c>
      <c r="C267" s="1">
        <v>12</v>
      </c>
      <c r="D267" s="1" t="b">
        <v>0</v>
      </c>
      <c r="E267" s="1">
        <v>3</v>
      </c>
      <c r="F267" s="1">
        <v>1</v>
      </c>
      <c r="G267" s="1">
        <v>0.2</v>
      </c>
      <c r="H267" s="1">
        <v>266</v>
      </c>
      <c r="I267" s="1">
        <v>0.1515</v>
      </c>
      <c r="J267" s="1">
        <v>0.47</v>
      </c>
      <c r="K267" s="1">
        <v>0.58209999999999995</v>
      </c>
      <c r="L267" s="1">
        <v>3</v>
      </c>
      <c r="M267" s="1">
        <v>52</v>
      </c>
      <c r="N267" s="1">
        <v>55</v>
      </c>
    </row>
    <row r="268" spans="1:14" x14ac:dyDescent="0.25">
      <c r="A268" s="1">
        <v>267</v>
      </c>
      <c r="B268" s="2">
        <v>40555</v>
      </c>
      <c r="C268" s="1">
        <v>13</v>
      </c>
      <c r="D268" s="1" t="b">
        <v>0</v>
      </c>
      <c r="E268" s="1">
        <v>3</v>
      </c>
      <c r="F268" s="1">
        <v>1</v>
      </c>
      <c r="G268" s="1">
        <v>0.22</v>
      </c>
      <c r="H268" s="1">
        <v>267</v>
      </c>
      <c r="I268" s="1">
        <v>0.19700000000000001</v>
      </c>
      <c r="J268" s="1">
        <v>0.44</v>
      </c>
      <c r="K268" s="1">
        <v>0.35820000000000002</v>
      </c>
      <c r="L268" s="1">
        <v>0</v>
      </c>
      <c r="M268" s="1">
        <v>49</v>
      </c>
      <c r="N268" s="1">
        <v>49</v>
      </c>
    </row>
    <row r="269" spans="1:14" x14ac:dyDescent="0.25">
      <c r="A269" s="1">
        <v>268</v>
      </c>
      <c r="B269" s="2">
        <v>40555</v>
      </c>
      <c r="C269" s="1">
        <v>14</v>
      </c>
      <c r="D269" s="1" t="b">
        <v>0</v>
      </c>
      <c r="E269" s="1">
        <v>3</v>
      </c>
      <c r="F269" s="1">
        <v>1</v>
      </c>
      <c r="G269" s="1">
        <v>0.2</v>
      </c>
      <c r="H269" s="1">
        <v>268</v>
      </c>
      <c r="I269" s="1">
        <v>0.18179999999999999</v>
      </c>
      <c r="J269" s="1">
        <v>0.47</v>
      </c>
      <c r="K269" s="1">
        <v>0.32840000000000003</v>
      </c>
      <c r="L269" s="1">
        <v>0</v>
      </c>
      <c r="M269" s="1">
        <v>44</v>
      </c>
      <c r="N269" s="1">
        <v>44</v>
      </c>
    </row>
    <row r="270" spans="1:14" x14ac:dyDescent="0.25">
      <c r="A270" s="1">
        <v>269</v>
      </c>
      <c r="B270" s="2">
        <v>40555</v>
      </c>
      <c r="C270" s="1">
        <v>15</v>
      </c>
      <c r="D270" s="1" t="b">
        <v>0</v>
      </c>
      <c r="E270" s="1">
        <v>3</v>
      </c>
      <c r="F270" s="1">
        <v>1</v>
      </c>
      <c r="G270" s="1">
        <v>0.2</v>
      </c>
      <c r="H270" s="1">
        <v>269</v>
      </c>
      <c r="I270" s="1">
        <v>0.16669999999999999</v>
      </c>
      <c r="J270" s="1">
        <v>0.47</v>
      </c>
      <c r="K270" s="1">
        <v>0.41789999999999999</v>
      </c>
      <c r="L270" s="1">
        <v>1</v>
      </c>
      <c r="M270" s="1">
        <v>48</v>
      </c>
      <c r="N270" s="1">
        <v>49</v>
      </c>
    </row>
    <row r="271" spans="1:14" x14ac:dyDescent="0.25">
      <c r="A271" s="1">
        <v>270</v>
      </c>
      <c r="B271" s="2">
        <v>40555</v>
      </c>
      <c r="C271" s="1">
        <v>16</v>
      </c>
      <c r="D271" s="1" t="b">
        <v>0</v>
      </c>
      <c r="E271" s="1">
        <v>3</v>
      </c>
      <c r="F271" s="1">
        <v>1</v>
      </c>
      <c r="G271" s="1">
        <v>0.22</v>
      </c>
      <c r="H271" s="1">
        <v>270</v>
      </c>
      <c r="I271" s="1">
        <v>0.19700000000000001</v>
      </c>
      <c r="J271" s="1">
        <v>0.44</v>
      </c>
      <c r="K271" s="1">
        <v>0.32840000000000003</v>
      </c>
      <c r="L271" s="1">
        <v>5</v>
      </c>
      <c r="M271" s="1">
        <v>63</v>
      </c>
      <c r="N271" s="1">
        <v>68</v>
      </c>
    </row>
    <row r="272" spans="1:14" x14ac:dyDescent="0.25">
      <c r="A272" s="1">
        <v>271</v>
      </c>
      <c r="B272" s="2">
        <v>40555</v>
      </c>
      <c r="C272" s="1">
        <v>17</v>
      </c>
      <c r="D272" s="1" t="b">
        <v>0</v>
      </c>
      <c r="E272" s="1">
        <v>3</v>
      </c>
      <c r="F272" s="1">
        <v>1</v>
      </c>
      <c r="G272" s="1">
        <v>0.2</v>
      </c>
      <c r="H272" s="1">
        <v>271</v>
      </c>
      <c r="I272" s="1">
        <v>0.18179999999999999</v>
      </c>
      <c r="J272" s="1">
        <v>0.47</v>
      </c>
      <c r="K272" s="1">
        <v>0.35820000000000002</v>
      </c>
      <c r="L272" s="1">
        <v>0</v>
      </c>
      <c r="M272" s="1">
        <v>139</v>
      </c>
      <c r="N272" s="1">
        <v>139</v>
      </c>
    </row>
    <row r="273" spans="1:14" x14ac:dyDescent="0.25">
      <c r="A273" s="1">
        <v>272</v>
      </c>
      <c r="B273" s="2">
        <v>40555</v>
      </c>
      <c r="C273" s="1">
        <v>18</v>
      </c>
      <c r="D273" s="1" t="b">
        <v>0</v>
      </c>
      <c r="E273" s="1">
        <v>3</v>
      </c>
      <c r="F273" s="1">
        <v>1</v>
      </c>
      <c r="G273" s="1">
        <v>0.2</v>
      </c>
      <c r="H273" s="1">
        <v>272</v>
      </c>
      <c r="I273" s="1">
        <v>0.1515</v>
      </c>
      <c r="J273" s="1">
        <v>0.47</v>
      </c>
      <c r="K273" s="1">
        <v>0.52239999999999998</v>
      </c>
      <c r="L273" s="1">
        <v>2</v>
      </c>
      <c r="M273" s="1">
        <v>135</v>
      </c>
      <c r="N273" s="1">
        <v>137</v>
      </c>
    </row>
    <row r="274" spans="1:14" x14ac:dyDescent="0.25">
      <c r="A274" s="1">
        <v>273</v>
      </c>
      <c r="B274" s="2">
        <v>40555</v>
      </c>
      <c r="C274" s="1">
        <v>19</v>
      </c>
      <c r="D274" s="1" t="b">
        <v>0</v>
      </c>
      <c r="E274" s="1">
        <v>3</v>
      </c>
      <c r="F274" s="1">
        <v>1</v>
      </c>
      <c r="G274" s="1">
        <v>0.18</v>
      </c>
      <c r="H274" s="1">
        <v>273</v>
      </c>
      <c r="I274" s="1">
        <v>0.1515</v>
      </c>
      <c r="J274" s="1">
        <v>0.47</v>
      </c>
      <c r="K274" s="1">
        <v>0.41789999999999999</v>
      </c>
      <c r="L274" s="1">
        <v>1</v>
      </c>
      <c r="M274" s="1">
        <v>82</v>
      </c>
      <c r="N274" s="1">
        <v>83</v>
      </c>
    </row>
    <row r="275" spans="1:14" x14ac:dyDescent="0.25">
      <c r="A275" s="1">
        <v>274</v>
      </c>
      <c r="B275" s="2">
        <v>40555</v>
      </c>
      <c r="C275" s="1">
        <v>20</v>
      </c>
      <c r="D275" s="1" t="b">
        <v>0</v>
      </c>
      <c r="E275" s="1">
        <v>3</v>
      </c>
      <c r="F275" s="1">
        <v>1</v>
      </c>
      <c r="G275" s="1">
        <v>0.16</v>
      </c>
      <c r="H275" s="1">
        <v>274</v>
      </c>
      <c r="I275" s="1">
        <v>0.13639999999999999</v>
      </c>
      <c r="J275" s="1">
        <v>0.5</v>
      </c>
      <c r="K275" s="1">
        <v>0.32840000000000003</v>
      </c>
      <c r="L275" s="1">
        <v>2</v>
      </c>
      <c r="M275" s="1">
        <v>54</v>
      </c>
      <c r="N275" s="1">
        <v>56</v>
      </c>
    </row>
    <row r="276" spans="1:14" x14ac:dyDescent="0.25">
      <c r="A276" s="1">
        <v>275</v>
      </c>
      <c r="B276" s="2">
        <v>40555</v>
      </c>
      <c r="C276" s="1">
        <v>21</v>
      </c>
      <c r="D276" s="1" t="b">
        <v>0</v>
      </c>
      <c r="E276" s="1">
        <v>3</v>
      </c>
      <c r="F276" s="1">
        <v>1</v>
      </c>
      <c r="G276" s="1">
        <v>0.16</v>
      </c>
      <c r="H276" s="1">
        <v>275</v>
      </c>
      <c r="I276" s="1">
        <v>0.13639999999999999</v>
      </c>
      <c r="J276" s="1">
        <v>0.55000000000000004</v>
      </c>
      <c r="K276" s="1">
        <v>0.32840000000000003</v>
      </c>
      <c r="L276" s="1">
        <v>0</v>
      </c>
      <c r="M276" s="1">
        <v>57</v>
      </c>
      <c r="N276" s="1">
        <v>57</v>
      </c>
    </row>
    <row r="277" spans="1:14" x14ac:dyDescent="0.25">
      <c r="A277" s="1">
        <v>276</v>
      </c>
      <c r="B277" s="2">
        <v>40555</v>
      </c>
      <c r="C277" s="1">
        <v>22</v>
      </c>
      <c r="D277" s="1" t="b">
        <v>0</v>
      </c>
      <c r="E277" s="1">
        <v>3</v>
      </c>
      <c r="F277" s="1">
        <v>1</v>
      </c>
      <c r="G277" s="1">
        <v>0.16</v>
      </c>
      <c r="H277" s="1">
        <v>276</v>
      </c>
      <c r="I277" s="1">
        <v>0.1212</v>
      </c>
      <c r="J277" s="1">
        <v>0.55000000000000004</v>
      </c>
      <c r="K277" s="1">
        <v>0.44779999999999998</v>
      </c>
      <c r="L277" s="1">
        <v>1</v>
      </c>
      <c r="M277" s="1">
        <v>32</v>
      </c>
      <c r="N277" s="1">
        <v>33</v>
      </c>
    </row>
    <row r="278" spans="1:14" x14ac:dyDescent="0.25">
      <c r="A278" s="1">
        <v>277</v>
      </c>
      <c r="B278" s="2">
        <v>40555</v>
      </c>
      <c r="C278" s="1">
        <v>23</v>
      </c>
      <c r="D278" s="1" t="b">
        <v>0</v>
      </c>
      <c r="E278" s="1">
        <v>3</v>
      </c>
      <c r="F278" s="1">
        <v>1</v>
      </c>
      <c r="G278" s="1">
        <v>0.14000000000000001</v>
      </c>
      <c r="H278" s="1">
        <v>277</v>
      </c>
      <c r="I278" s="1">
        <v>0.1061</v>
      </c>
      <c r="J278" s="1">
        <v>0.59</v>
      </c>
      <c r="K278" s="1">
        <v>0.41789999999999999</v>
      </c>
      <c r="L278" s="1">
        <v>1</v>
      </c>
      <c r="M278" s="1">
        <v>19</v>
      </c>
      <c r="N278" s="1">
        <v>20</v>
      </c>
    </row>
    <row r="279" spans="1:14" x14ac:dyDescent="0.25">
      <c r="A279" s="1">
        <v>278</v>
      </c>
      <c r="B279" s="2">
        <v>40556</v>
      </c>
      <c r="C279" s="1">
        <v>0</v>
      </c>
      <c r="D279" s="1" t="b">
        <v>0</v>
      </c>
      <c r="E279" s="1">
        <v>4</v>
      </c>
      <c r="F279" s="1">
        <v>1</v>
      </c>
      <c r="G279" s="1">
        <v>0.14000000000000001</v>
      </c>
      <c r="H279" s="1">
        <v>278</v>
      </c>
      <c r="I279" s="1">
        <v>0.1212</v>
      </c>
      <c r="J279" s="1">
        <v>0.59</v>
      </c>
      <c r="K279" s="1">
        <v>0.28360000000000002</v>
      </c>
      <c r="L279" s="1">
        <v>1</v>
      </c>
      <c r="M279" s="1">
        <v>6</v>
      </c>
      <c r="N279" s="1">
        <v>7</v>
      </c>
    </row>
    <row r="280" spans="1:14" x14ac:dyDescent="0.25">
      <c r="A280" s="1">
        <v>279</v>
      </c>
      <c r="B280" s="2">
        <v>40556</v>
      </c>
      <c r="C280" s="1">
        <v>1</v>
      </c>
      <c r="D280" s="1" t="b">
        <v>0</v>
      </c>
      <c r="E280" s="1">
        <v>4</v>
      </c>
      <c r="F280" s="1">
        <v>1</v>
      </c>
      <c r="G280" s="1">
        <v>0.14000000000000001</v>
      </c>
      <c r="H280" s="1">
        <v>279</v>
      </c>
      <c r="I280" s="1">
        <v>0.1212</v>
      </c>
      <c r="J280" s="1">
        <v>0.5</v>
      </c>
      <c r="K280" s="1">
        <v>0.28360000000000002</v>
      </c>
      <c r="L280" s="1">
        <v>0</v>
      </c>
      <c r="M280" s="1">
        <v>2</v>
      </c>
      <c r="N280" s="1">
        <v>2</v>
      </c>
    </row>
    <row r="281" spans="1:14" x14ac:dyDescent="0.25">
      <c r="A281" s="1">
        <v>280</v>
      </c>
      <c r="B281" s="2">
        <v>40556</v>
      </c>
      <c r="C281" s="1">
        <v>2</v>
      </c>
      <c r="D281" s="1" t="b">
        <v>0</v>
      </c>
      <c r="E281" s="1">
        <v>4</v>
      </c>
      <c r="F281" s="1">
        <v>1</v>
      </c>
      <c r="G281" s="1">
        <v>0.14000000000000001</v>
      </c>
      <c r="H281" s="1">
        <v>280</v>
      </c>
      <c r="I281" s="1">
        <v>0.1212</v>
      </c>
      <c r="J281" s="1">
        <v>0.5</v>
      </c>
      <c r="K281" s="1">
        <v>0.35820000000000002</v>
      </c>
      <c r="L281" s="1">
        <v>0</v>
      </c>
      <c r="M281" s="1">
        <v>2</v>
      </c>
      <c r="N281" s="1">
        <v>2</v>
      </c>
    </row>
    <row r="282" spans="1:14" x14ac:dyDescent="0.25">
      <c r="A282" s="1">
        <v>281</v>
      </c>
      <c r="B282" s="2">
        <v>40556</v>
      </c>
      <c r="C282" s="1">
        <v>3</v>
      </c>
      <c r="D282" s="1" t="b">
        <v>0</v>
      </c>
      <c r="E282" s="1">
        <v>4</v>
      </c>
      <c r="F282" s="1">
        <v>1</v>
      </c>
      <c r="G282" s="1">
        <v>0.14000000000000001</v>
      </c>
      <c r="H282" s="1">
        <v>281</v>
      </c>
      <c r="I282" s="1">
        <v>0.1212</v>
      </c>
      <c r="J282" s="1">
        <v>0.5</v>
      </c>
      <c r="K282" s="1">
        <v>0.32840000000000003</v>
      </c>
      <c r="L282" s="1">
        <v>0</v>
      </c>
      <c r="M282" s="1">
        <v>3</v>
      </c>
      <c r="N282" s="1">
        <v>3</v>
      </c>
    </row>
    <row r="283" spans="1:14" x14ac:dyDescent="0.25">
      <c r="A283" s="1">
        <v>282</v>
      </c>
      <c r="B283" s="2">
        <v>40556</v>
      </c>
      <c r="C283" s="1">
        <v>4</v>
      </c>
      <c r="D283" s="1" t="b">
        <v>0</v>
      </c>
      <c r="E283" s="1">
        <v>4</v>
      </c>
      <c r="F283" s="1">
        <v>1</v>
      </c>
      <c r="G283" s="1">
        <v>0.14000000000000001</v>
      </c>
      <c r="H283" s="1">
        <v>282</v>
      </c>
      <c r="I283" s="1">
        <v>0.1212</v>
      </c>
      <c r="J283" s="1">
        <v>0.5</v>
      </c>
      <c r="K283" s="1">
        <v>0.25369999999999998</v>
      </c>
      <c r="L283" s="1">
        <v>0</v>
      </c>
      <c r="M283" s="1">
        <v>4</v>
      </c>
      <c r="N283" s="1">
        <v>4</v>
      </c>
    </row>
    <row r="284" spans="1:14" x14ac:dyDescent="0.25">
      <c r="A284" s="1">
        <v>283</v>
      </c>
      <c r="B284" s="2">
        <v>40556</v>
      </c>
      <c r="C284" s="1">
        <v>5</v>
      </c>
      <c r="D284" s="1" t="b">
        <v>0</v>
      </c>
      <c r="E284" s="1">
        <v>4</v>
      </c>
      <c r="F284" s="1">
        <v>1</v>
      </c>
      <c r="G284" s="1">
        <v>0.14000000000000001</v>
      </c>
      <c r="H284" s="1">
        <v>283</v>
      </c>
      <c r="I284" s="1">
        <v>0.1212</v>
      </c>
      <c r="J284" s="1">
        <v>0.5</v>
      </c>
      <c r="K284" s="1">
        <v>0.29849999999999999</v>
      </c>
      <c r="L284" s="1">
        <v>0</v>
      </c>
      <c r="M284" s="1">
        <v>3</v>
      </c>
      <c r="N284" s="1">
        <v>3</v>
      </c>
    </row>
    <row r="285" spans="1:14" x14ac:dyDescent="0.25">
      <c r="A285" s="1">
        <v>284</v>
      </c>
      <c r="B285" s="2">
        <v>40556</v>
      </c>
      <c r="C285" s="1">
        <v>6</v>
      </c>
      <c r="D285" s="1" t="b">
        <v>0</v>
      </c>
      <c r="E285" s="1">
        <v>4</v>
      </c>
      <c r="F285" s="1">
        <v>1</v>
      </c>
      <c r="G285" s="1">
        <v>0.12</v>
      </c>
      <c r="H285" s="1">
        <v>284</v>
      </c>
      <c r="I285" s="1">
        <v>0.1515</v>
      </c>
      <c r="J285" s="1">
        <v>0.54</v>
      </c>
      <c r="K285" s="1">
        <v>0.1343</v>
      </c>
      <c r="L285" s="1">
        <v>0</v>
      </c>
      <c r="M285" s="1">
        <v>28</v>
      </c>
      <c r="N285" s="1">
        <v>28</v>
      </c>
    </row>
    <row r="286" spans="1:14" x14ac:dyDescent="0.25">
      <c r="A286" s="1">
        <v>285</v>
      </c>
      <c r="B286" s="2">
        <v>40556</v>
      </c>
      <c r="C286" s="1">
        <v>7</v>
      </c>
      <c r="D286" s="1" t="b">
        <v>0</v>
      </c>
      <c r="E286" s="1">
        <v>4</v>
      </c>
      <c r="F286" s="1">
        <v>1</v>
      </c>
      <c r="G286" s="1">
        <v>0.12</v>
      </c>
      <c r="H286" s="1">
        <v>285</v>
      </c>
      <c r="I286" s="1">
        <v>0.1515</v>
      </c>
      <c r="J286" s="1">
        <v>0.54</v>
      </c>
      <c r="K286" s="1">
        <v>0.1343</v>
      </c>
      <c r="L286" s="1">
        <v>0</v>
      </c>
      <c r="M286" s="1">
        <v>72</v>
      </c>
      <c r="N286" s="1">
        <v>72</v>
      </c>
    </row>
    <row r="287" spans="1:14" x14ac:dyDescent="0.25">
      <c r="A287" s="1">
        <v>286</v>
      </c>
      <c r="B287" s="2">
        <v>40556</v>
      </c>
      <c r="C287" s="1">
        <v>8</v>
      </c>
      <c r="D287" s="1" t="b">
        <v>0</v>
      </c>
      <c r="E287" s="1">
        <v>4</v>
      </c>
      <c r="F287" s="1">
        <v>1</v>
      </c>
      <c r="G287" s="1">
        <v>0.14000000000000001</v>
      </c>
      <c r="H287" s="1">
        <v>286</v>
      </c>
      <c r="I287" s="1">
        <v>0.13639999999999999</v>
      </c>
      <c r="J287" s="1">
        <v>0.5</v>
      </c>
      <c r="K287" s="1">
        <v>0.19400000000000001</v>
      </c>
      <c r="L287" s="1">
        <v>5</v>
      </c>
      <c r="M287" s="1">
        <v>197</v>
      </c>
      <c r="N287" s="1">
        <v>202</v>
      </c>
    </row>
    <row r="288" spans="1:14" x14ac:dyDescent="0.25">
      <c r="A288" s="1">
        <v>287</v>
      </c>
      <c r="B288" s="2">
        <v>40556</v>
      </c>
      <c r="C288" s="1">
        <v>9</v>
      </c>
      <c r="D288" s="1" t="b">
        <v>0</v>
      </c>
      <c r="E288" s="1">
        <v>4</v>
      </c>
      <c r="F288" s="1">
        <v>1</v>
      </c>
      <c r="G288" s="1">
        <v>0.14000000000000001</v>
      </c>
      <c r="H288" s="1">
        <v>287</v>
      </c>
      <c r="I288" s="1">
        <v>0.1212</v>
      </c>
      <c r="J288" s="1">
        <v>0.5</v>
      </c>
      <c r="K288" s="1">
        <v>0.32840000000000003</v>
      </c>
      <c r="L288" s="1">
        <v>2</v>
      </c>
      <c r="M288" s="1">
        <v>137</v>
      </c>
      <c r="N288" s="1">
        <v>139</v>
      </c>
    </row>
    <row r="289" spans="1:14" x14ac:dyDescent="0.25">
      <c r="A289" s="1">
        <v>288</v>
      </c>
      <c r="B289" s="2">
        <v>40556</v>
      </c>
      <c r="C289" s="1">
        <v>10</v>
      </c>
      <c r="D289" s="1" t="b">
        <v>0</v>
      </c>
      <c r="E289" s="1">
        <v>4</v>
      </c>
      <c r="F289" s="1">
        <v>2</v>
      </c>
      <c r="G289" s="1">
        <v>0.16</v>
      </c>
      <c r="H289" s="1">
        <v>288</v>
      </c>
      <c r="I289" s="1">
        <v>0.13639999999999999</v>
      </c>
      <c r="J289" s="1">
        <v>0.5</v>
      </c>
      <c r="K289" s="1">
        <v>0.35820000000000002</v>
      </c>
      <c r="L289" s="1">
        <v>2</v>
      </c>
      <c r="M289" s="1">
        <v>36</v>
      </c>
      <c r="N289" s="1">
        <v>38</v>
      </c>
    </row>
    <row r="290" spans="1:14" x14ac:dyDescent="0.25">
      <c r="A290" s="1">
        <v>289</v>
      </c>
      <c r="B290" s="2">
        <v>40556</v>
      </c>
      <c r="C290" s="1">
        <v>11</v>
      </c>
      <c r="D290" s="1" t="b">
        <v>0</v>
      </c>
      <c r="E290" s="1">
        <v>4</v>
      </c>
      <c r="F290" s="1">
        <v>2</v>
      </c>
      <c r="G290" s="1">
        <v>0.2</v>
      </c>
      <c r="H290" s="1">
        <v>289</v>
      </c>
      <c r="I290" s="1">
        <v>0.16669999999999999</v>
      </c>
      <c r="J290" s="1">
        <v>0.44</v>
      </c>
      <c r="K290" s="1">
        <v>0.44779999999999998</v>
      </c>
      <c r="L290" s="1">
        <v>4</v>
      </c>
      <c r="M290" s="1">
        <v>33</v>
      </c>
      <c r="N290" s="1">
        <v>37</v>
      </c>
    </row>
    <row r="291" spans="1:14" x14ac:dyDescent="0.25">
      <c r="A291" s="1">
        <v>290</v>
      </c>
      <c r="B291" s="2">
        <v>40556</v>
      </c>
      <c r="C291" s="1">
        <v>12</v>
      </c>
      <c r="D291" s="1" t="b">
        <v>0</v>
      </c>
      <c r="E291" s="1">
        <v>4</v>
      </c>
      <c r="F291" s="1">
        <v>1</v>
      </c>
      <c r="G291" s="1">
        <v>0.2</v>
      </c>
      <c r="H291" s="1">
        <v>290</v>
      </c>
      <c r="I291" s="1">
        <v>0.16669999999999999</v>
      </c>
      <c r="J291" s="1">
        <v>0.44</v>
      </c>
      <c r="K291" s="1">
        <v>0.41789999999999999</v>
      </c>
      <c r="L291" s="1">
        <v>3</v>
      </c>
      <c r="M291" s="1">
        <v>49</v>
      </c>
      <c r="N291" s="1">
        <v>52</v>
      </c>
    </row>
    <row r="292" spans="1:14" x14ac:dyDescent="0.25">
      <c r="A292" s="1">
        <v>291</v>
      </c>
      <c r="B292" s="2">
        <v>40556</v>
      </c>
      <c r="C292" s="1">
        <v>13</v>
      </c>
      <c r="D292" s="1" t="b">
        <v>0</v>
      </c>
      <c r="E292" s="1">
        <v>4</v>
      </c>
      <c r="F292" s="1">
        <v>1</v>
      </c>
      <c r="G292" s="1">
        <v>0.22</v>
      </c>
      <c r="H292" s="1">
        <v>291</v>
      </c>
      <c r="I292" s="1">
        <v>0.19700000000000001</v>
      </c>
      <c r="J292" s="1">
        <v>0.41</v>
      </c>
      <c r="K292" s="1">
        <v>0.44779999999999998</v>
      </c>
      <c r="L292" s="1">
        <v>2</v>
      </c>
      <c r="M292" s="1">
        <v>81</v>
      </c>
      <c r="N292" s="1">
        <v>83</v>
      </c>
    </row>
    <row r="293" spans="1:14" x14ac:dyDescent="0.25">
      <c r="A293" s="1">
        <v>292</v>
      </c>
      <c r="B293" s="2">
        <v>40556</v>
      </c>
      <c r="C293" s="1">
        <v>14</v>
      </c>
      <c r="D293" s="1" t="b">
        <v>0</v>
      </c>
      <c r="E293" s="1">
        <v>4</v>
      </c>
      <c r="F293" s="1">
        <v>1</v>
      </c>
      <c r="G293" s="1">
        <v>0.22</v>
      </c>
      <c r="H293" s="1">
        <v>292</v>
      </c>
      <c r="I293" s="1">
        <v>0.19700000000000001</v>
      </c>
      <c r="J293" s="1">
        <v>0.41</v>
      </c>
      <c r="K293" s="1">
        <v>0.3881</v>
      </c>
      <c r="L293" s="1">
        <v>3</v>
      </c>
      <c r="M293" s="1">
        <v>39</v>
      </c>
      <c r="N293" s="1">
        <v>42</v>
      </c>
    </row>
    <row r="294" spans="1:14" x14ac:dyDescent="0.25">
      <c r="A294" s="1">
        <v>293</v>
      </c>
      <c r="B294" s="2">
        <v>40556</v>
      </c>
      <c r="C294" s="1">
        <v>15</v>
      </c>
      <c r="D294" s="1" t="b">
        <v>0</v>
      </c>
      <c r="E294" s="1">
        <v>4</v>
      </c>
      <c r="F294" s="1">
        <v>1</v>
      </c>
      <c r="G294" s="1">
        <v>0.24</v>
      </c>
      <c r="H294" s="1">
        <v>293</v>
      </c>
      <c r="I294" s="1">
        <v>0.21210000000000001</v>
      </c>
      <c r="J294" s="1">
        <v>0.38</v>
      </c>
      <c r="K294" s="1">
        <v>0.29849999999999999</v>
      </c>
      <c r="L294" s="1">
        <v>5</v>
      </c>
      <c r="M294" s="1">
        <v>55</v>
      </c>
      <c r="N294" s="1">
        <v>60</v>
      </c>
    </row>
    <row r="295" spans="1:14" x14ac:dyDescent="0.25">
      <c r="A295" s="1">
        <v>294</v>
      </c>
      <c r="B295" s="2">
        <v>40556</v>
      </c>
      <c r="C295" s="1">
        <v>16</v>
      </c>
      <c r="D295" s="1" t="b">
        <v>0</v>
      </c>
      <c r="E295" s="1">
        <v>4</v>
      </c>
      <c r="F295" s="1">
        <v>1</v>
      </c>
      <c r="G295" s="1">
        <v>0.24</v>
      </c>
      <c r="H295" s="1">
        <v>294</v>
      </c>
      <c r="I295" s="1">
        <v>0.21210000000000001</v>
      </c>
      <c r="J295" s="1">
        <v>0.38</v>
      </c>
      <c r="K295" s="1">
        <v>0.35820000000000002</v>
      </c>
      <c r="L295" s="1">
        <v>2</v>
      </c>
      <c r="M295" s="1">
        <v>76</v>
      </c>
      <c r="N295" s="1">
        <v>78</v>
      </c>
    </row>
    <row r="296" spans="1:14" x14ac:dyDescent="0.25">
      <c r="A296" s="1">
        <v>295</v>
      </c>
      <c r="B296" s="2">
        <v>40556</v>
      </c>
      <c r="C296" s="1">
        <v>17</v>
      </c>
      <c r="D296" s="1" t="b">
        <v>0</v>
      </c>
      <c r="E296" s="1">
        <v>4</v>
      </c>
      <c r="F296" s="1">
        <v>1</v>
      </c>
      <c r="G296" s="1">
        <v>0.2</v>
      </c>
      <c r="H296" s="1">
        <v>295</v>
      </c>
      <c r="I296" s="1">
        <v>0.18179999999999999</v>
      </c>
      <c r="J296" s="1">
        <v>0.4</v>
      </c>
      <c r="K296" s="1">
        <v>0.28360000000000002</v>
      </c>
      <c r="L296" s="1">
        <v>4</v>
      </c>
      <c r="M296" s="1">
        <v>158</v>
      </c>
      <c r="N296" s="1">
        <v>162</v>
      </c>
    </row>
    <row r="297" spans="1:14" x14ac:dyDescent="0.25">
      <c r="A297" s="1">
        <v>296</v>
      </c>
      <c r="B297" s="2">
        <v>40556</v>
      </c>
      <c r="C297" s="1">
        <v>18</v>
      </c>
      <c r="D297" s="1" t="b">
        <v>0</v>
      </c>
      <c r="E297" s="1">
        <v>4</v>
      </c>
      <c r="F297" s="1">
        <v>1</v>
      </c>
      <c r="G297" s="1">
        <v>0.2</v>
      </c>
      <c r="H297" s="1">
        <v>296</v>
      </c>
      <c r="I297" s="1">
        <v>0.18179999999999999</v>
      </c>
      <c r="J297" s="1">
        <v>0.4</v>
      </c>
      <c r="K297" s="1">
        <v>0.32840000000000003</v>
      </c>
      <c r="L297" s="1">
        <v>3</v>
      </c>
      <c r="M297" s="1">
        <v>141</v>
      </c>
      <c r="N297" s="1">
        <v>144</v>
      </c>
    </row>
    <row r="298" spans="1:14" x14ac:dyDescent="0.25">
      <c r="A298" s="1">
        <v>297</v>
      </c>
      <c r="B298" s="2">
        <v>40556</v>
      </c>
      <c r="C298" s="1">
        <v>19</v>
      </c>
      <c r="D298" s="1" t="b">
        <v>0</v>
      </c>
      <c r="E298" s="1">
        <v>4</v>
      </c>
      <c r="F298" s="1">
        <v>1</v>
      </c>
      <c r="G298" s="1">
        <v>0.16</v>
      </c>
      <c r="H298" s="1">
        <v>297</v>
      </c>
      <c r="I298" s="1">
        <v>0.1515</v>
      </c>
      <c r="J298" s="1">
        <v>0.47</v>
      </c>
      <c r="K298" s="1">
        <v>0.25369999999999998</v>
      </c>
      <c r="L298" s="1">
        <v>1</v>
      </c>
      <c r="M298" s="1">
        <v>98</v>
      </c>
      <c r="N298" s="1">
        <v>99</v>
      </c>
    </row>
    <row r="299" spans="1:14" x14ac:dyDescent="0.25">
      <c r="A299" s="1">
        <v>298</v>
      </c>
      <c r="B299" s="2">
        <v>40556</v>
      </c>
      <c r="C299" s="1">
        <v>20</v>
      </c>
      <c r="D299" s="1" t="b">
        <v>0</v>
      </c>
      <c r="E299" s="1">
        <v>4</v>
      </c>
      <c r="F299" s="1">
        <v>1</v>
      </c>
      <c r="G299" s="1">
        <v>0.16</v>
      </c>
      <c r="H299" s="1">
        <v>298</v>
      </c>
      <c r="I299" s="1">
        <v>0.1515</v>
      </c>
      <c r="J299" s="1">
        <v>0.47</v>
      </c>
      <c r="K299" s="1">
        <v>0.22389999999999999</v>
      </c>
      <c r="L299" s="1">
        <v>0</v>
      </c>
      <c r="M299" s="1">
        <v>64</v>
      </c>
      <c r="N299" s="1">
        <v>64</v>
      </c>
    </row>
    <row r="300" spans="1:14" x14ac:dyDescent="0.25">
      <c r="A300" s="1">
        <v>299</v>
      </c>
      <c r="B300" s="2">
        <v>40556</v>
      </c>
      <c r="C300" s="1">
        <v>21</v>
      </c>
      <c r="D300" s="1" t="b">
        <v>0</v>
      </c>
      <c r="E300" s="1">
        <v>4</v>
      </c>
      <c r="F300" s="1">
        <v>1</v>
      </c>
      <c r="G300" s="1">
        <v>0.14000000000000001</v>
      </c>
      <c r="H300" s="1">
        <v>299</v>
      </c>
      <c r="I300" s="1">
        <v>0.1212</v>
      </c>
      <c r="J300" s="1">
        <v>0.46</v>
      </c>
      <c r="K300" s="1">
        <v>0.29849999999999999</v>
      </c>
      <c r="L300" s="1">
        <v>0</v>
      </c>
      <c r="M300" s="1">
        <v>40</v>
      </c>
      <c r="N300" s="1">
        <v>40</v>
      </c>
    </row>
    <row r="301" spans="1:14" x14ac:dyDescent="0.25">
      <c r="A301" s="1">
        <v>300</v>
      </c>
      <c r="B301" s="2">
        <v>40556</v>
      </c>
      <c r="C301" s="1">
        <v>22</v>
      </c>
      <c r="D301" s="1" t="b">
        <v>0</v>
      </c>
      <c r="E301" s="1">
        <v>4</v>
      </c>
      <c r="F301" s="1">
        <v>1</v>
      </c>
      <c r="G301" s="1">
        <v>0.14000000000000001</v>
      </c>
      <c r="H301" s="1">
        <v>300</v>
      </c>
      <c r="I301" s="1">
        <v>0.1212</v>
      </c>
      <c r="J301" s="1">
        <v>0.46</v>
      </c>
      <c r="K301" s="1">
        <v>0.32840000000000003</v>
      </c>
      <c r="L301" s="1">
        <v>0</v>
      </c>
      <c r="M301" s="1">
        <v>30</v>
      </c>
      <c r="N301" s="1">
        <v>30</v>
      </c>
    </row>
    <row r="302" spans="1:14" x14ac:dyDescent="0.25">
      <c r="A302" s="1">
        <v>301</v>
      </c>
      <c r="B302" s="2">
        <v>40556</v>
      </c>
      <c r="C302" s="1">
        <v>23</v>
      </c>
      <c r="D302" s="1" t="b">
        <v>0</v>
      </c>
      <c r="E302" s="1">
        <v>4</v>
      </c>
      <c r="F302" s="1">
        <v>1</v>
      </c>
      <c r="G302" s="1">
        <v>0.12</v>
      </c>
      <c r="H302" s="1">
        <v>301</v>
      </c>
      <c r="I302" s="1">
        <v>0.13639999999999999</v>
      </c>
      <c r="J302" s="1">
        <v>0.5</v>
      </c>
      <c r="K302" s="1">
        <v>0.19400000000000001</v>
      </c>
      <c r="L302" s="1">
        <v>1</v>
      </c>
      <c r="M302" s="1">
        <v>14</v>
      </c>
      <c r="N302" s="1">
        <v>15</v>
      </c>
    </row>
    <row r="303" spans="1:14" x14ac:dyDescent="0.25">
      <c r="A303" s="1">
        <v>302</v>
      </c>
      <c r="B303" s="2">
        <v>40557</v>
      </c>
      <c r="C303" s="1">
        <v>0</v>
      </c>
      <c r="D303" s="1" t="b">
        <v>0</v>
      </c>
      <c r="E303" s="1">
        <v>5</v>
      </c>
      <c r="F303" s="1">
        <v>1</v>
      </c>
      <c r="G303" s="1">
        <v>0.12</v>
      </c>
      <c r="H303" s="1">
        <v>302</v>
      </c>
      <c r="I303" s="1">
        <v>0.13639999999999999</v>
      </c>
      <c r="J303" s="1">
        <v>0.5</v>
      </c>
      <c r="K303" s="1">
        <v>0.19400000000000001</v>
      </c>
      <c r="L303" s="1">
        <v>0</v>
      </c>
      <c r="M303" s="1">
        <v>14</v>
      </c>
      <c r="N303" s="1">
        <v>14</v>
      </c>
    </row>
    <row r="304" spans="1:14" x14ac:dyDescent="0.25">
      <c r="A304" s="1">
        <v>303</v>
      </c>
      <c r="B304" s="2">
        <v>40557</v>
      </c>
      <c r="C304" s="1">
        <v>1</v>
      </c>
      <c r="D304" s="1" t="b">
        <v>0</v>
      </c>
      <c r="E304" s="1">
        <v>5</v>
      </c>
      <c r="F304" s="1">
        <v>1</v>
      </c>
      <c r="G304" s="1">
        <v>0.1</v>
      </c>
      <c r="H304" s="1">
        <v>303</v>
      </c>
      <c r="I304" s="1">
        <v>0.1212</v>
      </c>
      <c r="J304" s="1">
        <v>0.54</v>
      </c>
      <c r="K304" s="1">
        <v>0.16420000000000001</v>
      </c>
      <c r="L304" s="1">
        <v>0</v>
      </c>
      <c r="M304" s="1">
        <v>5</v>
      </c>
      <c r="N304" s="1">
        <v>5</v>
      </c>
    </row>
    <row r="305" spans="1:14" x14ac:dyDescent="0.25">
      <c r="A305" s="1">
        <v>304</v>
      </c>
      <c r="B305" s="2">
        <v>40557</v>
      </c>
      <c r="C305" s="1">
        <v>2</v>
      </c>
      <c r="D305" s="1" t="b">
        <v>0</v>
      </c>
      <c r="E305" s="1">
        <v>5</v>
      </c>
      <c r="F305" s="1">
        <v>1</v>
      </c>
      <c r="G305" s="1">
        <v>0.1</v>
      </c>
      <c r="H305" s="1">
        <v>304</v>
      </c>
      <c r="I305" s="1">
        <v>0.1212</v>
      </c>
      <c r="J305" s="1">
        <v>0.54</v>
      </c>
      <c r="K305" s="1">
        <v>0.1343</v>
      </c>
      <c r="L305" s="1">
        <v>0</v>
      </c>
      <c r="M305" s="1">
        <v>1</v>
      </c>
      <c r="N305" s="1">
        <v>1</v>
      </c>
    </row>
    <row r="306" spans="1:14" x14ac:dyDescent="0.25">
      <c r="A306" s="1">
        <v>305</v>
      </c>
      <c r="B306" s="2">
        <v>40557</v>
      </c>
      <c r="C306" s="1">
        <v>3</v>
      </c>
      <c r="D306" s="1" t="b">
        <v>0</v>
      </c>
      <c r="E306" s="1">
        <v>5</v>
      </c>
      <c r="F306" s="1">
        <v>1</v>
      </c>
      <c r="G306" s="1">
        <v>0.1</v>
      </c>
      <c r="H306" s="1">
        <v>305</v>
      </c>
      <c r="I306" s="1">
        <v>0.13639999999999999</v>
      </c>
      <c r="J306" s="1">
        <v>0.54</v>
      </c>
      <c r="K306" s="1">
        <v>0.1045</v>
      </c>
      <c r="L306" s="1">
        <v>0</v>
      </c>
      <c r="M306" s="1">
        <v>1</v>
      </c>
      <c r="N306" s="1">
        <v>1</v>
      </c>
    </row>
    <row r="307" spans="1:14" x14ac:dyDescent="0.25">
      <c r="A307" s="1">
        <v>306</v>
      </c>
      <c r="B307" s="2">
        <v>40557</v>
      </c>
      <c r="C307" s="1">
        <v>5</v>
      </c>
      <c r="D307" s="1" t="b">
        <v>0</v>
      </c>
      <c r="E307" s="1">
        <v>5</v>
      </c>
      <c r="F307" s="1">
        <v>1</v>
      </c>
      <c r="G307" s="1">
        <v>0.1</v>
      </c>
      <c r="H307" s="1">
        <v>306</v>
      </c>
      <c r="I307" s="1">
        <v>0.13639999999999999</v>
      </c>
      <c r="J307" s="1">
        <v>0.54</v>
      </c>
      <c r="K307" s="1">
        <v>8.9599999999999999E-2</v>
      </c>
      <c r="L307" s="1">
        <v>0</v>
      </c>
      <c r="M307" s="1">
        <v>8</v>
      </c>
      <c r="N307" s="1">
        <v>8</v>
      </c>
    </row>
    <row r="308" spans="1:14" x14ac:dyDescent="0.25">
      <c r="A308" s="1">
        <v>307</v>
      </c>
      <c r="B308" s="2">
        <v>40557</v>
      </c>
      <c r="C308" s="1">
        <v>6</v>
      </c>
      <c r="D308" s="1" t="b">
        <v>0</v>
      </c>
      <c r="E308" s="1">
        <v>5</v>
      </c>
      <c r="F308" s="1">
        <v>1</v>
      </c>
      <c r="G308" s="1">
        <v>0.1</v>
      </c>
      <c r="H308" s="1">
        <v>307</v>
      </c>
      <c r="I308" s="1">
        <v>0.18179999999999999</v>
      </c>
      <c r="J308" s="1">
        <v>0.54</v>
      </c>
      <c r="K308" s="1">
        <v>0</v>
      </c>
      <c r="L308" s="1">
        <v>0</v>
      </c>
      <c r="M308" s="1">
        <v>17</v>
      </c>
      <c r="N308" s="1">
        <v>17</v>
      </c>
    </row>
    <row r="309" spans="1:14" x14ac:dyDescent="0.25">
      <c r="A309" s="1">
        <v>308</v>
      </c>
      <c r="B309" s="2">
        <v>40557</v>
      </c>
      <c r="C309" s="1">
        <v>7</v>
      </c>
      <c r="D309" s="1" t="b">
        <v>0</v>
      </c>
      <c r="E309" s="1">
        <v>5</v>
      </c>
      <c r="F309" s="1">
        <v>1</v>
      </c>
      <c r="G309" s="1">
        <v>0.1</v>
      </c>
      <c r="H309" s="1">
        <v>308</v>
      </c>
      <c r="I309" s="1">
        <v>0.1212</v>
      </c>
      <c r="J309" s="1">
        <v>0.74</v>
      </c>
      <c r="K309" s="1">
        <v>0.16420000000000001</v>
      </c>
      <c r="L309" s="1">
        <v>0</v>
      </c>
      <c r="M309" s="1">
        <v>70</v>
      </c>
      <c r="N309" s="1">
        <v>70</v>
      </c>
    </row>
    <row r="310" spans="1:14" x14ac:dyDescent="0.25">
      <c r="A310" s="1">
        <v>309</v>
      </c>
      <c r="B310" s="2">
        <v>40557</v>
      </c>
      <c r="C310" s="1">
        <v>8</v>
      </c>
      <c r="D310" s="1" t="b">
        <v>0</v>
      </c>
      <c r="E310" s="1">
        <v>5</v>
      </c>
      <c r="F310" s="1">
        <v>1</v>
      </c>
      <c r="G310" s="1">
        <v>0.12</v>
      </c>
      <c r="H310" s="1">
        <v>309</v>
      </c>
      <c r="I310" s="1">
        <v>0.16669999999999999</v>
      </c>
      <c r="J310" s="1">
        <v>0.68</v>
      </c>
      <c r="K310" s="1">
        <v>0</v>
      </c>
      <c r="L310" s="1">
        <v>2</v>
      </c>
      <c r="M310" s="1">
        <v>156</v>
      </c>
      <c r="N310" s="1">
        <v>158</v>
      </c>
    </row>
    <row r="311" spans="1:14" x14ac:dyDescent="0.25">
      <c r="A311" s="1">
        <v>310</v>
      </c>
      <c r="B311" s="2">
        <v>40557</v>
      </c>
      <c r="C311" s="1">
        <v>9</v>
      </c>
      <c r="D311" s="1" t="b">
        <v>0</v>
      </c>
      <c r="E311" s="1">
        <v>5</v>
      </c>
      <c r="F311" s="1">
        <v>1</v>
      </c>
      <c r="G311" s="1">
        <v>0.14000000000000001</v>
      </c>
      <c r="H311" s="1">
        <v>310</v>
      </c>
      <c r="I311" s="1">
        <v>0.1515</v>
      </c>
      <c r="J311" s="1">
        <v>0.69</v>
      </c>
      <c r="K311" s="1">
        <v>0.1343</v>
      </c>
      <c r="L311" s="1">
        <v>0</v>
      </c>
      <c r="M311" s="1">
        <v>117</v>
      </c>
      <c r="N311" s="1">
        <v>117</v>
      </c>
    </row>
    <row r="312" spans="1:14" x14ac:dyDescent="0.25">
      <c r="A312" s="1">
        <v>311</v>
      </c>
      <c r="B312" s="2">
        <v>40557</v>
      </c>
      <c r="C312" s="1">
        <v>10</v>
      </c>
      <c r="D312" s="1" t="b">
        <v>0</v>
      </c>
      <c r="E312" s="1">
        <v>5</v>
      </c>
      <c r="F312" s="1">
        <v>1</v>
      </c>
      <c r="G312" s="1">
        <v>0.18</v>
      </c>
      <c r="H312" s="1">
        <v>311</v>
      </c>
      <c r="I312" s="1">
        <v>0.18179999999999999</v>
      </c>
      <c r="J312" s="1">
        <v>0.55000000000000004</v>
      </c>
      <c r="K312" s="1">
        <v>0.19400000000000001</v>
      </c>
      <c r="L312" s="1">
        <v>4</v>
      </c>
      <c r="M312" s="1">
        <v>40</v>
      </c>
      <c r="N312" s="1">
        <v>44</v>
      </c>
    </row>
    <row r="313" spans="1:14" x14ac:dyDescent="0.25">
      <c r="A313" s="1">
        <v>312</v>
      </c>
      <c r="B313" s="2">
        <v>40557</v>
      </c>
      <c r="C313" s="1">
        <v>11</v>
      </c>
      <c r="D313" s="1" t="b">
        <v>0</v>
      </c>
      <c r="E313" s="1">
        <v>5</v>
      </c>
      <c r="F313" s="1">
        <v>1</v>
      </c>
      <c r="G313" s="1">
        <v>0.18</v>
      </c>
      <c r="H313" s="1">
        <v>312</v>
      </c>
      <c r="I313" s="1">
        <v>0.16669999999999999</v>
      </c>
      <c r="J313" s="1">
        <v>0.51</v>
      </c>
      <c r="K313" s="1">
        <v>0.28360000000000002</v>
      </c>
      <c r="L313" s="1">
        <v>6</v>
      </c>
      <c r="M313" s="1">
        <v>47</v>
      </c>
      <c r="N313" s="1">
        <v>53</v>
      </c>
    </row>
    <row r="314" spans="1:14" x14ac:dyDescent="0.25">
      <c r="A314" s="1">
        <v>313</v>
      </c>
      <c r="B314" s="2">
        <v>40557</v>
      </c>
      <c r="C314" s="1">
        <v>12</v>
      </c>
      <c r="D314" s="1" t="b">
        <v>0</v>
      </c>
      <c r="E314" s="1">
        <v>5</v>
      </c>
      <c r="F314" s="1">
        <v>1</v>
      </c>
      <c r="G314" s="1">
        <v>0.2</v>
      </c>
      <c r="H314" s="1">
        <v>313</v>
      </c>
      <c r="I314" s="1">
        <v>0.19700000000000001</v>
      </c>
      <c r="J314" s="1">
        <v>0.44</v>
      </c>
      <c r="K314" s="1">
        <v>0.25369999999999998</v>
      </c>
      <c r="L314" s="1">
        <v>2</v>
      </c>
      <c r="M314" s="1">
        <v>59</v>
      </c>
      <c r="N314" s="1">
        <v>61</v>
      </c>
    </row>
    <row r="315" spans="1:14" x14ac:dyDescent="0.25">
      <c r="A315" s="1">
        <v>314</v>
      </c>
      <c r="B315" s="2">
        <v>40557</v>
      </c>
      <c r="C315" s="1">
        <v>13</v>
      </c>
      <c r="D315" s="1" t="b">
        <v>0</v>
      </c>
      <c r="E315" s="1">
        <v>5</v>
      </c>
      <c r="F315" s="1">
        <v>1</v>
      </c>
      <c r="G315" s="1">
        <v>0.22</v>
      </c>
      <c r="H315" s="1">
        <v>314</v>
      </c>
      <c r="I315" s="1">
        <v>0.19700000000000001</v>
      </c>
      <c r="J315" s="1">
        <v>0.37</v>
      </c>
      <c r="K315" s="1">
        <v>0.3881</v>
      </c>
      <c r="L315" s="1">
        <v>4</v>
      </c>
      <c r="M315" s="1">
        <v>73</v>
      </c>
      <c r="N315" s="1">
        <v>77</v>
      </c>
    </row>
    <row r="316" spans="1:14" x14ac:dyDescent="0.25">
      <c r="A316" s="1">
        <v>315</v>
      </c>
      <c r="B316" s="2">
        <v>40557</v>
      </c>
      <c r="C316" s="1">
        <v>14</v>
      </c>
      <c r="D316" s="1" t="b">
        <v>0</v>
      </c>
      <c r="E316" s="1">
        <v>5</v>
      </c>
      <c r="F316" s="1">
        <v>1</v>
      </c>
      <c r="G316" s="1">
        <v>0.22</v>
      </c>
      <c r="H316" s="1">
        <v>315</v>
      </c>
      <c r="I316" s="1">
        <v>0.21210000000000001</v>
      </c>
      <c r="J316" s="1">
        <v>0.41</v>
      </c>
      <c r="K316" s="1">
        <v>0.28360000000000002</v>
      </c>
      <c r="L316" s="1">
        <v>5</v>
      </c>
      <c r="M316" s="1">
        <v>59</v>
      </c>
      <c r="N316" s="1">
        <v>64</v>
      </c>
    </row>
    <row r="317" spans="1:14" x14ac:dyDescent="0.25">
      <c r="A317" s="1">
        <v>316</v>
      </c>
      <c r="B317" s="2">
        <v>40557</v>
      </c>
      <c r="C317" s="1">
        <v>15</v>
      </c>
      <c r="D317" s="1" t="b">
        <v>0</v>
      </c>
      <c r="E317" s="1">
        <v>5</v>
      </c>
      <c r="F317" s="1">
        <v>1</v>
      </c>
      <c r="G317" s="1">
        <v>0.24</v>
      </c>
      <c r="H317" s="1">
        <v>316</v>
      </c>
      <c r="I317" s="1">
        <v>0.2424</v>
      </c>
      <c r="J317" s="1">
        <v>0.38</v>
      </c>
      <c r="K317" s="1">
        <v>0.16420000000000001</v>
      </c>
      <c r="L317" s="1">
        <v>9</v>
      </c>
      <c r="M317" s="1">
        <v>59</v>
      </c>
      <c r="N317" s="1">
        <v>68</v>
      </c>
    </row>
    <row r="318" spans="1:14" x14ac:dyDescent="0.25">
      <c r="A318" s="1">
        <v>317</v>
      </c>
      <c r="B318" s="2">
        <v>40557</v>
      </c>
      <c r="C318" s="1">
        <v>16</v>
      </c>
      <c r="D318" s="1" t="b">
        <v>0</v>
      </c>
      <c r="E318" s="1">
        <v>5</v>
      </c>
      <c r="F318" s="1">
        <v>1</v>
      </c>
      <c r="G318" s="1">
        <v>0.22</v>
      </c>
      <c r="H318" s="1">
        <v>317</v>
      </c>
      <c r="I318" s="1">
        <v>0.2424</v>
      </c>
      <c r="J318" s="1">
        <v>0.41</v>
      </c>
      <c r="K318" s="1">
        <v>0.1045</v>
      </c>
      <c r="L318" s="1">
        <v>3</v>
      </c>
      <c r="M318" s="1">
        <v>87</v>
      </c>
      <c r="N318" s="1">
        <v>90</v>
      </c>
    </row>
    <row r="319" spans="1:14" x14ac:dyDescent="0.25">
      <c r="A319" s="1">
        <v>318</v>
      </c>
      <c r="B319" s="2">
        <v>40557</v>
      </c>
      <c r="C319" s="1">
        <v>17</v>
      </c>
      <c r="D319" s="1" t="b">
        <v>0</v>
      </c>
      <c r="E319" s="1">
        <v>5</v>
      </c>
      <c r="F319" s="1">
        <v>1</v>
      </c>
      <c r="G319" s="1">
        <v>0.22</v>
      </c>
      <c r="H319" s="1">
        <v>318</v>
      </c>
      <c r="I319" s="1">
        <v>0.2273</v>
      </c>
      <c r="J319" s="1">
        <v>0.41</v>
      </c>
      <c r="K319" s="1">
        <v>0.16420000000000001</v>
      </c>
      <c r="L319" s="1">
        <v>4</v>
      </c>
      <c r="M319" s="1">
        <v>155</v>
      </c>
      <c r="N319" s="1">
        <v>159</v>
      </c>
    </row>
    <row r="320" spans="1:14" x14ac:dyDescent="0.25">
      <c r="A320" s="1">
        <v>319</v>
      </c>
      <c r="B320" s="2">
        <v>40557</v>
      </c>
      <c r="C320" s="1">
        <v>18</v>
      </c>
      <c r="D320" s="1" t="b">
        <v>0</v>
      </c>
      <c r="E320" s="1">
        <v>5</v>
      </c>
      <c r="F320" s="1">
        <v>1</v>
      </c>
      <c r="G320" s="1">
        <v>0.2</v>
      </c>
      <c r="H320" s="1">
        <v>319</v>
      </c>
      <c r="I320" s="1">
        <v>0.2576</v>
      </c>
      <c r="J320" s="1">
        <v>0.47</v>
      </c>
      <c r="K320" s="1">
        <v>0</v>
      </c>
      <c r="L320" s="1">
        <v>5</v>
      </c>
      <c r="M320" s="1">
        <v>134</v>
      </c>
      <c r="N320" s="1">
        <v>139</v>
      </c>
    </row>
    <row r="321" spans="1:14" x14ac:dyDescent="0.25">
      <c r="A321" s="1">
        <v>320</v>
      </c>
      <c r="B321" s="2">
        <v>40557</v>
      </c>
      <c r="C321" s="1">
        <v>19</v>
      </c>
      <c r="D321" s="1" t="b">
        <v>0</v>
      </c>
      <c r="E321" s="1">
        <v>5</v>
      </c>
      <c r="F321" s="1">
        <v>1</v>
      </c>
      <c r="G321" s="1">
        <v>0.16</v>
      </c>
      <c r="H321" s="1">
        <v>320</v>
      </c>
      <c r="I321" s="1">
        <v>0.19700000000000001</v>
      </c>
      <c r="J321" s="1">
        <v>0.59</v>
      </c>
      <c r="K321" s="1">
        <v>8.9599999999999999E-2</v>
      </c>
      <c r="L321" s="1">
        <v>3</v>
      </c>
      <c r="M321" s="1">
        <v>89</v>
      </c>
      <c r="N321" s="1">
        <v>92</v>
      </c>
    </row>
    <row r="322" spans="1:14" x14ac:dyDescent="0.25">
      <c r="A322" s="1">
        <v>321</v>
      </c>
      <c r="B322" s="2">
        <v>40557</v>
      </c>
      <c r="C322" s="1">
        <v>20</v>
      </c>
      <c r="D322" s="1" t="b">
        <v>0</v>
      </c>
      <c r="E322" s="1">
        <v>5</v>
      </c>
      <c r="F322" s="1">
        <v>1</v>
      </c>
      <c r="G322" s="1">
        <v>0.18</v>
      </c>
      <c r="H322" s="1">
        <v>321</v>
      </c>
      <c r="I322" s="1">
        <v>0.2424</v>
      </c>
      <c r="J322" s="1">
        <v>0.59</v>
      </c>
      <c r="K322" s="1">
        <v>0</v>
      </c>
      <c r="L322" s="1">
        <v>0</v>
      </c>
      <c r="M322" s="1">
        <v>68</v>
      </c>
      <c r="N322" s="1">
        <v>68</v>
      </c>
    </row>
    <row r="323" spans="1:14" x14ac:dyDescent="0.25">
      <c r="A323" s="1">
        <v>322</v>
      </c>
      <c r="B323" s="2">
        <v>40557</v>
      </c>
      <c r="C323" s="1">
        <v>21</v>
      </c>
      <c r="D323" s="1" t="b">
        <v>0</v>
      </c>
      <c r="E323" s="1">
        <v>5</v>
      </c>
      <c r="F323" s="1">
        <v>1</v>
      </c>
      <c r="G323" s="1">
        <v>0.16</v>
      </c>
      <c r="H323" s="1">
        <v>322</v>
      </c>
      <c r="I323" s="1">
        <v>0.2273</v>
      </c>
      <c r="J323" s="1">
        <v>0.69</v>
      </c>
      <c r="K323" s="1">
        <v>0</v>
      </c>
      <c r="L323" s="1">
        <v>4</v>
      </c>
      <c r="M323" s="1">
        <v>48</v>
      </c>
      <c r="N323" s="1">
        <v>52</v>
      </c>
    </row>
    <row r="324" spans="1:14" x14ac:dyDescent="0.25">
      <c r="A324" s="1">
        <v>323</v>
      </c>
      <c r="B324" s="2">
        <v>40557</v>
      </c>
      <c r="C324" s="1">
        <v>22</v>
      </c>
      <c r="D324" s="1" t="b">
        <v>0</v>
      </c>
      <c r="E324" s="1">
        <v>5</v>
      </c>
      <c r="F324" s="1">
        <v>2</v>
      </c>
      <c r="G324" s="1">
        <v>0.16</v>
      </c>
      <c r="H324" s="1">
        <v>323</v>
      </c>
      <c r="I324" s="1">
        <v>0.2273</v>
      </c>
      <c r="J324" s="1">
        <v>0.69</v>
      </c>
      <c r="K324" s="1">
        <v>0</v>
      </c>
      <c r="L324" s="1">
        <v>2</v>
      </c>
      <c r="M324" s="1">
        <v>34</v>
      </c>
      <c r="N324" s="1">
        <v>36</v>
      </c>
    </row>
    <row r="325" spans="1:14" x14ac:dyDescent="0.25">
      <c r="A325" s="1">
        <v>324</v>
      </c>
      <c r="B325" s="2">
        <v>40557</v>
      </c>
      <c r="C325" s="1">
        <v>23</v>
      </c>
      <c r="D325" s="1" t="b">
        <v>0</v>
      </c>
      <c r="E325" s="1">
        <v>5</v>
      </c>
      <c r="F325" s="1">
        <v>2</v>
      </c>
      <c r="G325" s="1">
        <v>0.18</v>
      </c>
      <c r="H325" s="1">
        <v>324</v>
      </c>
      <c r="I325" s="1">
        <v>0.2424</v>
      </c>
      <c r="J325" s="1">
        <v>0.55000000000000004</v>
      </c>
      <c r="K325" s="1">
        <v>0</v>
      </c>
      <c r="L325" s="1">
        <v>1</v>
      </c>
      <c r="M325" s="1">
        <v>26</v>
      </c>
      <c r="N325" s="1">
        <v>27</v>
      </c>
    </row>
    <row r="326" spans="1:14" x14ac:dyDescent="0.25">
      <c r="A326" s="1">
        <v>325</v>
      </c>
      <c r="B326" s="2">
        <v>40558</v>
      </c>
      <c r="C326" s="1">
        <v>0</v>
      </c>
      <c r="D326" s="1" t="b">
        <v>0</v>
      </c>
      <c r="E326" s="1">
        <v>6</v>
      </c>
      <c r="F326" s="1">
        <v>1</v>
      </c>
      <c r="G326" s="1">
        <v>0.18</v>
      </c>
      <c r="H326" s="1">
        <v>325</v>
      </c>
      <c r="I326" s="1">
        <v>0.2424</v>
      </c>
      <c r="J326" s="1">
        <v>0.55000000000000004</v>
      </c>
      <c r="K326" s="1">
        <v>0</v>
      </c>
      <c r="L326" s="1">
        <v>3</v>
      </c>
      <c r="M326" s="1">
        <v>25</v>
      </c>
      <c r="N326" s="1">
        <v>28</v>
      </c>
    </row>
    <row r="327" spans="1:14" x14ac:dyDescent="0.25">
      <c r="A327" s="1">
        <v>326</v>
      </c>
      <c r="B327" s="2">
        <v>40558</v>
      </c>
      <c r="C327" s="1">
        <v>1</v>
      </c>
      <c r="D327" s="1" t="b">
        <v>0</v>
      </c>
      <c r="E327" s="1">
        <v>6</v>
      </c>
      <c r="F327" s="1">
        <v>2</v>
      </c>
      <c r="G327" s="1">
        <v>0.16</v>
      </c>
      <c r="H327" s="1">
        <v>326</v>
      </c>
      <c r="I327" s="1">
        <v>0.19700000000000001</v>
      </c>
      <c r="J327" s="1">
        <v>0.59</v>
      </c>
      <c r="K327" s="1">
        <v>8.9599999999999999E-2</v>
      </c>
      <c r="L327" s="1">
        <v>2</v>
      </c>
      <c r="M327" s="1">
        <v>18</v>
      </c>
      <c r="N327" s="1">
        <v>20</v>
      </c>
    </row>
    <row r="328" spans="1:14" x14ac:dyDescent="0.25">
      <c r="A328" s="1">
        <v>327</v>
      </c>
      <c r="B328" s="2">
        <v>40558</v>
      </c>
      <c r="C328" s="1">
        <v>2</v>
      </c>
      <c r="D328" s="1" t="b">
        <v>0</v>
      </c>
      <c r="E328" s="1">
        <v>6</v>
      </c>
      <c r="F328" s="1">
        <v>2</v>
      </c>
      <c r="G328" s="1">
        <v>0.16</v>
      </c>
      <c r="H328" s="1">
        <v>327</v>
      </c>
      <c r="I328" s="1">
        <v>0.19700000000000001</v>
      </c>
      <c r="J328" s="1">
        <v>0.59</v>
      </c>
      <c r="K328" s="1">
        <v>8.9599999999999999E-2</v>
      </c>
      <c r="L328" s="1">
        <v>0</v>
      </c>
      <c r="M328" s="1">
        <v>12</v>
      </c>
      <c r="N328" s="1">
        <v>12</v>
      </c>
    </row>
    <row r="329" spans="1:14" x14ac:dyDescent="0.25">
      <c r="A329" s="1">
        <v>328</v>
      </c>
      <c r="B329" s="2">
        <v>40558</v>
      </c>
      <c r="C329" s="1">
        <v>3</v>
      </c>
      <c r="D329" s="1" t="b">
        <v>0</v>
      </c>
      <c r="E329" s="1">
        <v>6</v>
      </c>
      <c r="F329" s="1">
        <v>2</v>
      </c>
      <c r="G329" s="1">
        <v>0.16</v>
      </c>
      <c r="H329" s="1">
        <v>328</v>
      </c>
      <c r="I329" s="1">
        <v>0.2273</v>
      </c>
      <c r="J329" s="1">
        <v>0.59</v>
      </c>
      <c r="K329" s="1">
        <v>0</v>
      </c>
      <c r="L329" s="1">
        <v>1</v>
      </c>
      <c r="M329" s="1">
        <v>7</v>
      </c>
      <c r="N329" s="1">
        <v>8</v>
      </c>
    </row>
    <row r="330" spans="1:14" x14ac:dyDescent="0.25">
      <c r="A330" s="1">
        <v>329</v>
      </c>
      <c r="B330" s="2">
        <v>40558</v>
      </c>
      <c r="C330" s="1">
        <v>4</v>
      </c>
      <c r="D330" s="1" t="b">
        <v>0</v>
      </c>
      <c r="E330" s="1">
        <v>6</v>
      </c>
      <c r="F330" s="1">
        <v>2</v>
      </c>
      <c r="G330" s="1">
        <v>0.16</v>
      </c>
      <c r="H330" s="1">
        <v>329</v>
      </c>
      <c r="I330" s="1">
        <v>0.2273</v>
      </c>
      <c r="J330" s="1">
        <v>0.59</v>
      </c>
      <c r="K330" s="1">
        <v>0</v>
      </c>
      <c r="L330" s="1">
        <v>0</v>
      </c>
      <c r="M330" s="1">
        <v>5</v>
      </c>
      <c r="N330" s="1">
        <v>5</v>
      </c>
    </row>
    <row r="331" spans="1:14" x14ac:dyDescent="0.25">
      <c r="A331" s="1">
        <v>330</v>
      </c>
      <c r="B331" s="2">
        <v>40558</v>
      </c>
      <c r="C331" s="1">
        <v>5</v>
      </c>
      <c r="D331" s="1" t="b">
        <v>0</v>
      </c>
      <c r="E331" s="1">
        <v>6</v>
      </c>
      <c r="F331" s="1">
        <v>1</v>
      </c>
      <c r="G331" s="1">
        <v>0.16</v>
      </c>
      <c r="H331" s="1">
        <v>330</v>
      </c>
      <c r="I331" s="1">
        <v>0.2273</v>
      </c>
      <c r="J331" s="1">
        <v>0.59</v>
      </c>
      <c r="K331" s="1">
        <v>0</v>
      </c>
      <c r="L331" s="1">
        <v>0</v>
      </c>
      <c r="M331" s="1">
        <v>1</v>
      </c>
      <c r="N331" s="1">
        <v>1</v>
      </c>
    </row>
    <row r="332" spans="1:14" x14ac:dyDescent="0.25">
      <c r="A332" s="1">
        <v>331</v>
      </c>
      <c r="B332" s="2">
        <v>40558</v>
      </c>
      <c r="C332" s="1">
        <v>6</v>
      </c>
      <c r="D332" s="1" t="b">
        <v>0</v>
      </c>
      <c r="E332" s="1">
        <v>6</v>
      </c>
      <c r="F332" s="1">
        <v>1</v>
      </c>
      <c r="G332" s="1">
        <v>0.14000000000000001</v>
      </c>
      <c r="H332" s="1">
        <v>331</v>
      </c>
      <c r="I332" s="1">
        <v>0.16669999999999999</v>
      </c>
      <c r="J332" s="1">
        <v>0.63</v>
      </c>
      <c r="K332" s="1">
        <v>0.1045</v>
      </c>
      <c r="L332" s="1">
        <v>1</v>
      </c>
      <c r="M332" s="1">
        <v>2</v>
      </c>
      <c r="N332" s="1">
        <v>3</v>
      </c>
    </row>
    <row r="333" spans="1:14" x14ac:dyDescent="0.25">
      <c r="A333" s="1">
        <v>332</v>
      </c>
      <c r="B333" s="2">
        <v>40558</v>
      </c>
      <c r="C333" s="1">
        <v>7</v>
      </c>
      <c r="D333" s="1" t="b">
        <v>0</v>
      </c>
      <c r="E333" s="1">
        <v>6</v>
      </c>
      <c r="F333" s="1">
        <v>1</v>
      </c>
      <c r="G333" s="1">
        <v>0.14000000000000001</v>
      </c>
      <c r="H333" s="1">
        <v>332</v>
      </c>
      <c r="I333" s="1">
        <v>0.21210000000000001</v>
      </c>
      <c r="J333" s="1">
        <v>0.63</v>
      </c>
      <c r="K333" s="1">
        <v>0</v>
      </c>
      <c r="L333" s="1">
        <v>1</v>
      </c>
      <c r="M333" s="1">
        <v>9</v>
      </c>
      <c r="N333" s="1">
        <v>10</v>
      </c>
    </row>
    <row r="334" spans="1:14" x14ac:dyDescent="0.25">
      <c r="A334" s="1">
        <v>333</v>
      </c>
      <c r="B334" s="2">
        <v>40558</v>
      </c>
      <c r="C334" s="1">
        <v>8</v>
      </c>
      <c r="D334" s="1" t="b">
        <v>0</v>
      </c>
      <c r="E334" s="1">
        <v>6</v>
      </c>
      <c r="F334" s="1">
        <v>1</v>
      </c>
      <c r="G334" s="1">
        <v>0.14000000000000001</v>
      </c>
      <c r="H334" s="1">
        <v>333</v>
      </c>
      <c r="I334" s="1">
        <v>0.1515</v>
      </c>
      <c r="J334" s="1">
        <v>0.63</v>
      </c>
      <c r="K334" s="1">
        <v>0.1343</v>
      </c>
      <c r="L334" s="1">
        <v>1</v>
      </c>
      <c r="M334" s="1">
        <v>22</v>
      </c>
      <c r="N334" s="1">
        <v>23</v>
      </c>
    </row>
    <row r="335" spans="1:14" x14ac:dyDescent="0.25">
      <c r="A335" s="1">
        <v>334</v>
      </c>
      <c r="B335" s="2">
        <v>40558</v>
      </c>
      <c r="C335" s="1">
        <v>9</v>
      </c>
      <c r="D335" s="1" t="b">
        <v>0</v>
      </c>
      <c r="E335" s="1">
        <v>6</v>
      </c>
      <c r="F335" s="1">
        <v>1</v>
      </c>
      <c r="G335" s="1">
        <v>0.16</v>
      </c>
      <c r="H335" s="1">
        <v>334</v>
      </c>
      <c r="I335" s="1">
        <v>0.18179999999999999</v>
      </c>
      <c r="J335" s="1">
        <v>0.64</v>
      </c>
      <c r="K335" s="1">
        <v>0.1343</v>
      </c>
      <c r="L335" s="1">
        <v>2</v>
      </c>
      <c r="M335" s="1">
        <v>31</v>
      </c>
      <c r="N335" s="1">
        <v>33</v>
      </c>
    </row>
    <row r="336" spans="1:14" x14ac:dyDescent="0.25">
      <c r="A336" s="1">
        <v>335</v>
      </c>
      <c r="B336" s="2">
        <v>40558</v>
      </c>
      <c r="C336" s="1">
        <v>10</v>
      </c>
      <c r="D336" s="1" t="b">
        <v>0</v>
      </c>
      <c r="E336" s="1">
        <v>6</v>
      </c>
      <c r="F336" s="1">
        <v>1</v>
      </c>
      <c r="G336" s="1">
        <v>0.18</v>
      </c>
      <c r="H336" s="1">
        <v>335</v>
      </c>
      <c r="I336" s="1">
        <v>0.19700000000000001</v>
      </c>
      <c r="J336" s="1">
        <v>0.59</v>
      </c>
      <c r="K336" s="1">
        <v>0.16420000000000001</v>
      </c>
      <c r="L336" s="1">
        <v>2</v>
      </c>
      <c r="M336" s="1">
        <v>57</v>
      </c>
      <c r="N336" s="1">
        <v>59</v>
      </c>
    </row>
    <row r="337" spans="1:14" x14ac:dyDescent="0.25">
      <c r="A337" s="1">
        <v>336</v>
      </c>
      <c r="B337" s="2">
        <v>40558</v>
      </c>
      <c r="C337" s="1">
        <v>11</v>
      </c>
      <c r="D337" s="1" t="b">
        <v>0</v>
      </c>
      <c r="E337" s="1">
        <v>6</v>
      </c>
      <c r="F337" s="1">
        <v>1</v>
      </c>
      <c r="G337" s="1">
        <v>0.2</v>
      </c>
      <c r="H337" s="1">
        <v>336</v>
      </c>
      <c r="I337" s="1">
        <v>0.19700000000000001</v>
      </c>
      <c r="J337" s="1">
        <v>0.55000000000000004</v>
      </c>
      <c r="K337" s="1">
        <v>0.22389999999999999</v>
      </c>
      <c r="L337" s="1">
        <v>18</v>
      </c>
      <c r="M337" s="1">
        <v>54</v>
      </c>
      <c r="N337" s="1">
        <v>72</v>
      </c>
    </row>
    <row r="338" spans="1:14" x14ac:dyDescent="0.25">
      <c r="A338" s="1">
        <v>337</v>
      </c>
      <c r="B338" s="2">
        <v>40558</v>
      </c>
      <c r="C338" s="1">
        <v>12</v>
      </c>
      <c r="D338" s="1" t="b">
        <v>0</v>
      </c>
      <c r="E338" s="1">
        <v>6</v>
      </c>
      <c r="F338" s="1">
        <v>1</v>
      </c>
      <c r="G338" s="1">
        <v>0.24</v>
      </c>
      <c r="H338" s="1">
        <v>337</v>
      </c>
      <c r="I338" s="1">
        <v>0.2273</v>
      </c>
      <c r="J338" s="1">
        <v>0.48</v>
      </c>
      <c r="K338" s="1">
        <v>0.22389999999999999</v>
      </c>
      <c r="L338" s="1">
        <v>15</v>
      </c>
      <c r="M338" s="1">
        <v>74</v>
      </c>
      <c r="N338" s="1">
        <v>89</v>
      </c>
    </row>
    <row r="339" spans="1:14" x14ac:dyDescent="0.25">
      <c r="A339" s="1">
        <v>338</v>
      </c>
      <c r="B339" s="2">
        <v>40558</v>
      </c>
      <c r="C339" s="1">
        <v>13</v>
      </c>
      <c r="D339" s="1" t="b">
        <v>0</v>
      </c>
      <c r="E339" s="1">
        <v>6</v>
      </c>
      <c r="F339" s="1">
        <v>1</v>
      </c>
      <c r="G339" s="1">
        <v>0.28000000000000003</v>
      </c>
      <c r="H339" s="1">
        <v>338</v>
      </c>
      <c r="I339" s="1">
        <v>0.2576</v>
      </c>
      <c r="J339" s="1">
        <v>0.38</v>
      </c>
      <c r="K339" s="1">
        <v>0.29849999999999999</v>
      </c>
      <c r="L339" s="1">
        <v>21</v>
      </c>
      <c r="M339" s="1">
        <v>80</v>
      </c>
      <c r="N339" s="1">
        <v>101</v>
      </c>
    </row>
    <row r="340" spans="1:14" x14ac:dyDescent="0.25">
      <c r="A340" s="1">
        <v>339</v>
      </c>
      <c r="B340" s="2">
        <v>40558</v>
      </c>
      <c r="C340" s="1">
        <v>14</v>
      </c>
      <c r="D340" s="1" t="b">
        <v>0</v>
      </c>
      <c r="E340" s="1">
        <v>6</v>
      </c>
      <c r="F340" s="1">
        <v>1</v>
      </c>
      <c r="G340" s="1">
        <v>0.3</v>
      </c>
      <c r="H340" s="1">
        <v>339</v>
      </c>
      <c r="I340" s="1">
        <v>0.28789999999999999</v>
      </c>
      <c r="J340" s="1">
        <v>0.39</v>
      </c>
      <c r="K340" s="1">
        <v>0.28360000000000002</v>
      </c>
      <c r="L340" s="1">
        <v>26</v>
      </c>
      <c r="M340" s="1">
        <v>92</v>
      </c>
      <c r="N340" s="1">
        <v>118</v>
      </c>
    </row>
    <row r="341" spans="1:14" x14ac:dyDescent="0.25">
      <c r="A341" s="1">
        <v>340</v>
      </c>
      <c r="B341" s="2">
        <v>40558</v>
      </c>
      <c r="C341" s="1">
        <v>15</v>
      </c>
      <c r="D341" s="1" t="b">
        <v>0</v>
      </c>
      <c r="E341" s="1">
        <v>6</v>
      </c>
      <c r="F341" s="1">
        <v>2</v>
      </c>
      <c r="G341" s="1">
        <v>0.32</v>
      </c>
      <c r="H341" s="1">
        <v>340</v>
      </c>
      <c r="I341" s="1">
        <v>0.31819999999999998</v>
      </c>
      <c r="J341" s="1">
        <v>0.36</v>
      </c>
      <c r="K341" s="1">
        <v>0.19400000000000001</v>
      </c>
      <c r="L341" s="1">
        <v>21</v>
      </c>
      <c r="M341" s="1">
        <v>108</v>
      </c>
      <c r="N341" s="1">
        <v>129</v>
      </c>
    </row>
    <row r="342" spans="1:14" x14ac:dyDescent="0.25">
      <c r="A342" s="1">
        <v>341</v>
      </c>
      <c r="B342" s="2">
        <v>40558</v>
      </c>
      <c r="C342" s="1">
        <v>16</v>
      </c>
      <c r="D342" s="1" t="b">
        <v>0</v>
      </c>
      <c r="E342" s="1">
        <v>6</v>
      </c>
      <c r="F342" s="1">
        <v>2</v>
      </c>
      <c r="G342" s="1">
        <v>0.34</v>
      </c>
      <c r="H342" s="1">
        <v>341</v>
      </c>
      <c r="I342" s="1">
        <v>0.33329999999999999</v>
      </c>
      <c r="J342" s="1">
        <v>0.34</v>
      </c>
      <c r="K342" s="1">
        <v>0.19400000000000001</v>
      </c>
      <c r="L342" s="1">
        <v>33</v>
      </c>
      <c r="M342" s="1">
        <v>95</v>
      </c>
      <c r="N342" s="1">
        <v>128</v>
      </c>
    </row>
    <row r="343" spans="1:14" x14ac:dyDescent="0.25">
      <c r="A343" s="1">
        <v>342</v>
      </c>
      <c r="B343" s="2">
        <v>40558</v>
      </c>
      <c r="C343" s="1">
        <v>17</v>
      </c>
      <c r="D343" s="1" t="b">
        <v>0</v>
      </c>
      <c r="E343" s="1">
        <v>6</v>
      </c>
      <c r="F343" s="1">
        <v>2</v>
      </c>
      <c r="G343" s="1">
        <v>0.32</v>
      </c>
      <c r="H343" s="1">
        <v>342</v>
      </c>
      <c r="I343" s="1">
        <v>0.30299999999999999</v>
      </c>
      <c r="J343" s="1">
        <v>0.36</v>
      </c>
      <c r="K343" s="1">
        <v>0.28360000000000002</v>
      </c>
      <c r="L343" s="1">
        <v>29</v>
      </c>
      <c r="M343" s="1">
        <v>54</v>
      </c>
      <c r="N343" s="1">
        <v>83</v>
      </c>
    </row>
    <row r="344" spans="1:14" x14ac:dyDescent="0.25">
      <c r="A344" s="1">
        <v>343</v>
      </c>
      <c r="B344" s="2">
        <v>40558</v>
      </c>
      <c r="C344" s="1">
        <v>18</v>
      </c>
      <c r="D344" s="1" t="b">
        <v>0</v>
      </c>
      <c r="E344" s="1">
        <v>6</v>
      </c>
      <c r="F344" s="1">
        <v>2</v>
      </c>
      <c r="G344" s="1">
        <v>0.3</v>
      </c>
      <c r="H344" s="1">
        <v>343</v>
      </c>
      <c r="I344" s="1">
        <v>0.28789999999999999</v>
      </c>
      <c r="J344" s="1">
        <v>0.45</v>
      </c>
      <c r="K344" s="1">
        <v>0.25369999999999998</v>
      </c>
      <c r="L344" s="1">
        <v>15</v>
      </c>
      <c r="M344" s="1">
        <v>69</v>
      </c>
      <c r="N344" s="1">
        <v>84</v>
      </c>
    </row>
    <row r="345" spans="1:14" x14ac:dyDescent="0.25">
      <c r="A345" s="1">
        <v>344</v>
      </c>
      <c r="B345" s="2">
        <v>40558</v>
      </c>
      <c r="C345" s="1">
        <v>19</v>
      </c>
      <c r="D345" s="1" t="b">
        <v>0</v>
      </c>
      <c r="E345" s="1">
        <v>6</v>
      </c>
      <c r="F345" s="1">
        <v>2</v>
      </c>
      <c r="G345" s="1">
        <v>0.32</v>
      </c>
      <c r="H345" s="1">
        <v>344</v>
      </c>
      <c r="I345" s="1">
        <v>0.30299999999999999</v>
      </c>
      <c r="J345" s="1">
        <v>0.39</v>
      </c>
      <c r="K345" s="1">
        <v>0.25369999999999998</v>
      </c>
      <c r="L345" s="1">
        <v>14</v>
      </c>
      <c r="M345" s="1">
        <v>60</v>
      </c>
      <c r="N345" s="1">
        <v>74</v>
      </c>
    </row>
    <row r="346" spans="1:14" x14ac:dyDescent="0.25">
      <c r="A346" s="1">
        <v>345</v>
      </c>
      <c r="B346" s="2">
        <v>40558</v>
      </c>
      <c r="C346" s="1">
        <v>20</v>
      </c>
      <c r="D346" s="1" t="b">
        <v>0</v>
      </c>
      <c r="E346" s="1">
        <v>6</v>
      </c>
      <c r="F346" s="1">
        <v>2</v>
      </c>
      <c r="G346" s="1">
        <v>0.32</v>
      </c>
      <c r="H346" s="1">
        <v>345</v>
      </c>
      <c r="I346" s="1">
        <v>0.30299999999999999</v>
      </c>
      <c r="J346" s="1">
        <v>0.39</v>
      </c>
      <c r="K346" s="1">
        <v>0.25369999999999998</v>
      </c>
      <c r="L346" s="1">
        <v>6</v>
      </c>
      <c r="M346" s="1">
        <v>35</v>
      </c>
      <c r="N346" s="1">
        <v>41</v>
      </c>
    </row>
    <row r="347" spans="1:14" x14ac:dyDescent="0.25">
      <c r="A347" s="1">
        <v>346</v>
      </c>
      <c r="B347" s="2">
        <v>40558</v>
      </c>
      <c r="C347" s="1">
        <v>21</v>
      </c>
      <c r="D347" s="1" t="b">
        <v>0</v>
      </c>
      <c r="E347" s="1">
        <v>6</v>
      </c>
      <c r="F347" s="1">
        <v>2</v>
      </c>
      <c r="G347" s="1">
        <v>0.32</v>
      </c>
      <c r="H347" s="1">
        <v>346</v>
      </c>
      <c r="I347" s="1">
        <v>0.30299999999999999</v>
      </c>
      <c r="J347" s="1">
        <v>0.39</v>
      </c>
      <c r="K347" s="1">
        <v>0.22389999999999999</v>
      </c>
      <c r="L347" s="1">
        <v>6</v>
      </c>
      <c r="M347" s="1">
        <v>51</v>
      </c>
      <c r="N347" s="1">
        <v>57</v>
      </c>
    </row>
    <row r="348" spans="1:14" x14ac:dyDescent="0.25">
      <c r="A348" s="1">
        <v>347</v>
      </c>
      <c r="B348" s="2">
        <v>40558</v>
      </c>
      <c r="C348" s="1">
        <v>22</v>
      </c>
      <c r="D348" s="1" t="b">
        <v>0</v>
      </c>
      <c r="E348" s="1">
        <v>6</v>
      </c>
      <c r="F348" s="1">
        <v>2</v>
      </c>
      <c r="G348" s="1">
        <v>0.3</v>
      </c>
      <c r="H348" s="1">
        <v>347</v>
      </c>
      <c r="I348" s="1">
        <v>0.31819999999999998</v>
      </c>
      <c r="J348" s="1">
        <v>0.42</v>
      </c>
      <c r="K348" s="1">
        <v>0.1045</v>
      </c>
      <c r="L348" s="1">
        <v>0</v>
      </c>
      <c r="M348" s="1">
        <v>26</v>
      </c>
      <c r="N348" s="1">
        <v>26</v>
      </c>
    </row>
    <row r="349" spans="1:14" x14ac:dyDescent="0.25">
      <c r="A349" s="1">
        <v>348</v>
      </c>
      <c r="B349" s="2">
        <v>40558</v>
      </c>
      <c r="C349" s="1">
        <v>23</v>
      </c>
      <c r="D349" s="1" t="b">
        <v>0</v>
      </c>
      <c r="E349" s="1">
        <v>6</v>
      </c>
      <c r="F349" s="1">
        <v>1</v>
      </c>
      <c r="G349" s="1">
        <v>0.3</v>
      </c>
      <c r="H349" s="1">
        <v>348</v>
      </c>
      <c r="I349" s="1">
        <v>0.28789999999999999</v>
      </c>
      <c r="J349" s="1">
        <v>0.45</v>
      </c>
      <c r="K349" s="1">
        <v>0.28360000000000002</v>
      </c>
      <c r="L349" s="1">
        <v>5</v>
      </c>
      <c r="M349" s="1">
        <v>39</v>
      </c>
      <c r="N349" s="1">
        <v>44</v>
      </c>
    </row>
    <row r="350" spans="1:14" x14ac:dyDescent="0.25">
      <c r="A350" s="1">
        <v>349</v>
      </c>
      <c r="B350" s="2">
        <v>40559</v>
      </c>
      <c r="C350" s="1">
        <v>0</v>
      </c>
      <c r="D350" s="1" t="b">
        <v>0</v>
      </c>
      <c r="E350" s="1">
        <v>0</v>
      </c>
      <c r="F350" s="1">
        <v>1</v>
      </c>
      <c r="G350" s="1">
        <v>0.26</v>
      </c>
      <c r="H350" s="1">
        <v>349</v>
      </c>
      <c r="I350" s="1">
        <v>0.30299999999999999</v>
      </c>
      <c r="J350" s="1">
        <v>0.56000000000000005</v>
      </c>
      <c r="K350" s="1">
        <v>0</v>
      </c>
      <c r="L350" s="1">
        <v>6</v>
      </c>
      <c r="M350" s="1">
        <v>33</v>
      </c>
      <c r="N350" s="1">
        <v>39</v>
      </c>
    </row>
    <row r="351" spans="1:14" x14ac:dyDescent="0.25">
      <c r="A351" s="1">
        <v>350</v>
      </c>
      <c r="B351" s="2">
        <v>40559</v>
      </c>
      <c r="C351" s="1">
        <v>1</v>
      </c>
      <c r="D351" s="1" t="b">
        <v>0</v>
      </c>
      <c r="E351" s="1">
        <v>0</v>
      </c>
      <c r="F351" s="1">
        <v>1</v>
      </c>
      <c r="G351" s="1">
        <v>0.26</v>
      </c>
      <c r="H351" s="1">
        <v>350</v>
      </c>
      <c r="I351" s="1">
        <v>0.2727</v>
      </c>
      <c r="J351" s="1">
        <v>0.56000000000000005</v>
      </c>
      <c r="K351" s="1">
        <v>0.1343</v>
      </c>
      <c r="L351" s="1">
        <v>4</v>
      </c>
      <c r="M351" s="1">
        <v>19</v>
      </c>
      <c r="N351" s="1">
        <v>23</v>
      </c>
    </row>
    <row r="352" spans="1:14" x14ac:dyDescent="0.25">
      <c r="A352" s="1">
        <v>351</v>
      </c>
      <c r="B352" s="2">
        <v>40559</v>
      </c>
      <c r="C352" s="1">
        <v>2</v>
      </c>
      <c r="D352" s="1" t="b">
        <v>0</v>
      </c>
      <c r="E352" s="1">
        <v>0</v>
      </c>
      <c r="F352" s="1">
        <v>1</v>
      </c>
      <c r="G352" s="1">
        <v>0.26</v>
      </c>
      <c r="H352" s="1">
        <v>351</v>
      </c>
      <c r="I352" s="1">
        <v>0.28789999999999999</v>
      </c>
      <c r="J352" s="1">
        <v>0.56000000000000005</v>
      </c>
      <c r="K352" s="1">
        <v>8.9599999999999999E-2</v>
      </c>
      <c r="L352" s="1">
        <v>3</v>
      </c>
      <c r="M352" s="1">
        <v>13</v>
      </c>
      <c r="N352" s="1">
        <v>16</v>
      </c>
    </row>
    <row r="353" spans="1:14" x14ac:dyDescent="0.25">
      <c r="A353" s="1">
        <v>352</v>
      </c>
      <c r="B353" s="2">
        <v>40559</v>
      </c>
      <c r="C353" s="1">
        <v>3</v>
      </c>
      <c r="D353" s="1" t="b">
        <v>0</v>
      </c>
      <c r="E353" s="1">
        <v>0</v>
      </c>
      <c r="F353" s="1">
        <v>1</v>
      </c>
      <c r="G353" s="1">
        <v>0.22</v>
      </c>
      <c r="H353" s="1">
        <v>352</v>
      </c>
      <c r="I353" s="1">
        <v>0.2727</v>
      </c>
      <c r="J353" s="1">
        <v>0.69</v>
      </c>
      <c r="K353" s="1">
        <v>0</v>
      </c>
      <c r="L353" s="1">
        <v>9</v>
      </c>
      <c r="M353" s="1">
        <v>6</v>
      </c>
      <c r="N353" s="1">
        <v>15</v>
      </c>
    </row>
    <row r="354" spans="1:14" x14ac:dyDescent="0.25">
      <c r="A354" s="1">
        <v>353</v>
      </c>
      <c r="B354" s="2">
        <v>40559</v>
      </c>
      <c r="C354" s="1">
        <v>4</v>
      </c>
      <c r="D354" s="1" t="b">
        <v>0</v>
      </c>
      <c r="E354" s="1">
        <v>0</v>
      </c>
      <c r="F354" s="1">
        <v>1</v>
      </c>
      <c r="G354" s="1">
        <v>0.26</v>
      </c>
      <c r="H354" s="1">
        <v>353</v>
      </c>
      <c r="I354" s="1">
        <v>0.2576</v>
      </c>
      <c r="J354" s="1">
        <v>0.56000000000000005</v>
      </c>
      <c r="K354" s="1">
        <v>0.16420000000000001</v>
      </c>
      <c r="L354" s="1">
        <v>0</v>
      </c>
      <c r="M354" s="1">
        <v>1</v>
      </c>
      <c r="N354" s="1">
        <v>1</v>
      </c>
    </row>
    <row r="355" spans="1:14" x14ac:dyDescent="0.25">
      <c r="A355" s="1">
        <v>354</v>
      </c>
      <c r="B355" s="2">
        <v>40559</v>
      </c>
      <c r="C355" s="1">
        <v>5</v>
      </c>
      <c r="D355" s="1" t="b">
        <v>0</v>
      </c>
      <c r="E355" s="1">
        <v>0</v>
      </c>
      <c r="F355" s="1">
        <v>2</v>
      </c>
      <c r="G355" s="1">
        <v>0.26</v>
      </c>
      <c r="H355" s="1">
        <v>354</v>
      </c>
      <c r="I355" s="1">
        <v>0.2576</v>
      </c>
      <c r="J355" s="1">
        <v>0.56000000000000005</v>
      </c>
      <c r="K355" s="1">
        <v>0.16420000000000001</v>
      </c>
      <c r="L355" s="1">
        <v>1</v>
      </c>
      <c r="M355" s="1">
        <v>1</v>
      </c>
      <c r="N355" s="1">
        <v>2</v>
      </c>
    </row>
    <row r="356" spans="1:14" x14ac:dyDescent="0.25">
      <c r="A356" s="1">
        <v>355</v>
      </c>
      <c r="B356" s="2">
        <v>40559</v>
      </c>
      <c r="C356" s="1">
        <v>6</v>
      </c>
      <c r="D356" s="1" t="b">
        <v>0</v>
      </c>
      <c r="E356" s="1">
        <v>0</v>
      </c>
      <c r="F356" s="1">
        <v>2</v>
      </c>
      <c r="G356" s="1">
        <v>0.26</v>
      </c>
      <c r="H356" s="1">
        <v>355</v>
      </c>
      <c r="I356" s="1">
        <v>0.2576</v>
      </c>
      <c r="J356" s="1">
        <v>0.56000000000000005</v>
      </c>
      <c r="K356" s="1">
        <v>0.16420000000000001</v>
      </c>
      <c r="L356" s="1">
        <v>0</v>
      </c>
      <c r="M356" s="1">
        <v>1</v>
      </c>
      <c r="N356" s="1">
        <v>1</v>
      </c>
    </row>
    <row r="357" spans="1:14" x14ac:dyDescent="0.25">
      <c r="A357" s="1">
        <v>356</v>
      </c>
      <c r="B357" s="2">
        <v>40559</v>
      </c>
      <c r="C357" s="1">
        <v>7</v>
      </c>
      <c r="D357" s="1" t="b">
        <v>0</v>
      </c>
      <c r="E357" s="1">
        <v>0</v>
      </c>
      <c r="F357" s="1">
        <v>2</v>
      </c>
      <c r="G357" s="1">
        <v>0.24</v>
      </c>
      <c r="H357" s="1">
        <v>356</v>
      </c>
      <c r="I357" s="1">
        <v>0.21210000000000001</v>
      </c>
      <c r="J357" s="1">
        <v>0.56000000000000005</v>
      </c>
      <c r="K357" s="1">
        <v>0.29849999999999999</v>
      </c>
      <c r="L357" s="1">
        <v>0</v>
      </c>
      <c r="M357" s="1">
        <v>3</v>
      </c>
      <c r="N357" s="1">
        <v>3</v>
      </c>
    </row>
    <row r="358" spans="1:14" x14ac:dyDescent="0.25">
      <c r="A358" s="1">
        <v>357</v>
      </c>
      <c r="B358" s="2">
        <v>40559</v>
      </c>
      <c r="C358" s="1">
        <v>8</v>
      </c>
      <c r="D358" s="1" t="b">
        <v>0</v>
      </c>
      <c r="E358" s="1">
        <v>0</v>
      </c>
      <c r="F358" s="1">
        <v>1</v>
      </c>
      <c r="G358" s="1">
        <v>0.22</v>
      </c>
      <c r="H358" s="1">
        <v>357</v>
      </c>
      <c r="I358" s="1">
        <v>0.21210000000000001</v>
      </c>
      <c r="J358" s="1">
        <v>0.55000000000000004</v>
      </c>
      <c r="K358" s="1">
        <v>0.28360000000000002</v>
      </c>
      <c r="L358" s="1">
        <v>0</v>
      </c>
      <c r="M358" s="1">
        <v>18</v>
      </c>
      <c r="N358" s="1">
        <v>18</v>
      </c>
    </row>
    <row r="359" spans="1:14" x14ac:dyDescent="0.25">
      <c r="A359" s="1">
        <v>358</v>
      </c>
      <c r="B359" s="2">
        <v>40559</v>
      </c>
      <c r="C359" s="1">
        <v>9</v>
      </c>
      <c r="D359" s="1" t="b">
        <v>0</v>
      </c>
      <c r="E359" s="1">
        <v>0</v>
      </c>
      <c r="F359" s="1">
        <v>1</v>
      </c>
      <c r="G359" s="1">
        <v>0.22</v>
      </c>
      <c r="H359" s="1">
        <v>358</v>
      </c>
      <c r="I359" s="1">
        <v>0.21210000000000001</v>
      </c>
      <c r="J359" s="1">
        <v>0.51</v>
      </c>
      <c r="K359" s="1">
        <v>0.25369999999999998</v>
      </c>
      <c r="L359" s="1">
        <v>3</v>
      </c>
      <c r="M359" s="1">
        <v>29</v>
      </c>
      <c r="N359" s="1">
        <v>32</v>
      </c>
    </row>
    <row r="360" spans="1:14" x14ac:dyDescent="0.25">
      <c r="A360" s="1">
        <v>359</v>
      </c>
      <c r="B360" s="2">
        <v>40559</v>
      </c>
      <c r="C360" s="1">
        <v>10</v>
      </c>
      <c r="D360" s="1" t="b">
        <v>0</v>
      </c>
      <c r="E360" s="1">
        <v>0</v>
      </c>
      <c r="F360" s="1">
        <v>1</v>
      </c>
      <c r="G360" s="1">
        <v>0.22</v>
      </c>
      <c r="H360" s="1">
        <v>359</v>
      </c>
      <c r="I360" s="1">
        <v>0.21210000000000001</v>
      </c>
      <c r="J360" s="1">
        <v>0.51</v>
      </c>
      <c r="K360" s="1">
        <v>0.28360000000000002</v>
      </c>
      <c r="L360" s="1">
        <v>8</v>
      </c>
      <c r="M360" s="1">
        <v>71</v>
      </c>
      <c r="N360" s="1">
        <v>79</v>
      </c>
    </row>
    <row r="361" spans="1:14" x14ac:dyDescent="0.25">
      <c r="A361" s="1">
        <v>360</v>
      </c>
      <c r="B361" s="2">
        <v>40559</v>
      </c>
      <c r="C361" s="1">
        <v>11</v>
      </c>
      <c r="D361" s="1" t="b">
        <v>0</v>
      </c>
      <c r="E361" s="1">
        <v>0</v>
      </c>
      <c r="F361" s="1">
        <v>1</v>
      </c>
      <c r="G361" s="1">
        <v>0.24</v>
      </c>
      <c r="H361" s="1">
        <v>360</v>
      </c>
      <c r="I361" s="1">
        <v>0.2273</v>
      </c>
      <c r="J361" s="1">
        <v>0.44</v>
      </c>
      <c r="K361" s="1">
        <v>0.25369999999999998</v>
      </c>
      <c r="L361" s="1">
        <v>23</v>
      </c>
      <c r="M361" s="1">
        <v>70</v>
      </c>
      <c r="N361" s="1">
        <v>93</v>
      </c>
    </row>
    <row r="362" spans="1:14" x14ac:dyDescent="0.25">
      <c r="A362" s="1">
        <v>361</v>
      </c>
      <c r="B362" s="2">
        <v>40559</v>
      </c>
      <c r="C362" s="1">
        <v>12</v>
      </c>
      <c r="D362" s="1" t="b">
        <v>0</v>
      </c>
      <c r="E362" s="1">
        <v>0</v>
      </c>
      <c r="F362" s="1">
        <v>1</v>
      </c>
      <c r="G362" s="1">
        <v>0.24</v>
      </c>
      <c r="H362" s="1">
        <v>361</v>
      </c>
      <c r="I362" s="1">
        <v>0.21210000000000001</v>
      </c>
      <c r="J362" s="1">
        <v>0.41</v>
      </c>
      <c r="K362" s="1">
        <v>0.28360000000000002</v>
      </c>
      <c r="L362" s="1">
        <v>29</v>
      </c>
      <c r="M362" s="1">
        <v>75</v>
      </c>
      <c r="N362" s="1">
        <v>104</v>
      </c>
    </row>
    <row r="363" spans="1:14" x14ac:dyDescent="0.25">
      <c r="A363" s="1">
        <v>362</v>
      </c>
      <c r="B363" s="2">
        <v>40559</v>
      </c>
      <c r="C363" s="1">
        <v>13</v>
      </c>
      <c r="D363" s="1" t="b">
        <v>0</v>
      </c>
      <c r="E363" s="1">
        <v>0</v>
      </c>
      <c r="F363" s="1">
        <v>1</v>
      </c>
      <c r="G363" s="1">
        <v>0.26</v>
      </c>
      <c r="H363" s="1">
        <v>362</v>
      </c>
      <c r="I363" s="1">
        <v>0.2273</v>
      </c>
      <c r="J363" s="1">
        <v>0.35</v>
      </c>
      <c r="K363" s="1">
        <v>0.29849999999999999</v>
      </c>
      <c r="L363" s="1">
        <v>23</v>
      </c>
      <c r="M363" s="1">
        <v>95</v>
      </c>
      <c r="N363" s="1">
        <v>118</v>
      </c>
    </row>
    <row r="364" spans="1:14" x14ac:dyDescent="0.25">
      <c r="A364" s="1">
        <v>363</v>
      </c>
      <c r="B364" s="2">
        <v>40559</v>
      </c>
      <c r="C364" s="1">
        <v>14</v>
      </c>
      <c r="D364" s="1" t="b">
        <v>0</v>
      </c>
      <c r="E364" s="1">
        <v>0</v>
      </c>
      <c r="F364" s="1">
        <v>1</v>
      </c>
      <c r="G364" s="1">
        <v>0.28000000000000003</v>
      </c>
      <c r="H364" s="1">
        <v>363</v>
      </c>
      <c r="I364" s="1">
        <v>0.2727</v>
      </c>
      <c r="J364" s="1">
        <v>0.36</v>
      </c>
      <c r="K364" s="1">
        <v>0.25369999999999998</v>
      </c>
      <c r="L364" s="1">
        <v>22</v>
      </c>
      <c r="M364" s="1">
        <v>69</v>
      </c>
      <c r="N364" s="1">
        <v>91</v>
      </c>
    </row>
    <row r="365" spans="1:14" x14ac:dyDescent="0.25">
      <c r="A365" s="1">
        <v>364</v>
      </c>
      <c r="B365" s="2">
        <v>40559</v>
      </c>
      <c r="C365" s="1">
        <v>15</v>
      </c>
      <c r="D365" s="1" t="b">
        <v>0</v>
      </c>
      <c r="E365" s="1">
        <v>0</v>
      </c>
      <c r="F365" s="1">
        <v>1</v>
      </c>
      <c r="G365" s="1">
        <v>0.26</v>
      </c>
      <c r="H365" s="1">
        <v>364</v>
      </c>
      <c r="I365" s="1">
        <v>0.2424</v>
      </c>
      <c r="J365" s="1">
        <v>0.38</v>
      </c>
      <c r="K365" s="1">
        <v>0.25369999999999998</v>
      </c>
      <c r="L365" s="1">
        <v>35</v>
      </c>
      <c r="M365" s="1">
        <v>78</v>
      </c>
      <c r="N365" s="1">
        <v>113</v>
      </c>
    </row>
    <row r="366" spans="1:14" x14ac:dyDescent="0.25">
      <c r="A366" s="1">
        <v>365</v>
      </c>
      <c r="B366" s="2">
        <v>40559</v>
      </c>
      <c r="C366" s="1">
        <v>16</v>
      </c>
      <c r="D366" s="1" t="b">
        <v>0</v>
      </c>
      <c r="E366" s="1">
        <v>0</v>
      </c>
      <c r="F366" s="1">
        <v>1</v>
      </c>
      <c r="G366" s="1">
        <v>0.24</v>
      </c>
      <c r="H366" s="1">
        <v>365</v>
      </c>
      <c r="I366" s="1">
        <v>0.2273</v>
      </c>
      <c r="J366" s="1">
        <v>0.38</v>
      </c>
      <c r="K366" s="1">
        <v>0.22389999999999999</v>
      </c>
      <c r="L366" s="1">
        <v>22</v>
      </c>
      <c r="M366" s="1">
        <v>77</v>
      </c>
      <c r="N366" s="1">
        <v>99</v>
      </c>
    </row>
    <row r="367" spans="1:14" x14ac:dyDescent="0.25">
      <c r="A367" s="1">
        <v>366</v>
      </c>
      <c r="B367" s="2">
        <v>40559</v>
      </c>
      <c r="C367" s="1">
        <v>17</v>
      </c>
      <c r="D367" s="1" t="b">
        <v>0</v>
      </c>
      <c r="E367" s="1">
        <v>0</v>
      </c>
      <c r="F367" s="1">
        <v>1</v>
      </c>
      <c r="G367" s="1">
        <v>0.22</v>
      </c>
      <c r="H367" s="1">
        <v>366</v>
      </c>
      <c r="I367" s="1">
        <v>0.21210000000000001</v>
      </c>
      <c r="J367" s="1">
        <v>0.37</v>
      </c>
      <c r="K367" s="1">
        <v>0.25369999999999998</v>
      </c>
      <c r="L367" s="1">
        <v>23</v>
      </c>
      <c r="M367" s="1">
        <v>82</v>
      </c>
      <c r="N367" s="1">
        <v>105</v>
      </c>
    </row>
    <row r="368" spans="1:14" x14ac:dyDescent="0.25">
      <c r="A368" s="1">
        <v>367</v>
      </c>
      <c r="B368" s="2">
        <v>40559</v>
      </c>
      <c r="C368" s="1">
        <v>18</v>
      </c>
      <c r="D368" s="1" t="b">
        <v>0</v>
      </c>
      <c r="E368" s="1">
        <v>0</v>
      </c>
      <c r="F368" s="1">
        <v>1</v>
      </c>
      <c r="G368" s="1">
        <v>0.2</v>
      </c>
      <c r="H368" s="1">
        <v>367</v>
      </c>
      <c r="I368" s="1">
        <v>0.21210000000000001</v>
      </c>
      <c r="J368" s="1">
        <v>0.4</v>
      </c>
      <c r="K368" s="1">
        <v>0.16420000000000001</v>
      </c>
      <c r="L368" s="1">
        <v>11</v>
      </c>
      <c r="M368" s="1">
        <v>56</v>
      </c>
      <c r="N368" s="1">
        <v>67</v>
      </c>
    </row>
    <row r="369" spans="1:14" x14ac:dyDescent="0.25">
      <c r="A369" s="1">
        <v>368</v>
      </c>
      <c r="B369" s="2">
        <v>40559</v>
      </c>
      <c r="C369" s="1">
        <v>19</v>
      </c>
      <c r="D369" s="1" t="b">
        <v>0</v>
      </c>
      <c r="E369" s="1">
        <v>0</v>
      </c>
      <c r="F369" s="1">
        <v>1</v>
      </c>
      <c r="G369" s="1">
        <v>0.18</v>
      </c>
      <c r="H369" s="1">
        <v>368</v>
      </c>
      <c r="I369" s="1">
        <v>0.19700000000000001</v>
      </c>
      <c r="J369" s="1">
        <v>0.47</v>
      </c>
      <c r="K369" s="1">
        <v>0.1343</v>
      </c>
      <c r="L369" s="1">
        <v>14</v>
      </c>
      <c r="M369" s="1">
        <v>47</v>
      </c>
      <c r="N369" s="1">
        <v>61</v>
      </c>
    </row>
    <row r="370" spans="1:14" x14ac:dyDescent="0.25">
      <c r="A370" s="1">
        <v>369</v>
      </c>
      <c r="B370" s="2">
        <v>40559</v>
      </c>
      <c r="C370" s="1">
        <v>20</v>
      </c>
      <c r="D370" s="1" t="b">
        <v>0</v>
      </c>
      <c r="E370" s="1">
        <v>0</v>
      </c>
      <c r="F370" s="1">
        <v>1</v>
      </c>
      <c r="G370" s="1">
        <v>0.18</v>
      </c>
      <c r="H370" s="1">
        <v>369</v>
      </c>
      <c r="I370" s="1">
        <v>0.19700000000000001</v>
      </c>
      <c r="J370" s="1">
        <v>0.47</v>
      </c>
      <c r="K370" s="1">
        <v>0.16420000000000001</v>
      </c>
      <c r="L370" s="1">
        <v>7</v>
      </c>
      <c r="M370" s="1">
        <v>50</v>
      </c>
      <c r="N370" s="1">
        <v>57</v>
      </c>
    </row>
    <row r="371" spans="1:14" x14ac:dyDescent="0.25">
      <c r="A371" s="1">
        <v>370</v>
      </c>
      <c r="B371" s="2">
        <v>40559</v>
      </c>
      <c r="C371" s="1">
        <v>21</v>
      </c>
      <c r="D371" s="1" t="b">
        <v>0</v>
      </c>
      <c r="E371" s="1">
        <v>0</v>
      </c>
      <c r="F371" s="1">
        <v>1</v>
      </c>
      <c r="G371" s="1">
        <v>0.18</v>
      </c>
      <c r="H371" s="1">
        <v>370</v>
      </c>
      <c r="I371" s="1">
        <v>0.19700000000000001</v>
      </c>
      <c r="J371" s="1">
        <v>0.51</v>
      </c>
      <c r="K371" s="1">
        <v>0.16420000000000001</v>
      </c>
      <c r="L371" s="1">
        <v>6</v>
      </c>
      <c r="M371" s="1">
        <v>22</v>
      </c>
      <c r="N371" s="1">
        <v>28</v>
      </c>
    </row>
    <row r="372" spans="1:14" x14ac:dyDescent="0.25">
      <c r="A372" s="1">
        <v>371</v>
      </c>
      <c r="B372" s="2">
        <v>40559</v>
      </c>
      <c r="C372" s="1">
        <v>22</v>
      </c>
      <c r="D372" s="1" t="b">
        <v>0</v>
      </c>
      <c r="E372" s="1">
        <v>0</v>
      </c>
      <c r="F372" s="1">
        <v>2</v>
      </c>
      <c r="G372" s="1">
        <v>0.2</v>
      </c>
      <c r="H372" s="1">
        <v>371</v>
      </c>
      <c r="I372" s="1">
        <v>0.21210000000000001</v>
      </c>
      <c r="J372" s="1">
        <v>0.49</v>
      </c>
      <c r="K372" s="1">
        <v>0.1343</v>
      </c>
      <c r="L372" s="1">
        <v>2</v>
      </c>
      <c r="M372" s="1">
        <v>19</v>
      </c>
      <c r="N372" s="1">
        <v>21</v>
      </c>
    </row>
    <row r="373" spans="1:14" x14ac:dyDescent="0.25">
      <c r="A373" s="1">
        <v>372</v>
      </c>
      <c r="B373" s="2">
        <v>40559</v>
      </c>
      <c r="C373" s="1">
        <v>23</v>
      </c>
      <c r="D373" s="1" t="b">
        <v>0</v>
      </c>
      <c r="E373" s="1">
        <v>0</v>
      </c>
      <c r="F373" s="1">
        <v>2</v>
      </c>
      <c r="G373" s="1">
        <v>0.2</v>
      </c>
      <c r="H373" s="1">
        <v>372</v>
      </c>
      <c r="I373" s="1">
        <v>0.2273</v>
      </c>
      <c r="J373" s="1">
        <v>0.4</v>
      </c>
      <c r="K373" s="1">
        <v>0.1045</v>
      </c>
      <c r="L373" s="1">
        <v>0</v>
      </c>
      <c r="M373" s="1">
        <v>18</v>
      </c>
      <c r="N373" s="1">
        <v>18</v>
      </c>
    </row>
    <row r="374" spans="1:14" x14ac:dyDescent="0.25">
      <c r="A374" s="1">
        <v>373</v>
      </c>
      <c r="B374" s="2">
        <v>40560</v>
      </c>
      <c r="C374" s="1">
        <v>0</v>
      </c>
      <c r="D374" s="1" t="b">
        <v>1</v>
      </c>
      <c r="E374" s="1">
        <v>1</v>
      </c>
      <c r="F374" s="1">
        <v>2</v>
      </c>
      <c r="G374" s="1">
        <v>0.2</v>
      </c>
      <c r="H374" s="1">
        <v>373</v>
      </c>
      <c r="I374" s="1">
        <v>0.19700000000000001</v>
      </c>
      <c r="J374" s="1">
        <v>0.47</v>
      </c>
      <c r="K374" s="1">
        <v>0.22389999999999999</v>
      </c>
      <c r="L374" s="1">
        <v>1</v>
      </c>
      <c r="M374" s="1">
        <v>16</v>
      </c>
      <c r="N374" s="1">
        <v>17</v>
      </c>
    </row>
    <row r="375" spans="1:14" x14ac:dyDescent="0.25">
      <c r="A375" s="1">
        <v>374</v>
      </c>
      <c r="B375" s="2">
        <v>40560</v>
      </c>
      <c r="C375" s="1">
        <v>1</v>
      </c>
      <c r="D375" s="1" t="b">
        <v>1</v>
      </c>
      <c r="E375" s="1">
        <v>1</v>
      </c>
      <c r="F375" s="1">
        <v>2</v>
      </c>
      <c r="G375" s="1">
        <v>0.2</v>
      </c>
      <c r="H375" s="1">
        <v>374</v>
      </c>
      <c r="I375" s="1">
        <v>0.19700000000000001</v>
      </c>
      <c r="J375" s="1">
        <v>0.44</v>
      </c>
      <c r="K375" s="1">
        <v>0.19400000000000001</v>
      </c>
      <c r="L375" s="1">
        <v>1</v>
      </c>
      <c r="M375" s="1">
        <v>15</v>
      </c>
      <c r="N375" s="1">
        <v>16</v>
      </c>
    </row>
    <row r="376" spans="1:14" x14ac:dyDescent="0.25">
      <c r="A376" s="1">
        <v>375</v>
      </c>
      <c r="B376" s="2">
        <v>40560</v>
      </c>
      <c r="C376" s="1">
        <v>2</v>
      </c>
      <c r="D376" s="1" t="b">
        <v>1</v>
      </c>
      <c r="E376" s="1">
        <v>1</v>
      </c>
      <c r="F376" s="1">
        <v>2</v>
      </c>
      <c r="G376" s="1">
        <v>0.18</v>
      </c>
      <c r="H376" s="1">
        <v>375</v>
      </c>
      <c r="I376" s="1">
        <v>0.16669999999999999</v>
      </c>
      <c r="J376" s="1">
        <v>0.43</v>
      </c>
      <c r="K376" s="1">
        <v>0.25369999999999998</v>
      </c>
      <c r="L376" s="1">
        <v>0</v>
      </c>
      <c r="M376" s="1">
        <v>8</v>
      </c>
      <c r="N376" s="1">
        <v>8</v>
      </c>
    </row>
    <row r="377" spans="1:14" x14ac:dyDescent="0.25">
      <c r="A377" s="1">
        <v>376</v>
      </c>
      <c r="B377" s="2">
        <v>40560</v>
      </c>
      <c r="C377" s="1">
        <v>3</v>
      </c>
      <c r="D377" s="1" t="b">
        <v>1</v>
      </c>
      <c r="E377" s="1">
        <v>1</v>
      </c>
      <c r="F377" s="1">
        <v>2</v>
      </c>
      <c r="G377" s="1">
        <v>0.18</v>
      </c>
      <c r="H377" s="1">
        <v>376</v>
      </c>
      <c r="I377" s="1">
        <v>0.18179999999999999</v>
      </c>
      <c r="J377" s="1">
        <v>0.43</v>
      </c>
      <c r="K377" s="1">
        <v>0.19400000000000001</v>
      </c>
      <c r="L377" s="1">
        <v>0</v>
      </c>
      <c r="M377" s="1">
        <v>2</v>
      </c>
      <c r="N377" s="1">
        <v>2</v>
      </c>
    </row>
    <row r="378" spans="1:14" x14ac:dyDescent="0.25">
      <c r="A378" s="1">
        <v>377</v>
      </c>
      <c r="B378" s="2">
        <v>40560</v>
      </c>
      <c r="C378" s="1">
        <v>4</v>
      </c>
      <c r="D378" s="1" t="b">
        <v>1</v>
      </c>
      <c r="E378" s="1">
        <v>1</v>
      </c>
      <c r="F378" s="1">
        <v>2</v>
      </c>
      <c r="G378" s="1">
        <v>0.18</v>
      </c>
      <c r="H378" s="1">
        <v>377</v>
      </c>
      <c r="I378" s="1">
        <v>0.19700000000000001</v>
      </c>
      <c r="J378" s="1">
        <v>0.43</v>
      </c>
      <c r="K378" s="1">
        <v>0.1343</v>
      </c>
      <c r="L378" s="1">
        <v>1</v>
      </c>
      <c r="M378" s="1">
        <v>2</v>
      </c>
      <c r="N378" s="1">
        <v>3</v>
      </c>
    </row>
    <row r="379" spans="1:14" x14ac:dyDescent="0.25">
      <c r="A379" s="1">
        <v>378</v>
      </c>
      <c r="B379" s="2">
        <v>40560</v>
      </c>
      <c r="C379" s="1">
        <v>5</v>
      </c>
      <c r="D379" s="1" t="b">
        <v>1</v>
      </c>
      <c r="E379" s="1">
        <v>1</v>
      </c>
      <c r="F379" s="1">
        <v>2</v>
      </c>
      <c r="G379" s="1">
        <v>0.18</v>
      </c>
      <c r="H379" s="1">
        <v>378</v>
      </c>
      <c r="I379" s="1">
        <v>0.19700000000000001</v>
      </c>
      <c r="J379" s="1">
        <v>0.43</v>
      </c>
      <c r="K379" s="1">
        <v>0.16420000000000001</v>
      </c>
      <c r="L379" s="1">
        <v>0</v>
      </c>
      <c r="M379" s="1">
        <v>1</v>
      </c>
      <c r="N379" s="1">
        <v>1</v>
      </c>
    </row>
    <row r="380" spans="1:14" x14ac:dyDescent="0.25">
      <c r="A380" s="1">
        <v>379</v>
      </c>
      <c r="B380" s="2">
        <v>40560</v>
      </c>
      <c r="C380" s="1">
        <v>6</v>
      </c>
      <c r="D380" s="1" t="b">
        <v>1</v>
      </c>
      <c r="E380" s="1">
        <v>1</v>
      </c>
      <c r="F380" s="1">
        <v>2</v>
      </c>
      <c r="G380" s="1">
        <v>0.18</v>
      </c>
      <c r="H380" s="1">
        <v>379</v>
      </c>
      <c r="I380" s="1">
        <v>0.18179999999999999</v>
      </c>
      <c r="J380" s="1">
        <v>0.43</v>
      </c>
      <c r="K380" s="1">
        <v>0.19400000000000001</v>
      </c>
      <c r="L380" s="1">
        <v>0</v>
      </c>
      <c r="M380" s="1">
        <v>5</v>
      </c>
      <c r="N380" s="1">
        <v>5</v>
      </c>
    </row>
    <row r="381" spans="1:14" x14ac:dyDescent="0.25">
      <c r="A381" s="1">
        <v>380</v>
      </c>
      <c r="B381" s="2">
        <v>40560</v>
      </c>
      <c r="C381" s="1">
        <v>7</v>
      </c>
      <c r="D381" s="1" t="b">
        <v>1</v>
      </c>
      <c r="E381" s="1">
        <v>1</v>
      </c>
      <c r="F381" s="1">
        <v>2</v>
      </c>
      <c r="G381" s="1">
        <v>0.16</v>
      </c>
      <c r="H381" s="1">
        <v>380</v>
      </c>
      <c r="I381" s="1">
        <v>0.18179999999999999</v>
      </c>
      <c r="J381" s="1">
        <v>0.5</v>
      </c>
      <c r="K381" s="1">
        <v>0.1343</v>
      </c>
      <c r="L381" s="1">
        <v>4</v>
      </c>
      <c r="M381" s="1">
        <v>9</v>
      </c>
      <c r="N381" s="1">
        <v>13</v>
      </c>
    </row>
    <row r="382" spans="1:14" x14ac:dyDescent="0.25">
      <c r="A382" s="1">
        <v>381</v>
      </c>
      <c r="B382" s="2">
        <v>40560</v>
      </c>
      <c r="C382" s="1">
        <v>8</v>
      </c>
      <c r="D382" s="1" t="b">
        <v>1</v>
      </c>
      <c r="E382" s="1">
        <v>1</v>
      </c>
      <c r="F382" s="1">
        <v>2</v>
      </c>
      <c r="G382" s="1">
        <v>0.16</v>
      </c>
      <c r="H382" s="1">
        <v>381</v>
      </c>
      <c r="I382" s="1">
        <v>0.1515</v>
      </c>
      <c r="J382" s="1">
        <v>0.47</v>
      </c>
      <c r="K382" s="1">
        <v>0.22389999999999999</v>
      </c>
      <c r="L382" s="1">
        <v>3</v>
      </c>
      <c r="M382" s="1">
        <v>30</v>
      </c>
      <c r="N382" s="1">
        <v>33</v>
      </c>
    </row>
    <row r="383" spans="1:14" x14ac:dyDescent="0.25">
      <c r="A383" s="1">
        <v>382</v>
      </c>
      <c r="B383" s="2">
        <v>40560</v>
      </c>
      <c r="C383" s="1">
        <v>9</v>
      </c>
      <c r="D383" s="1" t="b">
        <v>1</v>
      </c>
      <c r="E383" s="1">
        <v>1</v>
      </c>
      <c r="F383" s="1">
        <v>2</v>
      </c>
      <c r="G383" s="1">
        <v>0.16</v>
      </c>
      <c r="H383" s="1">
        <v>382</v>
      </c>
      <c r="I383" s="1">
        <v>0.1515</v>
      </c>
      <c r="J383" s="1">
        <v>0.47</v>
      </c>
      <c r="K383" s="1">
        <v>0.22389999999999999</v>
      </c>
      <c r="L383" s="1">
        <v>8</v>
      </c>
      <c r="M383" s="1">
        <v>39</v>
      </c>
      <c r="N383" s="1">
        <v>47</v>
      </c>
    </row>
    <row r="384" spans="1:14" x14ac:dyDescent="0.25">
      <c r="A384" s="1">
        <v>383</v>
      </c>
      <c r="B384" s="2">
        <v>40560</v>
      </c>
      <c r="C384" s="1">
        <v>10</v>
      </c>
      <c r="D384" s="1" t="b">
        <v>1</v>
      </c>
      <c r="E384" s="1">
        <v>1</v>
      </c>
      <c r="F384" s="1">
        <v>2</v>
      </c>
      <c r="G384" s="1">
        <v>0.16</v>
      </c>
      <c r="H384" s="1">
        <v>383</v>
      </c>
      <c r="I384" s="1">
        <v>0.1515</v>
      </c>
      <c r="J384" s="1">
        <v>0.5</v>
      </c>
      <c r="K384" s="1">
        <v>0.25369999999999998</v>
      </c>
      <c r="L384" s="1">
        <v>7</v>
      </c>
      <c r="M384" s="1">
        <v>50</v>
      </c>
      <c r="N384" s="1">
        <v>57</v>
      </c>
    </row>
    <row r="385" spans="1:14" x14ac:dyDescent="0.25">
      <c r="A385" s="1">
        <v>384</v>
      </c>
      <c r="B385" s="2">
        <v>40560</v>
      </c>
      <c r="C385" s="1">
        <v>11</v>
      </c>
      <c r="D385" s="1" t="b">
        <v>1</v>
      </c>
      <c r="E385" s="1">
        <v>1</v>
      </c>
      <c r="F385" s="1">
        <v>2</v>
      </c>
      <c r="G385" s="1">
        <v>0.16</v>
      </c>
      <c r="H385" s="1">
        <v>384</v>
      </c>
      <c r="I385" s="1">
        <v>0.1515</v>
      </c>
      <c r="J385" s="1">
        <v>0.55000000000000004</v>
      </c>
      <c r="K385" s="1">
        <v>0.19400000000000001</v>
      </c>
      <c r="L385" s="1">
        <v>9</v>
      </c>
      <c r="M385" s="1">
        <v>55</v>
      </c>
      <c r="N385" s="1">
        <v>64</v>
      </c>
    </row>
    <row r="386" spans="1:14" x14ac:dyDescent="0.25">
      <c r="A386" s="1">
        <v>385</v>
      </c>
      <c r="B386" s="2">
        <v>40560</v>
      </c>
      <c r="C386" s="1">
        <v>12</v>
      </c>
      <c r="D386" s="1" t="b">
        <v>1</v>
      </c>
      <c r="E386" s="1">
        <v>1</v>
      </c>
      <c r="F386" s="1">
        <v>2</v>
      </c>
      <c r="G386" s="1">
        <v>0.18</v>
      </c>
      <c r="H386" s="1">
        <v>385</v>
      </c>
      <c r="I386" s="1">
        <v>0.19700000000000001</v>
      </c>
      <c r="J386" s="1">
        <v>0.47</v>
      </c>
      <c r="K386" s="1">
        <v>0.1343</v>
      </c>
      <c r="L386" s="1">
        <v>10</v>
      </c>
      <c r="M386" s="1">
        <v>70</v>
      </c>
      <c r="N386" s="1">
        <v>80</v>
      </c>
    </row>
    <row r="387" spans="1:14" x14ac:dyDescent="0.25">
      <c r="A387" s="1">
        <v>386</v>
      </c>
      <c r="B387" s="2">
        <v>40560</v>
      </c>
      <c r="C387" s="1">
        <v>13</v>
      </c>
      <c r="D387" s="1" t="b">
        <v>1</v>
      </c>
      <c r="E387" s="1">
        <v>1</v>
      </c>
      <c r="F387" s="1">
        <v>2</v>
      </c>
      <c r="G387" s="1">
        <v>0.18</v>
      </c>
      <c r="H387" s="1">
        <v>386</v>
      </c>
      <c r="I387" s="1">
        <v>0.19700000000000001</v>
      </c>
      <c r="J387" s="1">
        <v>0.47</v>
      </c>
      <c r="K387" s="1">
        <v>0.1343</v>
      </c>
      <c r="L387" s="1">
        <v>13</v>
      </c>
      <c r="M387" s="1">
        <v>80</v>
      </c>
      <c r="N387" s="1">
        <v>93</v>
      </c>
    </row>
    <row r="388" spans="1:14" x14ac:dyDescent="0.25">
      <c r="A388" s="1">
        <v>387</v>
      </c>
      <c r="B388" s="2">
        <v>40560</v>
      </c>
      <c r="C388" s="1">
        <v>14</v>
      </c>
      <c r="D388" s="1" t="b">
        <v>1</v>
      </c>
      <c r="E388" s="1">
        <v>1</v>
      </c>
      <c r="F388" s="1">
        <v>2</v>
      </c>
      <c r="G388" s="1">
        <v>0.18</v>
      </c>
      <c r="H388" s="1">
        <v>387</v>
      </c>
      <c r="I388" s="1">
        <v>0.21210000000000001</v>
      </c>
      <c r="J388" s="1">
        <v>0.43</v>
      </c>
      <c r="K388" s="1">
        <v>0.1045</v>
      </c>
      <c r="L388" s="1">
        <v>12</v>
      </c>
      <c r="M388" s="1">
        <v>74</v>
      </c>
      <c r="N388" s="1">
        <v>86</v>
      </c>
    </row>
    <row r="389" spans="1:14" x14ac:dyDescent="0.25">
      <c r="A389" s="1">
        <v>388</v>
      </c>
      <c r="B389" s="2">
        <v>40560</v>
      </c>
      <c r="C389" s="1">
        <v>15</v>
      </c>
      <c r="D389" s="1" t="b">
        <v>1</v>
      </c>
      <c r="E389" s="1">
        <v>1</v>
      </c>
      <c r="F389" s="1">
        <v>2</v>
      </c>
      <c r="G389" s="1">
        <v>0.2</v>
      </c>
      <c r="H389" s="1">
        <v>388</v>
      </c>
      <c r="I389" s="1">
        <v>0.21210000000000001</v>
      </c>
      <c r="J389" s="1">
        <v>0.47</v>
      </c>
      <c r="K389" s="1">
        <v>0.16420000000000001</v>
      </c>
      <c r="L389" s="1">
        <v>21</v>
      </c>
      <c r="M389" s="1">
        <v>72</v>
      </c>
      <c r="N389" s="1">
        <v>93</v>
      </c>
    </row>
    <row r="390" spans="1:14" x14ac:dyDescent="0.25">
      <c r="A390" s="1">
        <v>389</v>
      </c>
      <c r="B390" s="2">
        <v>40560</v>
      </c>
      <c r="C390" s="1">
        <v>16</v>
      </c>
      <c r="D390" s="1" t="b">
        <v>1</v>
      </c>
      <c r="E390" s="1">
        <v>1</v>
      </c>
      <c r="F390" s="1">
        <v>2</v>
      </c>
      <c r="G390" s="1">
        <v>0.2</v>
      </c>
      <c r="H390" s="1">
        <v>389</v>
      </c>
      <c r="I390" s="1">
        <v>0.21210000000000001</v>
      </c>
      <c r="J390" s="1">
        <v>0.47</v>
      </c>
      <c r="K390" s="1">
        <v>0.16420000000000001</v>
      </c>
      <c r="L390" s="1">
        <v>6</v>
      </c>
      <c r="M390" s="1">
        <v>76</v>
      </c>
      <c r="N390" s="1">
        <v>82</v>
      </c>
    </row>
    <row r="391" spans="1:14" x14ac:dyDescent="0.25">
      <c r="A391" s="1">
        <v>390</v>
      </c>
      <c r="B391" s="2">
        <v>40560</v>
      </c>
      <c r="C391" s="1">
        <v>17</v>
      </c>
      <c r="D391" s="1" t="b">
        <v>1</v>
      </c>
      <c r="E391" s="1">
        <v>1</v>
      </c>
      <c r="F391" s="1">
        <v>1</v>
      </c>
      <c r="G391" s="1">
        <v>0.2</v>
      </c>
      <c r="H391" s="1">
        <v>390</v>
      </c>
      <c r="I391" s="1">
        <v>0.19700000000000001</v>
      </c>
      <c r="J391" s="1">
        <v>0.51</v>
      </c>
      <c r="K391" s="1">
        <v>0.19400000000000001</v>
      </c>
      <c r="L391" s="1">
        <v>4</v>
      </c>
      <c r="M391" s="1">
        <v>67</v>
      </c>
      <c r="N391" s="1">
        <v>71</v>
      </c>
    </row>
    <row r="392" spans="1:14" x14ac:dyDescent="0.25">
      <c r="A392" s="1">
        <v>391</v>
      </c>
      <c r="B392" s="2">
        <v>40560</v>
      </c>
      <c r="C392" s="1">
        <v>18</v>
      </c>
      <c r="D392" s="1" t="b">
        <v>1</v>
      </c>
      <c r="E392" s="1">
        <v>1</v>
      </c>
      <c r="F392" s="1">
        <v>2</v>
      </c>
      <c r="G392" s="1">
        <v>0.18</v>
      </c>
      <c r="H392" s="1">
        <v>391</v>
      </c>
      <c r="I392" s="1">
        <v>0.16669999999999999</v>
      </c>
      <c r="J392" s="1">
        <v>0.55000000000000004</v>
      </c>
      <c r="K392" s="1">
        <v>0.25369999999999998</v>
      </c>
      <c r="L392" s="1">
        <v>7</v>
      </c>
      <c r="M392" s="1">
        <v>85</v>
      </c>
      <c r="N392" s="1">
        <v>92</v>
      </c>
    </row>
    <row r="393" spans="1:14" x14ac:dyDescent="0.25">
      <c r="A393" s="1">
        <v>392</v>
      </c>
      <c r="B393" s="2">
        <v>40560</v>
      </c>
      <c r="C393" s="1">
        <v>19</v>
      </c>
      <c r="D393" s="1" t="b">
        <v>1</v>
      </c>
      <c r="E393" s="1">
        <v>1</v>
      </c>
      <c r="F393" s="1">
        <v>3</v>
      </c>
      <c r="G393" s="1">
        <v>0.18</v>
      </c>
      <c r="H393" s="1">
        <v>392</v>
      </c>
      <c r="I393" s="1">
        <v>0.18179999999999999</v>
      </c>
      <c r="J393" s="1">
        <v>0.59</v>
      </c>
      <c r="K393" s="1">
        <v>0.19400000000000001</v>
      </c>
      <c r="L393" s="1">
        <v>2</v>
      </c>
      <c r="M393" s="1">
        <v>58</v>
      </c>
      <c r="N393" s="1">
        <v>60</v>
      </c>
    </row>
    <row r="394" spans="1:14" x14ac:dyDescent="0.25">
      <c r="A394" s="1">
        <v>393</v>
      </c>
      <c r="B394" s="2">
        <v>40560</v>
      </c>
      <c r="C394" s="1">
        <v>20</v>
      </c>
      <c r="D394" s="1" t="b">
        <v>1</v>
      </c>
      <c r="E394" s="1">
        <v>1</v>
      </c>
      <c r="F394" s="1">
        <v>3</v>
      </c>
      <c r="G394" s="1">
        <v>0.16</v>
      </c>
      <c r="H394" s="1">
        <v>393</v>
      </c>
      <c r="I394" s="1">
        <v>0.1515</v>
      </c>
      <c r="J394" s="1">
        <v>0.8</v>
      </c>
      <c r="K394" s="1">
        <v>0.19400000000000001</v>
      </c>
      <c r="L394" s="1">
        <v>4</v>
      </c>
      <c r="M394" s="1">
        <v>29</v>
      </c>
      <c r="N394" s="1">
        <v>33</v>
      </c>
    </row>
    <row r="395" spans="1:14" x14ac:dyDescent="0.25">
      <c r="A395" s="1">
        <v>394</v>
      </c>
      <c r="B395" s="2">
        <v>40560</v>
      </c>
      <c r="C395" s="1">
        <v>21</v>
      </c>
      <c r="D395" s="1" t="b">
        <v>1</v>
      </c>
      <c r="E395" s="1">
        <v>1</v>
      </c>
      <c r="F395" s="1">
        <v>3</v>
      </c>
      <c r="G395" s="1">
        <v>0.16</v>
      </c>
      <c r="H395" s="1">
        <v>394</v>
      </c>
      <c r="I395" s="1">
        <v>0.1515</v>
      </c>
      <c r="J395" s="1">
        <v>0.8</v>
      </c>
      <c r="K395" s="1">
        <v>0.19400000000000001</v>
      </c>
      <c r="L395" s="1">
        <v>3</v>
      </c>
      <c r="M395" s="1">
        <v>24</v>
      </c>
      <c r="N395" s="1">
        <v>27</v>
      </c>
    </row>
    <row r="396" spans="1:14" x14ac:dyDescent="0.25">
      <c r="A396" s="1">
        <v>395</v>
      </c>
      <c r="B396" s="2">
        <v>40560</v>
      </c>
      <c r="C396" s="1">
        <v>22</v>
      </c>
      <c r="D396" s="1" t="b">
        <v>1</v>
      </c>
      <c r="E396" s="1">
        <v>1</v>
      </c>
      <c r="F396" s="1">
        <v>3</v>
      </c>
      <c r="G396" s="1">
        <v>0.14000000000000001</v>
      </c>
      <c r="H396" s="1">
        <v>395</v>
      </c>
      <c r="I396" s="1">
        <v>0.1212</v>
      </c>
      <c r="J396" s="1">
        <v>0.93</v>
      </c>
      <c r="K396" s="1">
        <v>0.25369999999999998</v>
      </c>
      <c r="L396" s="1">
        <v>0</v>
      </c>
      <c r="M396" s="1">
        <v>13</v>
      </c>
      <c r="N396" s="1">
        <v>13</v>
      </c>
    </row>
    <row r="397" spans="1:14" x14ac:dyDescent="0.25">
      <c r="A397" s="1">
        <v>396</v>
      </c>
      <c r="B397" s="2">
        <v>40560</v>
      </c>
      <c r="C397" s="1">
        <v>23</v>
      </c>
      <c r="D397" s="1" t="b">
        <v>1</v>
      </c>
      <c r="E397" s="1">
        <v>1</v>
      </c>
      <c r="F397" s="1">
        <v>3</v>
      </c>
      <c r="G397" s="1">
        <v>0.16</v>
      </c>
      <c r="H397" s="1">
        <v>396</v>
      </c>
      <c r="I397" s="1">
        <v>0.13639999999999999</v>
      </c>
      <c r="J397" s="1">
        <v>0.86</v>
      </c>
      <c r="K397" s="1">
        <v>0.28360000000000002</v>
      </c>
      <c r="L397" s="1">
        <v>1</v>
      </c>
      <c r="M397" s="1">
        <v>3</v>
      </c>
      <c r="N397" s="1">
        <v>4</v>
      </c>
    </row>
    <row r="398" spans="1:14" x14ac:dyDescent="0.25">
      <c r="A398" s="1">
        <v>397</v>
      </c>
      <c r="B398" s="2">
        <v>40561</v>
      </c>
      <c r="C398" s="1">
        <v>12</v>
      </c>
      <c r="D398" s="1" t="b">
        <v>0</v>
      </c>
      <c r="E398" s="1">
        <v>2</v>
      </c>
      <c r="F398" s="1">
        <v>2</v>
      </c>
      <c r="G398" s="1">
        <v>0.2</v>
      </c>
      <c r="H398" s="1">
        <v>397</v>
      </c>
      <c r="I398" s="1">
        <v>0.18179999999999999</v>
      </c>
      <c r="J398" s="1">
        <v>0.86</v>
      </c>
      <c r="K398" s="1">
        <v>0.32840000000000003</v>
      </c>
      <c r="L398" s="1">
        <v>0</v>
      </c>
      <c r="M398" s="1">
        <v>3</v>
      </c>
      <c r="N398" s="1">
        <v>3</v>
      </c>
    </row>
    <row r="399" spans="1:14" x14ac:dyDescent="0.25">
      <c r="A399" s="1">
        <v>398</v>
      </c>
      <c r="B399" s="2">
        <v>40561</v>
      </c>
      <c r="C399" s="1">
        <v>13</v>
      </c>
      <c r="D399" s="1" t="b">
        <v>0</v>
      </c>
      <c r="E399" s="1">
        <v>2</v>
      </c>
      <c r="F399" s="1">
        <v>2</v>
      </c>
      <c r="G399" s="1">
        <v>0.2</v>
      </c>
      <c r="H399" s="1">
        <v>398</v>
      </c>
      <c r="I399" s="1">
        <v>0.19700000000000001</v>
      </c>
      <c r="J399" s="1">
        <v>0.86</v>
      </c>
      <c r="K399" s="1">
        <v>0.22389999999999999</v>
      </c>
      <c r="L399" s="1">
        <v>0</v>
      </c>
      <c r="M399" s="1">
        <v>22</v>
      </c>
      <c r="N399" s="1">
        <v>22</v>
      </c>
    </row>
    <row r="400" spans="1:14" x14ac:dyDescent="0.25">
      <c r="A400" s="1">
        <v>399</v>
      </c>
      <c r="B400" s="2">
        <v>40561</v>
      </c>
      <c r="C400" s="1">
        <v>14</v>
      </c>
      <c r="D400" s="1" t="b">
        <v>0</v>
      </c>
      <c r="E400" s="1">
        <v>2</v>
      </c>
      <c r="F400" s="1">
        <v>2</v>
      </c>
      <c r="G400" s="1">
        <v>0.22</v>
      </c>
      <c r="H400" s="1">
        <v>399</v>
      </c>
      <c r="I400" s="1">
        <v>0.2273</v>
      </c>
      <c r="J400" s="1">
        <v>0.8</v>
      </c>
      <c r="K400" s="1">
        <v>0.16420000000000001</v>
      </c>
      <c r="L400" s="1">
        <v>2</v>
      </c>
      <c r="M400" s="1">
        <v>26</v>
      </c>
      <c r="N400" s="1">
        <v>28</v>
      </c>
    </row>
    <row r="401" spans="1:14" x14ac:dyDescent="0.25">
      <c r="A401" s="1">
        <v>400</v>
      </c>
      <c r="B401" s="2">
        <v>40561</v>
      </c>
      <c r="C401" s="1">
        <v>15</v>
      </c>
      <c r="D401" s="1" t="b">
        <v>0</v>
      </c>
      <c r="E401" s="1">
        <v>2</v>
      </c>
      <c r="F401" s="1">
        <v>2</v>
      </c>
      <c r="G401" s="1">
        <v>0.22</v>
      </c>
      <c r="H401" s="1">
        <v>400</v>
      </c>
      <c r="I401" s="1">
        <v>0.2273</v>
      </c>
      <c r="J401" s="1">
        <v>0.87</v>
      </c>
      <c r="K401" s="1">
        <v>0.16420000000000001</v>
      </c>
      <c r="L401" s="1">
        <v>3</v>
      </c>
      <c r="M401" s="1">
        <v>32</v>
      </c>
      <c r="N401" s="1">
        <v>35</v>
      </c>
    </row>
    <row r="402" spans="1:14" x14ac:dyDescent="0.25">
      <c r="A402" s="1">
        <v>401</v>
      </c>
      <c r="B402" s="2">
        <v>40561</v>
      </c>
      <c r="C402" s="1">
        <v>16</v>
      </c>
      <c r="D402" s="1" t="b">
        <v>0</v>
      </c>
      <c r="E402" s="1">
        <v>2</v>
      </c>
      <c r="F402" s="1">
        <v>2</v>
      </c>
      <c r="G402" s="1">
        <v>0.22</v>
      </c>
      <c r="H402" s="1">
        <v>401</v>
      </c>
      <c r="I402" s="1">
        <v>0.2273</v>
      </c>
      <c r="J402" s="1">
        <v>0.87</v>
      </c>
      <c r="K402" s="1">
        <v>0.19400000000000001</v>
      </c>
      <c r="L402" s="1">
        <v>0</v>
      </c>
      <c r="M402" s="1">
        <v>61</v>
      </c>
      <c r="N402" s="1">
        <v>61</v>
      </c>
    </row>
    <row r="403" spans="1:14" x14ac:dyDescent="0.25">
      <c r="A403" s="1">
        <v>402</v>
      </c>
      <c r="B403" s="2">
        <v>40561</v>
      </c>
      <c r="C403" s="1">
        <v>17</v>
      </c>
      <c r="D403" s="1" t="b">
        <v>0</v>
      </c>
      <c r="E403" s="1">
        <v>2</v>
      </c>
      <c r="F403" s="1">
        <v>2</v>
      </c>
      <c r="G403" s="1">
        <v>0.22</v>
      </c>
      <c r="H403" s="1">
        <v>402</v>
      </c>
      <c r="I403" s="1">
        <v>0.2273</v>
      </c>
      <c r="J403" s="1">
        <v>0.82</v>
      </c>
      <c r="K403" s="1">
        <v>0.19400000000000001</v>
      </c>
      <c r="L403" s="1">
        <v>1</v>
      </c>
      <c r="M403" s="1">
        <v>124</v>
      </c>
      <c r="N403" s="1">
        <v>125</v>
      </c>
    </row>
    <row r="404" spans="1:14" x14ac:dyDescent="0.25">
      <c r="A404" s="1">
        <v>403</v>
      </c>
      <c r="B404" s="2">
        <v>40561</v>
      </c>
      <c r="C404" s="1">
        <v>18</v>
      </c>
      <c r="D404" s="1" t="b">
        <v>0</v>
      </c>
      <c r="E404" s="1">
        <v>2</v>
      </c>
      <c r="F404" s="1">
        <v>2</v>
      </c>
      <c r="G404" s="1">
        <v>0.22</v>
      </c>
      <c r="H404" s="1">
        <v>403</v>
      </c>
      <c r="I404" s="1">
        <v>0.2273</v>
      </c>
      <c r="J404" s="1">
        <v>0.8</v>
      </c>
      <c r="K404" s="1">
        <v>0.16420000000000001</v>
      </c>
      <c r="L404" s="1">
        <v>1</v>
      </c>
      <c r="M404" s="1">
        <v>132</v>
      </c>
      <c r="N404" s="1">
        <v>133</v>
      </c>
    </row>
    <row r="405" spans="1:14" x14ac:dyDescent="0.25">
      <c r="A405" s="1">
        <v>404</v>
      </c>
      <c r="B405" s="2">
        <v>40561</v>
      </c>
      <c r="C405" s="1">
        <v>19</v>
      </c>
      <c r="D405" s="1" t="b">
        <v>0</v>
      </c>
      <c r="E405" s="1">
        <v>2</v>
      </c>
      <c r="F405" s="1">
        <v>2</v>
      </c>
      <c r="G405" s="1">
        <v>0.22</v>
      </c>
      <c r="H405" s="1">
        <v>404</v>
      </c>
      <c r="I405" s="1">
        <v>0.2273</v>
      </c>
      <c r="J405" s="1">
        <v>0.8</v>
      </c>
      <c r="K405" s="1">
        <v>0.1343</v>
      </c>
      <c r="L405" s="1">
        <v>1</v>
      </c>
      <c r="M405" s="1">
        <v>98</v>
      </c>
      <c r="N405" s="1">
        <v>99</v>
      </c>
    </row>
    <row r="406" spans="1:14" x14ac:dyDescent="0.25">
      <c r="A406" s="1">
        <v>405</v>
      </c>
      <c r="B406" s="2">
        <v>40561</v>
      </c>
      <c r="C406" s="1">
        <v>20</v>
      </c>
      <c r="D406" s="1" t="b">
        <v>0</v>
      </c>
      <c r="E406" s="1">
        <v>2</v>
      </c>
      <c r="F406" s="1">
        <v>2</v>
      </c>
      <c r="G406" s="1">
        <v>0.22</v>
      </c>
      <c r="H406" s="1">
        <v>405</v>
      </c>
      <c r="I406" s="1">
        <v>0.2727</v>
      </c>
      <c r="J406" s="1">
        <v>0.87</v>
      </c>
      <c r="K406" s="1">
        <v>0</v>
      </c>
      <c r="L406" s="1">
        <v>0</v>
      </c>
      <c r="M406" s="1">
        <v>83</v>
      </c>
      <c r="N406" s="1">
        <v>83</v>
      </c>
    </row>
    <row r="407" spans="1:14" x14ac:dyDescent="0.25">
      <c r="A407" s="1">
        <v>406</v>
      </c>
      <c r="B407" s="2">
        <v>40561</v>
      </c>
      <c r="C407" s="1">
        <v>21</v>
      </c>
      <c r="D407" s="1" t="b">
        <v>0</v>
      </c>
      <c r="E407" s="1">
        <v>2</v>
      </c>
      <c r="F407" s="1">
        <v>2</v>
      </c>
      <c r="G407" s="1">
        <v>0.22</v>
      </c>
      <c r="H407" s="1">
        <v>406</v>
      </c>
      <c r="I407" s="1">
        <v>0.2424</v>
      </c>
      <c r="J407" s="1">
        <v>0.93</v>
      </c>
      <c r="K407" s="1">
        <v>0.1045</v>
      </c>
      <c r="L407" s="1">
        <v>0</v>
      </c>
      <c r="M407" s="1">
        <v>41</v>
      </c>
      <c r="N407" s="1">
        <v>41</v>
      </c>
    </row>
    <row r="408" spans="1:14" x14ac:dyDescent="0.25">
      <c r="A408" s="1">
        <v>407</v>
      </c>
      <c r="B408" s="2">
        <v>40561</v>
      </c>
      <c r="C408" s="1">
        <v>22</v>
      </c>
      <c r="D408" s="1" t="b">
        <v>0</v>
      </c>
      <c r="E408" s="1">
        <v>2</v>
      </c>
      <c r="F408" s="1">
        <v>2</v>
      </c>
      <c r="G408" s="1">
        <v>0.22</v>
      </c>
      <c r="H408" s="1">
        <v>407</v>
      </c>
      <c r="I408" s="1">
        <v>0.2576</v>
      </c>
      <c r="J408" s="1">
        <v>0.93</v>
      </c>
      <c r="K408" s="1">
        <v>8.9599999999999999E-2</v>
      </c>
      <c r="L408" s="1">
        <v>0</v>
      </c>
      <c r="M408" s="1">
        <v>33</v>
      </c>
      <c r="N408" s="1">
        <v>33</v>
      </c>
    </row>
    <row r="409" spans="1:14" x14ac:dyDescent="0.25">
      <c r="A409" s="1">
        <v>408</v>
      </c>
      <c r="B409" s="2">
        <v>40561</v>
      </c>
      <c r="C409" s="1">
        <v>23</v>
      </c>
      <c r="D409" s="1" t="b">
        <v>0</v>
      </c>
      <c r="E409" s="1">
        <v>2</v>
      </c>
      <c r="F409" s="1">
        <v>2</v>
      </c>
      <c r="G409" s="1">
        <v>0.22</v>
      </c>
      <c r="H409" s="1">
        <v>408</v>
      </c>
      <c r="I409" s="1">
        <v>0.2727</v>
      </c>
      <c r="J409" s="1">
        <v>0.93</v>
      </c>
      <c r="K409" s="1">
        <v>0</v>
      </c>
      <c r="L409" s="1">
        <v>1</v>
      </c>
      <c r="M409" s="1">
        <v>19</v>
      </c>
      <c r="N409" s="1">
        <v>20</v>
      </c>
    </row>
    <row r="410" spans="1:14" x14ac:dyDescent="0.25">
      <c r="A410" s="1">
        <v>409</v>
      </c>
      <c r="B410" s="2">
        <v>40562</v>
      </c>
      <c r="C410" s="1">
        <v>0</v>
      </c>
      <c r="D410" s="1" t="b">
        <v>0</v>
      </c>
      <c r="E410" s="1">
        <v>3</v>
      </c>
      <c r="F410" s="1">
        <v>2</v>
      </c>
      <c r="G410" s="1">
        <v>0.22</v>
      </c>
      <c r="H410" s="1">
        <v>409</v>
      </c>
      <c r="I410" s="1">
        <v>0.2727</v>
      </c>
      <c r="J410" s="1">
        <v>0.93</v>
      </c>
      <c r="K410" s="1">
        <v>0</v>
      </c>
      <c r="L410" s="1">
        <v>0</v>
      </c>
      <c r="M410" s="1">
        <v>3</v>
      </c>
      <c r="N410" s="1">
        <v>3</v>
      </c>
    </row>
    <row r="411" spans="1:14" x14ac:dyDescent="0.25">
      <c r="A411" s="1">
        <v>410</v>
      </c>
      <c r="B411" s="2">
        <v>40562</v>
      </c>
      <c r="C411" s="1">
        <v>1</v>
      </c>
      <c r="D411" s="1" t="b">
        <v>0</v>
      </c>
      <c r="E411" s="1">
        <v>3</v>
      </c>
      <c r="F411" s="1">
        <v>3</v>
      </c>
      <c r="G411" s="1">
        <v>0.22</v>
      </c>
      <c r="H411" s="1">
        <v>410</v>
      </c>
      <c r="I411" s="1">
        <v>0.2273</v>
      </c>
      <c r="J411" s="1">
        <v>0.93</v>
      </c>
      <c r="K411" s="1">
        <v>0.1343</v>
      </c>
      <c r="L411" s="1">
        <v>1</v>
      </c>
      <c r="M411" s="1">
        <v>6</v>
      </c>
      <c r="N411" s="1">
        <v>7</v>
      </c>
    </row>
    <row r="412" spans="1:14" x14ac:dyDescent="0.25">
      <c r="A412" s="1">
        <v>411</v>
      </c>
      <c r="B412" s="2">
        <v>40562</v>
      </c>
      <c r="C412" s="1">
        <v>2</v>
      </c>
      <c r="D412" s="1" t="b">
        <v>0</v>
      </c>
      <c r="E412" s="1">
        <v>3</v>
      </c>
      <c r="F412" s="1">
        <v>3</v>
      </c>
      <c r="G412" s="1">
        <v>0.22</v>
      </c>
      <c r="H412" s="1">
        <v>411</v>
      </c>
      <c r="I412" s="1">
        <v>0.2273</v>
      </c>
      <c r="J412" s="1">
        <v>0.93</v>
      </c>
      <c r="K412" s="1">
        <v>0.1343</v>
      </c>
      <c r="L412" s="1">
        <v>0</v>
      </c>
      <c r="M412" s="1">
        <v>3</v>
      </c>
      <c r="N412" s="1">
        <v>3</v>
      </c>
    </row>
    <row r="413" spans="1:14" x14ac:dyDescent="0.25">
      <c r="A413" s="1">
        <v>412</v>
      </c>
      <c r="B413" s="2">
        <v>40562</v>
      </c>
      <c r="C413" s="1">
        <v>4</v>
      </c>
      <c r="D413" s="1" t="b">
        <v>0</v>
      </c>
      <c r="E413" s="1">
        <v>3</v>
      </c>
      <c r="F413" s="1">
        <v>3</v>
      </c>
      <c r="G413" s="1">
        <v>0.22</v>
      </c>
      <c r="H413" s="1">
        <v>412</v>
      </c>
      <c r="I413" s="1">
        <v>0.2273</v>
      </c>
      <c r="J413" s="1">
        <v>0.93</v>
      </c>
      <c r="K413" s="1">
        <v>0.1343</v>
      </c>
      <c r="L413" s="1">
        <v>1</v>
      </c>
      <c r="M413" s="1">
        <v>1</v>
      </c>
      <c r="N413" s="1">
        <v>2</v>
      </c>
    </row>
    <row r="414" spans="1:14" x14ac:dyDescent="0.25">
      <c r="A414" s="1">
        <v>413</v>
      </c>
      <c r="B414" s="2">
        <v>40562</v>
      </c>
      <c r="C414" s="1">
        <v>5</v>
      </c>
      <c r="D414" s="1" t="b">
        <v>0</v>
      </c>
      <c r="E414" s="1">
        <v>3</v>
      </c>
      <c r="F414" s="1">
        <v>2</v>
      </c>
      <c r="G414" s="1">
        <v>0.22</v>
      </c>
      <c r="H414" s="1">
        <v>413</v>
      </c>
      <c r="I414" s="1">
        <v>0.2576</v>
      </c>
      <c r="J414" s="1">
        <v>0.93</v>
      </c>
      <c r="K414" s="1">
        <v>8.9599999999999999E-2</v>
      </c>
      <c r="L414" s="1">
        <v>0</v>
      </c>
      <c r="M414" s="1">
        <v>7</v>
      </c>
      <c r="N414" s="1">
        <v>7</v>
      </c>
    </row>
    <row r="415" spans="1:14" x14ac:dyDescent="0.25">
      <c r="A415" s="1">
        <v>414</v>
      </c>
      <c r="B415" s="2">
        <v>40562</v>
      </c>
      <c r="C415" s="1">
        <v>6</v>
      </c>
      <c r="D415" s="1" t="b">
        <v>0</v>
      </c>
      <c r="E415" s="1">
        <v>3</v>
      </c>
      <c r="F415" s="1">
        <v>2</v>
      </c>
      <c r="G415" s="1">
        <v>0.22</v>
      </c>
      <c r="H415" s="1">
        <v>414</v>
      </c>
      <c r="I415" s="1">
        <v>0.2576</v>
      </c>
      <c r="J415" s="1">
        <v>0.93</v>
      </c>
      <c r="K415" s="1">
        <v>8.9599999999999999E-2</v>
      </c>
      <c r="L415" s="1">
        <v>0</v>
      </c>
      <c r="M415" s="1">
        <v>32</v>
      </c>
      <c r="N415" s="1">
        <v>32</v>
      </c>
    </row>
    <row r="416" spans="1:14" x14ac:dyDescent="0.25">
      <c r="A416" s="1">
        <v>415</v>
      </c>
      <c r="B416" s="2">
        <v>40562</v>
      </c>
      <c r="C416" s="1">
        <v>7</v>
      </c>
      <c r="D416" s="1" t="b">
        <v>0</v>
      </c>
      <c r="E416" s="1">
        <v>3</v>
      </c>
      <c r="F416" s="1">
        <v>2</v>
      </c>
      <c r="G416" s="1">
        <v>0.24</v>
      </c>
      <c r="H416" s="1">
        <v>415</v>
      </c>
      <c r="I416" s="1">
        <v>0.2576</v>
      </c>
      <c r="J416" s="1">
        <v>0.92</v>
      </c>
      <c r="K416" s="1">
        <v>0.1045</v>
      </c>
      <c r="L416" s="1">
        <v>1</v>
      </c>
      <c r="M416" s="1">
        <v>89</v>
      </c>
      <c r="N416" s="1">
        <v>90</v>
      </c>
    </row>
    <row r="417" spans="1:14" x14ac:dyDescent="0.25">
      <c r="A417" s="1">
        <v>416</v>
      </c>
      <c r="B417" s="2">
        <v>40562</v>
      </c>
      <c r="C417" s="1">
        <v>8</v>
      </c>
      <c r="D417" s="1" t="b">
        <v>0</v>
      </c>
      <c r="E417" s="1">
        <v>3</v>
      </c>
      <c r="F417" s="1">
        <v>2</v>
      </c>
      <c r="G417" s="1">
        <v>0.24</v>
      </c>
      <c r="H417" s="1">
        <v>416</v>
      </c>
      <c r="I417" s="1">
        <v>0.2576</v>
      </c>
      <c r="J417" s="1">
        <v>0.93</v>
      </c>
      <c r="K417" s="1">
        <v>0.1045</v>
      </c>
      <c r="L417" s="1">
        <v>1</v>
      </c>
      <c r="M417" s="1">
        <v>196</v>
      </c>
      <c r="N417" s="1">
        <v>197</v>
      </c>
    </row>
    <row r="418" spans="1:14" x14ac:dyDescent="0.25">
      <c r="A418" s="1">
        <v>417</v>
      </c>
      <c r="B418" s="2">
        <v>40562</v>
      </c>
      <c r="C418" s="1">
        <v>9</v>
      </c>
      <c r="D418" s="1" t="b">
        <v>0</v>
      </c>
      <c r="E418" s="1">
        <v>3</v>
      </c>
      <c r="F418" s="1">
        <v>2</v>
      </c>
      <c r="G418" s="1">
        <v>0.24</v>
      </c>
      <c r="H418" s="1">
        <v>417</v>
      </c>
      <c r="I418" s="1">
        <v>0.2576</v>
      </c>
      <c r="J418" s="1">
        <v>0.93</v>
      </c>
      <c r="K418" s="1">
        <v>0.1045</v>
      </c>
      <c r="L418" s="1">
        <v>2</v>
      </c>
      <c r="M418" s="1">
        <v>107</v>
      </c>
      <c r="N418" s="1">
        <v>109</v>
      </c>
    </row>
    <row r="419" spans="1:14" x14ac:dyDescent="0.25">
      <c r="A419" s="1">
        <v>418</v>
      </c>
      <c r="B419" s="2">
        <v>40562</v>
      </c>
      <c r="C419" s="1">
        <v>10</v>
      </c>
      <c r="D419" s="1" t="b">
        <v>0</v>
      </c>
      <c r="E419" s="1">
        <v>3</v>
      </c>
      <c r="F419" s="1">
        <v>2</v>
      </c>
      <c r="G419" s="1">
        <v>0.26</v>
      </c>
      <c r="H419" s="1">
        <v>418</v>
      </c>
      <c r="I419" s="1">
        <v>0.2727</v>
      </c>
      <c r="J419" s="1">
        <v>0.93</v>
      </c>
      <c r="K419" s="1">
        <v>0.1343</v>
      </c>
      <c r="L419" s="1">
        <v>1</v>
      </c>
      <c r="M419" s="1">
        <v>46</v>
      </c>
      <c r="N419" s="1">
        <v>47</v>
      </c>
    </row>
    <row r="420" spans="1:14" x14ac:dyDescent="0.25">
      <c r="A420" s="1">
        <v>419</v>
      </c>
      <c r="B420" s="2">
        <v>40562</v>
      </c>
      <c r="C420" s="1">
        <v>11</v>
      </c>
      <c r="D420" s="1" t="b">
        <v>0</v>
      </c>
      <c r="E420" s="1">
        <v>3</v>
      </c>
      <c r="F420" s="1">
        <v>2</v>
      </c>
      <c r="G420" s="1">
        <v>0.28000000000000003</v>
      </c>
      <c r="H420" s="1">
        <v>419</v>
      </c>
      <c r="I420" s="1">
        <v>0.30299999999999999</v>
      </c>
      <c r="J420" s="1">
        <v>0.87</v>
      </c>
      <c r="K420" s="1">
        <v>8.9599999999999999E-2</v>
      </c>
      <c r="L420" s="1">
        <v>5</v>
      </c>
      <c r="M420" s="1">
        <v>47</v>
      </c>
      <c r="N420" s="1">
        <v>52</v>
      </c>
    </row>
    <row r="421" spans="1:14" x14ac:dyDescent="0.25">
      <c r="A421" s="1">
        <v>420</v>
      </c>
      <c r="B421" s="2">
        <v>40562</v>
      </c>
      <c r="C421" s="1">
        <v>12</v>
      </c>
      <c r="D421" s="1" t="b">
        <v>0</v>
      </c>
      <c r="E421" s="1">
        <v>3</v>
      </c>
      <c r="F421" s="1">
        <v>2</v>
      </c>
      <c r="G421" s="1">
        <v>0.3</v>
      </c>
      <c r="H421" s="1">
        <v>420</v>
      </c>
      <c r="I421" s="1">
        <v>0.31819999999999998</v>
      </c>
      <c r="J421" s="1">
        <v>0.81</v>
      </c>
      <c r="K421" s="1">
        <v>8.9599999999999999E-2</v>
      </c>
      <c r="L421" s="1">
        <v>5</v>
      </c>
      <c r="M421" s="1">
        <v>65</v>
      </c>
      <c r="N421" s="1">
        <v>70</v>
      </c>
    </row>
    <row r="422" spans="1:14" x14ac:dyDescent="0.25">
      <c r="A422" s="1">
        <v>421</v>
      </c>
      <c r="B422" s="2">
        <v>40562</v>
      </c>
      <c r="C422" s="1">
        <v>13</v>
      </c>
      <c r="D422" s="1" t="b">
        <v>0</v>
      </c>
      <c r="E422" s="1">
        <v>3</v>
      </c>
      <c r="F422" s="1">
        <v>1</v>
      </c>
      <c r="G422" s="1">
        <v>0.4</v>
      </c>
      <c r="H422" s="1">
        <v>421</v>
      </c>
      <c r="I422" s="1">
        <v>0.40910000000000002</v>
      </c>
      <c r="J422" s="1">
        <v>0.62</v>
      </c>
      <c r="K422" s="1">
        <v>0.28360000000000002</v>
      </c>
      <c r="L422" s="1">
        <v>11</v>
      </c>
      <c r="M422" s="1">
        <v>67</v>
      </c>
      <c r="N422" s="1">
        <v>78</v>
      </c>
    </row>
    <row r="423" spans="1:14" x14ac:dyDescent="0.25">
      <c r="A423" s="1">
        <v>422</v>
      </c>
      <c r="B423" s="2">
        <v>40562</v>
      </c>
      <c r="C423" s="1">
        <v>14</v>
      </c>
      <c r="D423" s="1" t="b">
        <v>0</v>
      </c>
      <c r="E423" s="1">
        <v>3</v>
      </c>
      <c r="F423" s="1">
        <v>1</v>
      </c>
      <c r="G423" s="1">
        <v>0.4</v>
      </c>
      <c r="H423" s="1">
        <v>422</v>
      </c>
      <c r="I423" s="1">
        <v>0.40910000000000002</v>
      </c>
      <c r="J423" s="1">
        <v>0.57999999999999996</v>
      </c>
      <c r="K423" s="1">
        <v>0.25369999999999998</v>
      </c>
      <c r="L423" s="1">
        <v>7</v>
      </c>
      <c r="M423" s="1">
        <v>68</v>
      </c>
      <c r="N423" s="1">
        <v>75</v>
      </c>
    </row>
    <row r="424" spans="1:14" x14ac:dyDescent="0.25">
      <c r="A424" s="1">
        <v>423</v>
      </c>
      <c r="B424" s="2">
        <v>40562</v>
      </c>
      <c r="C424" s="1">
        <v>15</v>
      </c>
      <c r="D424" s="1" t="b">
        <v>0</v>
      </c>
      <c r="E424" s="1">
        <v>3</v>
      </c>
      <c r="F424" s="1">
        <v>1</v>
      </c>
      <c r="G424" s="1">
        <v>0.4</v>
      </c>
      <c r="H424" s="1">
        <v>423</v>
      </c>
      <c r="I424" s="1">
        <v>0.40910000000000002</v>
      </c>
      <c r="J424" s="1">
        <v>0.54</v>
      </c>
      <c r="K424" s="1">
        <v>0.28360000000000002</v>
      </c>
      <c r="L424" s="1">
        <v>4</v>
      </c>
      <c r="M424" s="1">
        <v>78</v>
      </c>
      <c r="N424" s="1">
        <v>82</v>
      </c>
    </row>
    <row r="425" spans="1:14" x14ac:dyDescent="0.25">
      <c r="A425" s="1">
        <v>424</v>
      </c>
      <c r="B425" s="2">
        <v>40562</v>
      </c>
      <c r="C425" s="1">
        <v>16</v>
      </c>
      <c r="D425" s="1" t="b">
        <v>0</v>
      </c>
      <c r="E425" s="1">
        <v>3</v>
      </c>
      <c r="F425" s="1">
        <v>1</v>
      </c>
      <c r="G425" s="1">
        <v>0.38</v>
      </c>
      <c r="H425" s="1">
        <v>424</v>
      </c>
      <c r="I425" s="1">
        <v>0.39389999999999997</v>
      </c>
      <c r="J425" s="1">
        <v>0.57999999999999996</v>
      </c>
      <c r="K425" s="1">
        <v>0.3881</v>
      </c>
      <c r="L425" s="1">
        <v>10</v>
      </c>
      <c r="M425" s="1">
        <v>94</v>
      </c>
      <c r="N425" s="1">
        <v>104</v>
      </c>
    </row>
    <row r="426" spans="1:14" x14ac:dyDescent="0.25">
      <c r="A426" s="1">
        <v>425</v>
      </c>
      <c r="B426" s="2">
        <v>40562</v>
      </c>
      <c r="C426" s="1">
        <v>17</v>
      </c>
      <c r="D426" s="1" t="b">
        <v>0</v>
      </c>
      <c r="E426" s="1">
        <v>3</v>
      </c>
      <c r="F426" s="1">
        <v>1</v>
      </c>
      <c r="G426" s="1">
        <v>0.36</v>
      </c>
      <c r="H426" s="1">
        <v>425</v>
      </c>
      <c r="I426" s="1">
        <v>0.33329999999999999</v>
      </c>
      <c r="J426" s="1">
        <v>0.56999999999999995</v>
      </c>
      <c r="K426" s="1">
        <v>0.32840000000000003</v>
      </c>
      <c r="L426" s="1">
        <v>7</v>
      </c>
      <c r="M426" s="1">
        <v>190</v>
      </c>
      <c r="N426" s="1">
        <v>197</v>
      </c>
    </row>
    <row r="427" spans="1:14" x14ac:dyDescent="0.25">
      <c r="A427" s="1">
        <v>426</v>
      </c>
      <c r="B427" s="2">
        <v>40562</v>
      </c>
      <c r="C427" s="1">
        <v>18</v>
      </c>
      <c r="D427" s="1" t="b">
        <v>0</v>
      </c>
      <c r="E427" s="1">
        <v>3</v>
      </c>
      <c r="F427" s="1">
        <v>1</v>
      </c>
      <c r="G427" s="1">
        <v>0.34</v>
      </c>
      <c r="H427" s="1">
        <v>426</v>
      </c>
      <c r="I427" s="1">
        <v>0.31819999999999998</v>
      </c>
      <c r="J427" s="1">
        <v>0.61</v>
      </c>
      <c r="K427" s="1">
        <v>0.28360000000000002</v>
      </c>
      <c r="L427" s="1">
        <v>5</v>
      </c>
      <c r="M427" s="1">
        <v>156</v>
      </c>
      <c r="N427" s="1">
        <v>161</v>
      </c>
    </row>
    <row r="428" spans="1:14" x14ac:dyDescent="0.25">
      <c r="A428" s="1">
        <v>427</v>
      </c>
      <c r="B428" s="2">
        <v>40562</v>
      </c>
      <c r="C428" s="1">
        <v>19</v>
      </c>
      <c r="D428" s="1" t="b">
        <v>0</v>
      </c>
      <c r="E428" s="1">
        <v>3</v>
      </c>
      <c r="F428" s="1">
        <v>1</v>
      </c>
      <c r="G428" s="1">
        <v>0.32</v>
      </c>
      <c r="H428" s="1">
        <v>427</v>
      </c>
      <c r="I428" s="1">
        <v>0.28789999999999999</v>
      </c>
      <c r="J428" s="1">
        <v>0.56999999999999995</v>
      </c>
      <c r="K428" s="1">
        <v>0.41789999999999999</v>
      </c>
      <c r="L428" s="1">
        <v>4</v>
      </c>
      <c r="M428" s="1">
        <v>108</v>
      </c>
      <c r="N428" s="1">
        <v>112</v>
      </c>
    </row>
    <row r="429" spans="1:14" x14ac:dyDescent="0.25">
      <c r="A429" s="1">
        <v>428</v>
      </c>
      <c r="B429" s="2">
        <v>40562</v>
      </c>
      <c r="C429" s="1">
        <v>20</v>
      </c>
      <c r="D429" s="1" t="b">
        <v>0</v>
      </c>
      <c r="E429" s="1">
        <v>3</v>
      </c>
      <c r="F429" s="1">
        <v>1</v>
      </c>
      <c r="G429" s="1">
        <v>0.32</v>
      </c>
      <c r="H429" s="1">
        <v>428</v>
      </c>
      <c r="I429" s="1">
        <v>0.30299999999999999</v>
      </c>
      <c r="J429" s="1">
        <v>0.49</v>
      </c>
      <c r="K429" s="1">
        <v>0.29849999999999999</v>
      </c>
      <c r="L429" s="1">
        <v>2</v>
      </c>
      <c r="M429" s="1">
        <v>74</v>
      </c>
      <c r="N429" s="1">
        <v>76</v>
      </c>
    </row>
    <row r="430" spans="1:14" x14ac:dyDescent="0.25">
      <c r="A430" s="1">
        <v>429</v>
      </c>
      <c r="B430" s="2">
        <v>40562</v>
      </c>
      <c r="C430" s="1">
        <v>21</v>
      </c>
      <c r="D430" s="1" t="b">
        <v>0</v>
      </c>
      <c r="E430" s="1">
        <v>3</v>
      </c>
      <c r="F430" s="1">
        <v>1</v>
      </c>
      <c r="G430" s="1">
        <v>0.32</v>
      </c>
      <c r="H430" s="1">
        <v>429</v>
      </c>
      <c r="I430" s="1">
        <v>0.28789999999999999</v>
      </c>
      <c r="J430" s="1">
        <v>0.49</v>
      </c>
      <c r="K430" s="1">
        <v>0.41789999999999999</v>
      </c>
      <c r="L430" s="1">
        <v>4</v>
      </c>
      <c r="M430" s="1">
        <v>55</v>
      </c>
      <c r="N430" s="1">
        <v>59</v>
      </c>
    </row>
    <row r="431" spans="1:14" x14ac:dyDescent="0.25">
      <c r="A431" s="1">
        <v>430</v>
      </c>
      <c r="B431" s="2">
        <v>40562</v>
      </c>
      <c r="C431" s="1">
        <v>22</v>
      </c>
      <c r="D431" s="1" t="b">
        <v>0</v>
      </c>
      <c r="E431" s="1">
        <v>3</v>
      </c>
      <c r="F431" s="1">
        <v>1</v>
      </c>
      <c r="G431" s="1">
        <v>0.3</v>
      </c>
      <c r="H431" s="1">
        <v>430</v>
      </c>
      <c r="I431" s="1">
        <v>0.30299999999999999</v>
      </c>
      <c r="J431" s="1">
        <v>0.52</v>
      </c>
      <c r="K431" s="1">
        <v>0.16420000000000001</v>
      </c>
      <c r="L431" s="1">
        <v>6</v>
      </c>
      <c r="M431" s="1">
        <v>53</v>
      </c>
      <c r="N431" s="1">
        <v>59</v>
      </c>
    </row>
    <row r="432" spans="1:14" x14ac:dyDescent="0.25">
      <c r="A432" s="1">
        <v>431</v>
      </c>
      <c r="B432" s="2">
        <v>40562</v>
      </c>
      <c r="C432" s="1">
        <v>23</v>
      </c>
      <c r="D432" s="1" t="b">
        <v>0</v>
      </c>
      <c r="E432" s="1">
        <v>3</v>
      </c>
      <c r="F432" s="1">
        <v>1</v>
      </c>
      <c r="G432" s="1">
        <v>0.3</v>
      </c>
      <c r="H432" s="1">
        <v>431</v>
      </c>
      <c r="I432" s="1">
        <v>0.2727</v>
      </c>
      <c r="J432" s="1">
        <v>0.52</v>
      </c>
      <c r="K432" s="1">
        <v>0.4627</v>
      </c>
      <c r="L432" s="1">
        <v>1</v>
      </c>
      <c r="M432" s="1">
        <v>27</v>
      </c>
      <c r="N432" s="1">
        <v>28</v>
      </c>
    </row>
    <row r="433" spans="1:14" x14ac:dyDescent="0.25">
      <c r="A433" s="1">
        <v>432</v>
      </c>
      <c r="B433" s="2">
        <v>40563</v>
      </c>
      <c r="C433" s="1">
        <v>0</v>
      </c>
      <c r="D433" s="1" t="b">
        <v>0</v>
      </c>
      <c r="E433" s="1">
        <v>4</v>
      </c>
      <c r="F433" s="1">
        <v>1</v>
      </c>
      <c r="G433" s="1">
        <v>0.26</v>
      </c>
      <c r="H433" s="1">
        <v>432</v>
      </c>
      <c r="I433" s="1">
        <v>0.2273</v>
      </c>
      <c r="J433" s="1">
        <v>0.56000000000000005</v>
      </c>
      <c r="K433" s="1">
        <v>0.3881</v>
      </c>
      <c r="L433" s="1">
        <v>5</v>
      </c>
      <c r="M433" s="1">
        <v>8</v>
      </c>
      <c r="N433" s="1">
        <v>13</v>
      </c>
    </row>
    <row r="434" spans="1:14" x14ac:dyDescent="0.25">
      <c r="A434" s="1">
        <v>433</v>
      </c>
      <c r="B434" s="2">
        <v>40563</v>
      </c>
      <c r="C434" s="1">
        <v>1</v>
      </c>
      <c r="D434" s="1" t="b">
        <v>0</v>
      </c>
      <c r="E434" s="1">
        <v>4</v>
      </c>
      <c r="F434" s="1">
        <v>1</v>
      </c>
      <c r="G434" s="1">
        <v>0.26</v>
      </c>
      <c r="H434" s="1">
        <v>433</v>
      </c>
      <c r="I434" s="1">
        <v>0.2727</v>
      </c>
      <c r="J434" s="1">
        <v>0.56000000000000005</v>
      </c>
      <c r="K434" s="1">
        <v>0</v>
      </c>
      <c r="L434" s="1">
        <v>2</v>
      </c>
      <c r="M434" s="1">
        <v>3</v>
      </c>
      <c r="N434" s="1">
        <v>5</v>
      </c>
    </row>
    <row r="435" spans="1:14" x14ac:dyDescent="0.25">
      <c r="A435" s="1">
        <v>434</v>
      </c>
      <c r="B435" s="2">
        <v>40563</v>
      </c>
      <c r="C435" s="1">
        <v>2</v>
      </c>
      <c r="D435" s="1" t="b">
        <v>0</v>
      </c>
      <c r="E435" s="1">
        <v>4</v>
      </c>
      <c r="F435" s="1">
        <v>1</v>
      </c>
      <c r="G435" s="1">
        <v>0.26</v>
      </c>
      <c r="H435" s="1">
        <v>434</v>
      </c>
      <c r="I435" s="1">
        <v>0.2727</v>
      </c>
      <c r="J435" s="1">
        <v>0.56000000000000005</v>
      </c>
      <c r="K435" s="1">
        <v>0</v>
      </c>
      <c r="L435" s="1">
        <v>0</v>
      </c>
      <c r="M435" s="1">
        <v>2</v>
      </c>
      <c r="N435" s="1">
        <v>2</v>
      </c>
    </row>
    <row r="436" spans="1:14" x14ac:dyDescent="0.25">
      <c r="A436" s="1">
        <v>435</v>
      </c>
      <c r="B436" s="2">
        <v>40563</v>
      </c>
      <c r="C436" s="1">
        <v>3</v>
      </c>
      <c r="D436" s="1" t="b">
        <v>0</v>
      </c>
      <c r="E436" s="1">
        <v>4</v>
      </c>
      <c r="F436" s="1">
        <v>1</v>
      </c>
      <c r="G436" s="1">
        <v>0.26</v>
      </c>
      <c r="H436" s="1">
        <v>435</v>
      </c>
      <c r="I436" s="1">
        <v>0.2576</v>
      </c>
      <c r="J436" s="1">
        <v>0.56000000000000005</v>
      </c>
      <c r="K436" s="1">
        <v>0.16420000000000001</v>
      </c>
      <c r="L436" s="1">
        <v>0</v>
      </c>
      <c r="M436" s="1">
        <v>1</v>
      </c>
      <c r="N436" s="1">
        <v>1</v>
      </c>
    </row>
    <row r="437" spans="1:14" x14ac:dyDescent="0.25">
      <c r="A437" s="1">
        <v>436</v>
      </c>
      <c r="B437" s="2">
        <v>40563</v>
      </c>
      <c r="C437" s="1">
        <v>4</v>
      </c>
      <c r="D437" s="1" t="b">
        <v>0</v>
      </c>
      <c r="E437" s="1">
        <v>4</v>
      </c>
      <c r="F437" s="1">
        <v>1</v>
      </c>
      <c r="G437" s="1">
        <v>0.26</v>
      </c>
      <c r="H437" s="1">
        <v>436</v>
      </c>
      <c r="I437" s="1">
        <v>0.2576</v>
      </c>
      <c r="J437" s="1">
        <v>0.56000000000000005</v>
      </c>
      <c r="K437" s="1">
        <v>0.16420000000000001</v>
      </c>
      <c r="L437" s="1">
        <v>0</v>
      </c>
      <c r="M437" s="1">
        <v>1</v>
      </c>
      <c r="N437" s="1">
        <v>1</v>
      </c>
    </row>
    <row r="438" spans="1:14" x14ac:dyDescent="0.25">
      <c r="A438" s="1">
        <v>437</v>
      </c>
      <c r="B438" s="2">
        <v>40563</v>
      </c>
      <c r="C438" s="1">
        <v>5</v>
      </c>
      <c r="D438" s="1" t="b">
        <v>0</v>
      </c>
      <c r="E438" s="1">
        <v>4</v>
      </c>
      <c r="F438" s="1">
        <v>1</v>
      </c>
      <c r="G438" s="1">
        <v>0.24</v>
      </c>
      <c r="H438" s="1">
        <v>437</v>
      </c>
      <c r="I438" s="1">
        <v>0.2273</v>
      </c>
      <c r="J438" s="1">
        <v>0.6</v>
      </c>
      <c r="K438" s="1">
        <v>0.22389999999999999</v>
      </c>
      <c r="L438" s="1">
        <v>0</v>
      </c>
      <c r="M438" s="1">
        <v>6</v>
      </c>
      <c r="N438" s="1">
        <v>6</v>
      </c>
    </row>
    <row r="439" spans="1:14" x14ac:dyDescent="0.25">
      <c r="A439" s="1">
        <v>438</v>
      </c>
      <c r="B439" s="2">
        <v>40563</v>
      </c>
      <c r="C439" s="1">
        <v>6</v>
      </c>
      <c r="D439" s="1" t="b">
        <v>0</v>
      </c>
      <c r="E439" s="1">
        <v>4</v>
      </c>
      <c r="F439" s="1">
        <v>1</v>
      </c>
      <c r="G439" s="1">
        <v>0.22</v>
      </c>
      <c r="H439" s="1">
        <v>438</v>
      </c>
      <c r="I439" s="1">
        <v>0.21210000000000001</v>
      </c>
      <c r="J439" s="1">
        <v>0.6</v>
      </c>
      <c r="K439" s="1">
        <v>0.22389999999999999</v>
      </c>
      <c r="L439" s="1">
        <v>0</v>
      </c>
      <c r="M439" s="1">
        <v>35</v>
      </c>
      <c r="N439" s="1">
        <v>35</v>
      </c>
    </row>
    <row r="440" spans="1:14" x14ac:dyDescent="0.25">
      <c r="A440" s="1">
        <v>439</v>
      </c>
      <c r="B440" s="2">
        <v>40563</v>
      </c>
      <c r="C440" s="1">
        <v>7</v>
      </c>
      <c r="D440" s="1" t="b">
        <v>0</v>
      </c>
      <c r="E440" s="1">
        <v>4</v>
      </c>
      <c r="F440" s="1">
        <v>1</v>
      </c>
      <c r="G440" s="1">
        <v>0.22</v>
      </c>
      <c r="H440" s="1">
        <v>439</v>
      </c>
      <c r="I440" s="1">
        <v>0.21210000000000001</v>
      </c>
      <c r="J440" s="1">
        <v>0.55000000000000004</v>
      </c>
      <c r="K440" s="1">
        <v>0.22389999999999999</v>
      </c>
      <c r="L440" s="1">
        <v>1</v>
      </c>
      <c r="M440" s="1">
        <v>100</v>
      </c>
      <c r="N440" s="1">
        <v>101</v>
      </c>
    </row>
    <row r="441" spans="1:14" x14ac:dyDescent="0.25">
      <c r="A441" s="1">
        <v>440</v>
      </c>
      <c r="B441" s="2">
        <v>40563</v>
      </c>
      <c r="C441" s="1">
        <v>8</v>
      </c>
      <c r="D441" s="1" t="b">
        <v>0</v>
      </c>
      <c r="E441" s="1">
        <v>4</v>
      </c>
      <c r="F441" s="1">
        <v>1</v>
      </c>
      <c r="G441" s="1">
        <v>0.22</v>
      </c>
      <c r="H441" s="1">
        <v>440</v>
      </c>
      <c r="I441" s="1">
        <v>0.21210000000000001</v>
      </c>
      <c r="J441" s="1">
        <v>0.55000000000000004</v>
      </c>
      <c r="K441" s="1">
        <v>0.28360000000000002</v>
      </c>
      <c r="L441" s="1">
        <v>2</v>
      </c>
      <c r="M441" s="1">
        <v>247</v>
      </c>
      <c r="N441" s="1">
        <v>249</v>
      </c>
    </row>
    <row r="442" spans="1:14" x14ac:dyDescent="0.25">
      <c r="A442" s="1">
        <v>441</v>
      </c>
      <c r="B442" s="2">
        <v>40563</v>
      </c>
      <c r="C442" s="1">
        <v>9</v>
      </c>
      <c r="D442" s="1" t="b">
        <v>0</v>
      </c>
      <c r="E442" s="1">
        <v>4</v>
      </c>
      <c r="F442" s="1">
        <v>2</v>
      </c>
      <c r="G442" s="1">
        <v>0.24</v>
      </c>
      <c r="H442" s="1">
        <v>441</v>
      </c>
      <c r="I442" s="1">
        <v>0.2273</v>
      </c>
      <c r="J442" s="1">
        <v>0.52</v>
      </c>
      <c r="K442" s="1">
        <v>0.22389999999999999</v>
      </c>
      <c r="L442" s="1">
        <v>3</v>
      </c>
      <c r="M442" s="1">
        <v>140</v>
      </c>
      <c r="N442" s="1">
        <v>143</v>
      </c>
    </row>
    <row r="443" spans="1:14" x14ac:dyDescent="0.25">
      <c r="A443" s="1">
        <v>442</v>
      </c>
      <c r="B443" s="2">
        <v>40563</v>
      </c>
      <c r="C443" s="1">
        <v>10</v>
      </c>
      <c r="D443" s="1" t="b">
        <v>0</v>
      </c>
      <c r="E443" s="1">
        <v>4</v>
      </c>
      <c r="F443" s="1">
        <v>1</v>
      </c>
      <c r="G443" s="1">
        <v>0.26</v>
      </c>
      <c r="H443" s="1">
        <v>442</v>
      </c>
      <c r="I443" s="1">
        <v>0.2273</v>
      </c>
      <c r="J443" s="1">
        <v>0.48</v>
      </c>
      <c r="K443" s="1">
        <v>0.29849999999999999</v>
      </c>
      <c r="L443" s="1">
        <v>1</v>
      </c>
      <c r="M443" s="1">
        <v>56</v>
      </c>
      <c r="N443" s="1">
        <v>57</v>
      </c>
    </row>
    <row r="444" spans="1:14" x14ac:dyDescent="0.25">
      <c r="A444" s="1">
        <v>443</v>
      </c>
      <c r="B444" s="2">
        <v>40563</v>
      </c>
      <c r="C444" s="1">
        <v>11</v>
      </c>
      <c r="D444" s="1" t="b">
        <v>0</v>
      </c>
      <c r="E444" s="1">
        <v>4</v>
      </c>
      <c r="F444" s="1">
        <v>2</v>
      </c>
      <c r="G444" s="1">
        <v>0.28000000000000003</v>
      </c>
      <c r="H444" s="1">
        <v>443</v>
      </c>
      <c r="I444" s="1">
        <v>0.2727</v>
      </c>
      <c r="J444" s="1">
        <v>0.45</v>
      </c>
      <c r="K444" s="1">
        <v>0.16420000000000001</v>
      </c>
      <c r="L444" s="1">
        <v>5</v>
      </c>
      <c r="M444" s="1">
        <v>63</v>
      </c>
      <c r="N444" s="1">
        <v>68</v>
      </c>
    </row>
    <row r="445" spans="1:14" x14ac:dyDescent="0.25">
      <c r="A445" s="1">
        <v>444</v>
      </c>
      <c r="B445" s="2">
        <v>40563</v>
      </c>
      <c r="C445" s="1">
        <v>12</v>
      </c>
      <c r="D445" s="1" t="b">
        <v>0</v>
      </c>
      <c r="E445" s="1">
        <v>4</v>
      </c>
      <c r="F445" s="1">
        <v>2</v>
      </c>
      <c r="G445" s="1">
        <v>0.3</v>
      </c>
      <c r="H445" s="1">
        <v>444</v>
      </c>
      <c r="I445" s="1">
        <v>0.33329999999999999</v>
      </c>
      <c r="J445" s="1">
        <v>0.42</v>
      </c>
      <c r="K445" s="1">
        <v>0</v>
      </c>
      <c r="L445" s="1">
        <v>7</v>
      </c>
      <c r="M445" s="1">
        <v>77</v>
      </c>
      <c r="N445" s="1">
        <v>84</v>
      </c>
    </row>
    <row r="446" spans="1:14" x14ac:dyDescent="0.25">
      <c r="A446" s="1">
        <v>445</v>
      </c>
      <c r="B446" s="2">
        <v>40563</v>
      </c>
      <c r="C446" s="1">
        <v>13</v>
      </c>
      <c r="D446" s="1" t="b">
        <v>0</v>
      </c>
      <c r="E446" s="1">
        <v>4</v>
      </c>
      <c r="F446" s="1">
        <v>2</v>
      </c>
      <c r="G446" s="1">
        <v>0.28000000000000003</v>
      </c>
      <c r="H446" s="1">
        <v>445</v>
      </c>
      <c r="I446" s="1">
        <v>0.28789999999999999</v>
      </c>
      <c r="J446" s="1">
        <v>0.45</v>
      </c>
      <c r="K446" s="1">
        <v>0.1045</v>
      </c>
      <c r="L446" s="1">
        <v>12</v>
      </c>
      <c r="M446" s="1">
        <v>86</v>
      </c>
      <c r="N446" s="1">
        <v>98</v>
      </c>
    </row>
    <row r="447" spans="1:14" x14ac:dyDescent="0.25">
      <c r="A447" s="1">
        <v>446</v>
      </c>
      <c r="B447" s="2">
        <v>40563</v>
      </c>
      <c r="C447" s="1">
        <v>14</v>
      </c>
      <c r="D447" s="1" t="b">
        <v>0</v>
      </c>
      <c r="E447" s="1">
        <v>4</v>
      </c>
      <c r="F447" s="1">
        <v>2</v>
      </c>
      <c r="G447" s="1">
        <v>0.3</v>
      </c>
      <c r="H447" s="1">
        <v>446</v>
      </c>
      <c r="I447" s="1">
        <v>0.30299999999999999</v>
      </c>
      <c r="J447" s="1">
        <v>0.45</v>
      </c>
      <c r="K447" s="1">
        <v>0.1343</v>
      </c>
      <c r="L447" s="1">
        <v>6</v>
      </c>
      <c r="M447" s="1">
        <v>75</v>
      </c>
      <c r="N447" s="1">
        <v>81</v>
      </c>
    </row>
    <row r="448" spans="1:14" x14ac:dyDescent="0.25">
      <c r="A448" s="1">
        <v>447</v>
      </c>
      <c r="B448" s="2">
        <v>40563</v>
      </c>
      <c r="C448" s="1">
        <v>15</v>
      </c>
      <c r="D448" s="1" t="b">
        <v>0</v>
      </c>
      <c r="E448" s="1">
        <v>4</v>
      </c>
      <c r="F448" s="1">
        <v>2</v>
      </c>
      <c r="G448" s="1">
        <v>0.32</v>
      </c>
      <c r="H448" s="1">
        <v>447</v>
      </c>
      <c r="I448" s="1">
        <v>0.31819999999999998</v>
      </c>
      <c r="J448" s="1">
        <v>0.45</v>
      </c>
      <c r="K448" s="1">
        <v>0.19400000000000001</v>
      </c>
      <c r="L448" s="1">
        <v>8</v>
      </c>
      <c r="M448" s="1">
        <v>62</v>
      </c>
      <c r="N448" s="1">
        <v>70</v>
      </c>
    </row>
    <row r="449" spans="1:14" x14ac:dyDescent="0.25">
      <c r="A449" s="1">
        <v>448</v>
      </c>
      <c r="B449" s="2">
        <v>40563</v>
      </c>
      <c r="C449" s="1">
        <v>16</v>
      </c>
      <c r="D449" s="1" t="b">
        <v>0</v>
      </c>
      <c r="E449" s="1">
        <v>4</v>
      </c>
      <c r="F449" s="1">
        <v>2</v>
      </c>
      <c r="G449" s="1">
        <v>0.3</v>
      </c>
      <c r="H449" s="1">
        <v>448</v>
      </c>
      <c r="I449" s="1">
        <v>0.30299999999999999</v>
      </c>
      <c r="J449" s="1">
        <v>0.49</v>
      </c>
      <c r="K449" s="1">
        <v>0.1343</v>
      </c>
      <c r="L449" s="1">
        <v>8</v>
      </c>
      <c r="M449" s="1">
        <v>83</v>
      </c>
      <c r="N449" s="1">
        <v>91</v>
      </c>
    </row>
    <row r="450" spans="1:14" x14ac:dyDescent="0.25">
      <c r="A450" s="1">
        <v>449</v>
      </c>
      <c r="B450" s="2">
        <v>40563</v>
      </c>
      <c r="C450" s="1">
        <v>17</v>
      </c>
      <c r="D450" s="1" t="b">
        <v>0</v>
      </c>
      <c r="E450" s="1">
        <v>4</v>
      </c>
      <c r="F450" s="1">
        <v>2</v>
      </c>
      <c r="G450" s="1">
        <v>0.3</v>
      </c>
      <c r="H450" s="1">
        <v>449</v>
      </c>
      <c r="I450" s="1">
        <v>0.31819999999999998</v>
      </c>
      <c r="J450" s="1">
        <v>0.49</v>
      </c>
      <c r="K450" s="1">
        <v>0.1045</v>
      </c>
      <c r="L450" s="1">
        <v>8</v>
      </c>
      <c r="M450" s="1">
        <v>207</v>
      </c>
      <c r="N450" s="1">
        <v>215</v>
      </c>
    </row>
    <row r="451" spans="1:14" x14ac:dyDescent="0.25">
      <c r="A451" s="1">
        <v>450</v>
      </c>
      <c r="B451" s="2">
        <v>40563</v>
      </c>
      <c r="C451" s="1">
        <v>18</v>
      </c>
      <c r="D451" s="1" t="b">
        <v>0</v>
      </c>
      <c r="E451" s="1">
        <v>4</v>
      </c>
      <c r="F451" s="1">
        <v>2</v>
      </c>
      <c r="G451" s="1">
        <v>0.26</v>
      </c>
      <c r="H451" s="1">
        <v>450</v>
      </c>
      <c r="I451" s="1">
        <v>0.2576</v>
      </c>
      <c r="J451" s="1">
        <v>0.56000000000000005</v>
      </c>
      <c r="K451" s="1">
        <v>0.19400000000000001</v>
      </c>
      <c r="L451" s="1">
        <v>1</v>
      </c>
      <c r="M451" s="1">
        <v>184</v>
      </c>
      <c r="N451" s="1">
        <v>185</v>
      </c>
    </row>
    <row r="452" spans="1:14" x14ac:dyDescent="0.25">
      <c r="A452" s="1">
        <v>451</v>
      </c>
      <c r="B452" s="2">
        <v>40563</v>
      </c>
      <c r="C452" s="1">
        <v>19</v>
      </c>
      <c r="D452" s="1" t="b">
        <v>0</v>
      </c>
      <c r="E452" s="1">
        <v>4</v>
      </c>
      <c r="F452" s="1">
        <v>1</v>
      </c>
      <c r="G452" s="1">
        <v>0.26</v>
      </c>
      <c r="H452" s="1">
        <v>451</v>
      </c>
      <c r="I452" s="1">
        <v>0.2273</v>
      </c>
      <c r="J452" s="1">
        <v>0.56000000000000005</v>
      </c>
      <c r="K452" s="1">
        <v>0.32840000000000003</v>
      </c>
      <c r="L452" s="1">
        <v>6</v>
      </c>
      <c r="M452" s="1">
        <v>146</v>
      </c>
      <c r="N452" s="1">
        <v>152</v>
      </c>
    </row>
    <row r="453" spans="1:14" x14ac:dyDescent="0.25">
      <c r="A453" s="1">
        <v>452</v>
      </c>
      <c r="B453" s="2">
        <v>40563</v>
      </c>
      <c r="C453" s="1">
        <v>20</v>
      </c>
      <c r="D453" s="1" t="b">
        <v>0</v>
      </c>
      <c r="E453" s="1">
        <v>4</v>
      </c>
      <c r="F453" s="1">
        <v>2</v>
      </c>
      <c r="G453" s="1">
        <v>0.26</v>
      </c>
      <c r="H453" s="1">
        <v>452</v>
      </c>
      <c r="I453" s="1">
        <v>0.2424</v>
      </c>
      <c r="J453" s="1">
        <v>0.6</v>
      </c>
      <c r="K453" s="1">
        <v>0.28360000000000002</v>
      </c>
      <c r="L453" s="1">
        <v>2</v>
      </c>
      <c r="M453" s="1">
        <v>124</v>
      </c>
      <c r="N453" s="1">
        <v>126</v>
      </c>
    </row>
    <row r="454" spans="1:14" x14ac:dyDescent="0.25">
      <c r="A454" s="1">
        <v>453</v>
      </c>
      <c r="B454" s="2">
        <v>40563</v>
      </c>
      <c r="C454" s="1">
        <v>21</v>
      </c>
      <c r="D454" s="1" t="b">
        <v>0</v>
      </c>
      <c r="E454" s="1">
        <v>4</v>
      </c>
      <c r="F454" s="1">
        <v>2</v>
      </c>
      <c r="G454" s="1">
        <v>0.24</v>
      </c>
      <c r="H454" s="1">
        <v>453</v>
      </c>
      <c r="I454" s="1">
        <v>0.2273</v>
      </c>
      <c r="J454" s="1">
        <v>0.6</v>
      </c>
      <c r="K454" s="1">
        <v>0.25369999999999998</v>
      </c>
      <c r="L454" s="1">
        <v>3</v>
      </c>
      <c r="M454" s="1">
        <v>54</v>
      </c>
      <c r="N454" s="1">
        <v>57</v>
      </c>
    </row>
    <row r="455" spans="1:14" x14ac:dyDescent="0.25">
      <c r="A455" s="1">
        <v>454</v>
      </c>
      <c r="B455" s="2">
        <v>40563</v>
      </c>
      <c r="C455" s="1">
        <v>22</v>
      </c>
      <c r="D455" s="1" t="b">
        <v>0</v>
      </c>
      <c r="E455" s="1">
        <v>4</v>
      </c>
      <c r="F455" s="1">
        <v>2</v>
      </c>
      <c r="G455" s="1">
        <v>0.24</v>
      </c>
      <c r="H455" s="1">
        <v>454</v>
      </c>
      <c r="I455" s="1">
        <v>0.21210000000000001</v>
      </c>
      <c r="J455" s="1">
        <v>0.65</v>
      </c>
      <c r="K455" s="1">
        <v>0.28360000000000002</v>
      </c>
      <c r="L455" s="1">
        <v>0</v>
      </c>
      <c r="M455" s="1">
        <v>56</v>
      </c>
      <c r="N455" s="1">
        <v>56</v>
      </c>
    </row>
    <row r="456" spans="1:14" x14ac:dyDescent="0.25">
      <c r="A456" s="1">
        <v>455</v>
      </c>
      <c r="B456" s="2">
        <v>40563</v>
      </c>
      <c r="C456" s="1">
        <v>23</v>
      </c>
      <c r="D456" s="1" t="b">
        <v>0</v>
      </c>
      <c r="E456" s="1">
        <v>4</v>
      </c>
      <c r="F456" s="1">
        <v>2</v>
      </c>
      <c r="G456" s="1">
        <v>0.24</v>
      </c>
      <c r="H456" s="1">
        <v>455</v>
      </c>
      <c r="I456" s="1">
        <v>0.21210000000000001</v>
      </c>
      <c r="J456" s="1">
        <v>0.65</v>
      </c>
      <c r="K456" s="1">
        <v>0.32840000000000003</v>
      </c>
      <c r="L456" s="1">
        <v>3</v>
      </c>
      <c r="M456" s="1">
        <v>28</v>
      </c>
      <c r="N456" s="1">
        <v>31</v>
      </c>
    </row>
    <row r="457" spans="1:14" x14ac:dyDescent="0.25">
      <c r="A457" s="1">
        <v>456</v>
      </c>
      <c r="B457" s="2">
        <v>40564</v>
      </c>
      <c r="C457" s="1">
        <v>0</v>
      </c>
      <c r="D457" s="1" t="b">
        <v>0</v>
      </c>
      <c r="E457" s="1">
        <v>5</v>
      </c>
      <c r="F457" s="1">
        <v>2</v>
      </c>
      <c r="G457" s="1">
        <v>0.24</v>
      </c>
      <c r="H457" s="1">
        <v>456</v>
      </c>
      <c r="I457" s="1">
        <v>0.2273</v>
      </c>
      <c r="J457" s="1">
        <v>0.7</v>
      </c>
      <c r="K457" s="1">
        <v>0.25369999999999998</v>
      </c>
      <c r="L457" s="1">
        <v>1</v>
      </c>
      <c r="M457" s="1">
        <v>20</v>
      </c>
      <c r="N457" s="1">
        <v>21</v>
      </c>
    </row>
    <row r="458" spans="1:14" x14ac:dyDescent="0.25">
      <c r="A458" s="1">
        <v>457</v>
      </c>
      <c r="B458" s="2">
        <v>40564</v>
      </c>
      <c r="C458" s="1">
        <v>1</v>
      </c>
      <c r="D458" s="1" t="b">
        <v>0</v>
      </c>
      <c r="E458" s="1">
        <v>5</v>
      </c>
      <c r="F458" s="1">
        <v>2</v>
      </c>
      <c r="G458" s="1">
        <v>0.24</v>
      </c>
      <c r="H458" s="1">
        <v>457</v>
      </c>
      <c r="I458" s="1">
        <v>0.2273</v>
      </c>
      <c r="J458" s="1">
        <v>0.7</v>
      </c>
      <c r="K458" s="1">
        <v>0.25369999999999998</v>
      </c>
      <c r="L458" s="1">
        <v>0</v>
      </c>
      <c r="M458" s="1">
        <v>6</v>
      </c>
      <c r="N458" s="1">
        <v>6</v>
      </c>
    </row>
    <row r="459" spans="1:14" x14ac:dyDescent="0.25">
      <c r="A459" s="1">
        <v>458</v>
      </c>
      <c r="B459" s="2">
        <v>40564</v>
      </c>
      <c r="C459" s="1">
        <v>2</v>
      </c>
      <c r="D459" s="1" t="b">
        <v>0</v>
      </c>
      <c r="E459" s="1">
        <v>5</v>
      </c>
      <c r="F459" s="1">
        <v>3</v>
      </c>
      <c r="G459" s="1">
        <v>0.24</v>
      </c>
      <c r="H459" s="1">
        <v>458</v>
      </c>
      <c r="I459" s="1">
        <v>0.2424</v>
      </c>
      <c r="J459" s="1">
        <v>0.75</v>
      </c>
      <c r="K459" s="1">
        <v>0.16420000000000001</v>
      </c>
      <c r="L459" s="1">
        <v>0</v>
      </c>
      <c r="M459" s="1">
        <v>2</v>
      </c>
      <c r="N459" s="1">
        <v>2</v>
      </c>
    </row>
    <row r="460" spans="1:14" x14ac:dyDescent="0.25">
      <c r="A460" s="1">
        <v>459</v>
      </c>
      <c r="B460" s="2">
        <v>40564</v>
      </c>
      <c r="C460" s="1">
        <v>3</v>
      </c>
      <c r="D460" s="1" t="b">
        <v>0</v>
      </c>
      <c r="E460" s="1">
        <v>5</v>
      </c>
      <c r="F460" s="1">
        <v>3</v>
      </c>
      <c r="G460" s="1">
        <v>0.22</v>
      </c>
      <c r="H460" s="1">
        <v>459</v>
      </c>
      <c r="I460" s="1">
        <v>0.21210000000000001</v>
      </c>
      <c r="J460" s="1">
        <v>0.8</v>
      </c>
      <c r="K460" s="1">
        <v>0.29849999999999999</v>
      </c>
      <c r="L460" s="1">
        <v>0</v>
      </c>
      <c r="M460" s="1">
        <v>1</v>
      </c>
      <c r="N460" s="1">
        <v>1</v>
      </c>
    </row>
    <row r="461" spans="1:14" x14ac:dyDescent="0.25">
      <c r="A461" s="1">
        <v>460</v>
      </c>
      <c r="B461" s="2">
        <v>40564</v>
      </c>
      <c r="C461" s="1">
        <v>4</v>
      </c>
      <c r="D461" s="1" t="b">
        <v>0</v>
      </c>
      <c r="E461" s="1">
        <v>5</v>
      </c>
      <c r="F461" s="1">
        <v>2</v>
      </c>
      <c r="G461" s="1">
        <v>0.22</v>
      </c>
      <c r="H461" s="1">
        <v>460</v>
      </c>
      <c r="I461" s="1">
        <v>0.2576</v>
      </c>
      <c r="J461" s="1">
        <v>0.87</v>
      </c>
      <c r="K461" s="1">
        <v>8.9599999999999999E-2</v>
      </c>
      <c r="L461" s="1">
        <v>0</v>
      </c>
      <c r="M461" s="1">
        <v>1</v>
      </c>
      <c r="N461" s="1">
        <v>1</v>
      </c>
    </row>
    <row r="462" spans="1:14" x14ac:dyDescent="0.25">
      <c r="A462" s="1">
        <v>461</v>
      </c>
      <c r="B462" s="2">
        <v>40564</v>
      </c>
      <c r="C462" s="1">
        <v>5</v>
      </c>
      <c r="D462" s="1" t="b">
        <v>0</v>
      </c>
      <c r="E462" s="1">
        <v>5</v>
      </c>
      <c r="F462" s="1">
        <v>1</v>
      </c>
      <c r="G462" s="1">
        <v>0.24</v>
      </c>
      <c r="H462" s="1">
        <v>461</v>
      </c>
      <c r="I462" s="1">
        <v>0.19700000000000001</v>
      </c>
      <c r="J462" s="1">
        <v>0.6</v>
      </c>
      <c r="K462" s="1">
        <v>0.41789999999999999</v>
      </c>
      <c r="L462" s="1">
        <v>1</v>
      </c>
      <c r="M462" s="1">
        <v>4</v>
      </c>
      <c r="N462" s="1">
        <v>5</v>
      </c>
    </row>
    <row r="463" spans="1:14" x14ac:dyDescent="0.25">
      <c r="A463" s="1">
        <v>462</v>
      </c>
      <c r="B463" s="2">
        <v>40564</v>
      </c>
      <c r="C463" s="1">
        <v>6</v>
      </c>
      <c r="D463" s="1" t="b">
        <v>0</v>
      </c>
      <c r="E463" s="1">
        <v>5</v>
      </c>
      <c r="F463" s="1">
        <v>1</v>
      </c>
      <c r="G463" s="1">
        <v>0.22</v>
      </c>
      <c r="H463" s="1">
        <v>462</v>
      </c>
      <c r="I463" s="1">
        <v>0.21210000000000001</v>
      </c>
      <c r="J463" s="1">
        <v>0.55000000000000004</v>
      </c>
      <c r="K463" s="1">
        <v>0.25369999999999998</v>
      </c>
      <c r="L463" s="1">
        <v>0</v>
      </c>
      <c r="M463" s="1">
        <v>27</v>
      </c>
      <c r="N463" s="1">
        <v>27</v>
      </c>
    </row>
    <row r="464" spans="1:14" x14ac:dyDescent="0.25">
      <c r="A464" s="1">
        <v>463</v>
      </c>
      <c r="B464" s="2">
        <v>40564</v>
      </c>
      <c r="C464" s="1">
        <v>7</v>
      </c>
      <c r="D464" s="1" t="b">
        <v>0</v>
      </c>
      <c r="E464" s="1">
        <v>5</v>
      </c>
      <c r="F464" s="1">
        <v>1</v>
      </c>
      <c r="G464" s="1">
        <v>0.2</v>
      </c>
      <c r="H464" s="1">
        <v>463</v>
      </c>
      <c r="I464" s="1">
        <v>0.18179999999999999</v>
      </c>
      <c r="J464" s="1">
        <v>0.51</v>
      </c>
      <c r="K464" s="1">
        <v>0.28360000000000002</v>
      </c>
      <c r="L464" s="1">
        <v>2</v>
      </c>
      <c r="M464" s="1">
        <v>66</v>
      </c>
      <c r="N464" s="1">
        <v>68</v>
      </c>
    </row>
    <row r="465" spans="1:14" x14ac:dyDescent="0.25">
      <c r="A465" s="1">
        <v>464</v>
      </c>
      <c r="B465" s="2">
        <v>40564</v>
      </c>
      <c r="C465" s="1">
        <v>8</v>
      </c>
      <c r="D465" s="1" t="b">
        <v>0</v>
      </c>
      <c r="E465" s="1">
        <v>5</v>
      </c>
      <c r="F465" s="1">
        <v>1</v>
      </c>
      <c r="G465" s="1">
        <v>0.2</v>
      </c>
      <c r="H465" s="1">
        <v>464</v>
      </c>
      <c r="I465" s="1">
        <v>0.18179999999999999</v>
      </c>
      <c r="J465" s="1">
        <v>0.47</v>
      </c>
      <c r="K465" s="1">
        <v>0.32840000000000003</v>
      </c>
      <c r="L465" s="1">
        <v>7</v>
      </c>
      <c r="M465" s="1">
        <v>210</v>
      </c>
      <c r="N465" s="1">
        <v>217</v>
      </c>
    </row>
    <row r="466" spans="1:14" x14ac:dyDescent="0.25">
      <c r="A466" s="1">
        <v>465</v>
      </c>
      <c r="B466" s="2">
        <v>40564</v>
      </c>
      <c r="C466" s="1">
        <v>9</v>
      </c>
      <c r="D466" s="1" t="b">
        <v>0</v>
      </c>
      <c r="E466" s="1">
        <v>5</v>
      </c>
      <c r="F466" s="1">
        <v>1</v>
      </c>
      <c r="G466" s="1">
        <v>0.2</v>
      </c>
      <c r="H466" s="1">
        <v>465</v>
      </c>
      <c r="I466" s="1">
        <v>0.18179999999999999</v>
      </c>
      <c r="J466" s="1">
        <v>0.51</v>
      </c>
      <c r="K466" s="1">
        <v>0.35820000000000002</v>
      </c>
      <c r="L466" s="1">
        <v>7</v>
      </c>
      <c r="M466" s="1">
        <v>159</v>
      </c>
      <c r="N466" s="1">
        <v>166</v>
      </c>
    </row>
    <row r="467" spans="1:14" x14ac:dyDescent="0.25">
      <c r="A467" s="1">
        <v>466</v>
      </c>
      <c r="B467" s="2">
        <v>40564</v>
      </c>
      <c r="C467" s="1">
        <v>10</v>
      </c>
      <c r="D467" s="1" t="b">
        <v>0</v>
      </c>
      <c r="E467" s="1">
        <v>5</v>
      </c>
      <c r="F467" s="1">
        <v>1</v>
      </c>
      <c r="G467" s="1">
        <v>0.2</v>
      </c>
      <c r="H467" s="1">
        <v>466</v>
      </c>
      <c r="I467" s="1">
        <v>0.16669999999999999</v>
      </c>
      <c r="J467" s="1">
        <v>0.47</v>
      </c>
      <c r="K467" s="1">
        <v>0.4627</v>
      </c>
      <c r="L467" s="1">
        <v>6</v>
      </c>
      <c r="M467" s="1">
        <v>57</v>
      </c>
      <c r="N467" s="1">
        <v>63</v>
      </c>
    </row>
    <row r="468" spans="1:14" x14ac:dyDescent="0.25">
      <c r="A468" s="1">
        <v>467</v>
      </c>
      <c r="B468" s="2">
        <v>40564</v>
      </c>
      <c r="C468" s="1">
        <v>11</v>
      </c>
      <c r="D468" s="1" t="b">
        <v>0</v>
      </c>
      <c r="E468" s="1">
        <v>5</v>
      </c>
      <c r="F468" s="1">
        <v>1</v>
      </c>
      <c r="G468" s="1">
        <v>0.22</v>
      </c>
      <c r="H468" s="1">
        <v>467</v>
      </c>
      <c r="I468" s="1">
        <v>0.18179999999999999</v>
      </c>
      <c r="J468" s="1">
        <v>0.41</v>
      </c>
      <c r="K468" s="1">
        <v>0.4627</v>
      </c>
      <c r="L468" s="1">
        <v>6</v>
      </c>
      <c r="M468" s="1">
        <v>53</v>
      </c>
      <c r="N468" s="1">
        <v>59</v>
      </c>
    </row>
    <row r="469" spans="1:14" x14ac:dyDescent="0.25">
      <c r="A469" s="1">
        <v>468</v>
      </c>
      <c r="B469" s="2">
        <v>40564</v>
      </c>
      <c r="C469" s="1">
        <v>12</v>
      </c>
      <c r="D469" s="1" t="b">
        <v>0</v>
      </c>
      <c r="E469" s="1">
        <v>5</v>
      </c>
      <c r="F469" s="1">
        <v>1</v>
      </c>
      <c r="G469" s="1">
        <v>0.22</v>
      </c>
      <c r="H469" s="1">
        <v>468</v>
      </c>
      <c r="I469" s="1">
        <v>0.18179999999999999</v>
      </c>
      <c r="J469" s="1">
        <v>0.27</v>
      </c>
      <c r="K469" s="1">
        <v>0.58209999999999995</v>
      </c>
      <c r="L469" s="1">
        <v>11</v>
      </c>
      <c r="M469" s="1">
        <v>67</v>
      </c>
      <c r="N469" s="1">
        <v>78</v>
      </c>
    </row>
    <row r="470" spans="1:14" x14ac:dyDescent="0.25">
      <c r="A470" s="1">
        <v>469</v>
      </c>
      <c r="B470" s="2">
        <v>40564</v>
      </c>
      <c r="C470" s="1">
        <v>13</v>
      </c>
      <c r="D470" s="1" t="b">
        <v>0</v>
      </c>
      <c r="E470" s="1">
        <v>5</v>
      </c>
      <c r="F470" s="1">
        <v>1</v>
      </c>
      <c r="G470" s="1">
        <v>0.2</v>
      </c>
      <c r="H470" s="1">
        <v>469</v>
      </c>
      <c r="I470" s="1">
        <v>0.1515</v>
      </c>
      <c r="J470" s="1">
        <v>0.21</v>
      </c>
      <c r="K470" s="1">
        <v>0.58209999999999995</v>
      </c>
      <c r="L470" s="1">
        <v>8</v>
      </c>
      <c r="M470" s="1">
        <v>65</v>
      </c>
      <c r="N470" s="1">
        <v>73</v>
      </c>
    </row>
    <row r="471" spans="1:14" x14ac:dyDescent="0.25">
      <c r="A471" s="1">
        <v>470</v>
      </c>
      <c r="B471" s="2">
        <v>40564</v>
      </c>
      <c r="C471" s="1">
        <v>14</v>
      </c>
      <c r="D471" s="1" t="b">
        <v>0</v>
      </c>
      <c r="E471" s="1">
        <v>5</v>
      </c>
      <c r="F471" s="1">
        <v>1</v>
      </c>
      <c r="G471" s="1">
        <v>0.2</v>
      </c>
      <c r="H471" s="1">
        <v>470</v>
      </c>
      <c r="I471" s="1">
        <v>0.1515</v>
      </c>
      <c r="J471" s="1">
        <v>0.25</v>
      </c>
      <c r="K471" s="1">
        <v>0.52239999999999998</v>
      </c>
      <c r="L471" s="1">
        <v>6</v>
      </c>
      <c r="M471" s="1">
        <v>56</v>
      </c>
      <c r="N471" s="1">
        <v>62</v>
      </c>
    </row>
    <row r="472" spans="1:14" x14ac:dyDescent="0.25">
      <c r="A472" s="1">
        <v>471</v>
      </c>
      <c r="B472" s="2">
        <v>40564</v>
      </c>
      <c r="C472" s="1">
        <v>15</v>
      </c>
      <c r="D472" s="1" t="b">
        <v>0</v>
      </c>
      <c r="E472" s="1">
        <v>5</v>
      </c>
      <c r="F472" s="1">
        <v>1</v>
      </c>
      <c r="G472" s="1">
        <v>0.16</v>
      </c>
      <c r="H472" s="1">
        <v>471</v>
      </c>
      <c r="I472" s="1">
        <v>0.1212</v>
      </c>
      <c r="J472" s="1">
        <v>0.26</v>
      </c>
      <c r="K472" s="1">
        <v>0.44779999999999998</v>
      </c>
      <c r="L472" s="1">
        <v>4</v>
      </c>
      <c r="M472" s="1">
        <v>61</v>
      </c>
      <c r="N472" s="1">
        <v>65</v>
      </c>
    </row>
    <row r="473" spans="1:14" x14ac:dyDescent="0.25">
      <c r="A473" s="1">
        <v>472</v>
      </c>
      <c r="B473" s="2">
        <v>40564</v>
      </c>
      <c r="C473" s="1">
        <v>16</v>
      </c>
      <c r="D473" s="1" t="b">
        <v>0</v>
      </c>
      <c r="E473" s="1">
        <v>5</v>
      </c>
      <c r="F473" s="1">
        <v>1</v>
      </c>
      <c r="G473" s="1">
        <v>0.16</v>
      </c>
      <c r="H473" s="1">
        <v>472</v>
      </c>
      <c r="I473" s="1">
        <v>0.13639999999999999</v>
      </c>
      <c r="J473" s="1">
        <v>0.26</v>
      </c>
      <c r="K473" s="1">
        <v>0.35820000000000002</v>
      </c>
      <c r="L473" s="1">
        <v>0</v>
      </c>
      <c r="M473" s="1">
        <v>97</v>
      </c>
      <c r="N473" s="1">
        <v>97</v>
      </c>
    </row>
    <row r="474" spans="1:14" x14ac:dyDescent="0.25">
      <c r="A474" s="1">
        <v>473</v>
      </c>
      <c r="B474" s="2">
        <v>40564</v>
      </c>
      <c r="C474" s="1">
        <v>17</v>
      </c>
      <c r="D474" s="1" t="b">
        <v>0</v>
      </c>
      <c r="E474" s="1">
        <v>5</v>
      </c>
      <c r="F474" s="1">
        <v>1</v>
      </c>
      <c r="G474" s="1">
        <v>0.14000000000000001</v>
      </c>
      <c r="H474" s="1">
        <v>473</v>
      </c>
      <c r="I474" s="1">
        <v>0.1212</v>
      </c>
      <c r="J474" s="1">
        <v>0.28000000000000003</v>
      </c>
      <c r="K474" s="1">
        <v>0.35820000000000002</v>
      </c>
      <c r="L474" s="1">
        <v>10</v>
      </c>
      <c r="M474" s="1">
        <v>151</v>
      </c>
      <c r="N474" s="1">
        <v>161</v>
      </c>
    </row>
    <row r="475" spans="1:14" x14ac:dyDescent="0.25">
      <c r="A475" s="1">
        <v>474</v>
      </c>
      <c r="B475" s="2">
        <v>40564</v>
      </c>
      <c r="C475" s="1">
        <v>18</v>
      </c>
      <c r="D475" s="1" t="b">
        <v>0</v>
      </c>
      <c r="E475" s="1">
        <v>5</v>
      </c>
      <c r="F475" s="1">
        <v>1</v>
      </c>
      <c r="G475" s="1">
        <v>0.12</v>
      </c>
      <c r="H475" s="1">
        <v>474</v>
      </c>
      <c r="I475" s="1">
        <v>0.1212</v>
      </c>
      <c r="J475" s="1">
        <v>0.3</v>
      </c>
      <c r="K475" s="1">
        <v>0.25369999999999998</v>
      </c>
      <c r="L475" s="1">
        <v>1</v>
      </c>
      <c r="M475" s="1">
        <v>119</v>
      </c>
      <c r="N475" s="1">
        <v>120</v>
      </c>
    </row>
    <row r="476" spans="1:14" x14ac:dyDescent="0.25">
      <c r="A476" s="1">
        <v>475</v>
      </c>
      <c r="B476" s="2">
        <v>40564</v>
      </c>
      <c r="C476" s="1">
        <v>19</v>
      </c>
      <c r="D476" s="1" t="b">
        <v>0</v>
      </c>
      <c r="E476" s="1">
        <v>5</v>
      </c>
      <c r="F476" s="1">
        <v>1</v>
      </c>
      <c r="G476" s="1">
        <v>0.12</v>
      </c>
      <c r="H476" s="1">
        <v>475</v>
      </c>
      <c r="I476" s="1">
        <v>0.1061</v>
      </c>
      <c r="J476" s="1">
        <v>0.3</v>
      </c>
      <c r="K476" s="1">
        <v>0.32840000000000003</v>
      </c>
      <c r="L476" s="1">
        <v>3</v>
      </c>
      <c r="M476" s="1">
        <v>93</v>
      </c>
      <c r="N476" s="1">
        <v>96</v>
      </c>
    </row>
    <row r="477" spans="1:14" x14ac:dyDescent="0.25">
      <c r="A477" s="1">
        <v>476</v>
      </c>
      <c r="B477" s="2">
        <v>40564</v>
      </c>
      <c r="C477" s="1">
        <v>20</v>
      </c>
      <c r="D477" s="1" t="b">
        <v>0</v>
      </c>
      <c r="E477" s="1">
        <v>5</v>
      </c>
      <c r="F477" s="1">
        <v>1</v>
      </c>
      <c r="G477" s="1">
        <v>0.1</v>
      </c>
      <c r="H477" s="1">
        <v>476</v>
      </c>
      <c r="I477" s="1">
        <v>7.5800000000000006E-2</v>
      </c>
      <c r="J477" s="1">
        <v>0.33</v>
      </c>
      <c r="K477" s="1">
        <v>0.41789999999999999</v>
      </c>
      <c r="L477" s="1">
        <v>1</v>
      </c>
      <c r="M477" s="1">
        <v>52</v>
      </c>
      <c r="N477" s="1">
        <v>53</v>
      </c>
    </row>
    <row r="478" spans="1:14" x14ac:dyDescent="0.25">
      <c r="A478" s="1">
        <v>477</v>
      </c>
      <c r="B478" s="2">
        <v>40564</v>
      </c>
      <c r="C478" s="1">
        <v>21</v>
      </c>
      <c r="D478" s="1" t="b">
        <v>0</v>
      </c>
      <c r="E478" s="1">
        <v>5</v>
      </c>
      <c r="F478" s="1">
        <v>1</v>
      </c>
      <c r="G478" s="1">
        <v>0.08</v>
      </c>
      <c r="H478" s="1">
        <v>477</v>
      </c>
      <c r="I478" s="1">
        <v>7.5800000000000006E-2</v>
      </c>
      <c r="J478" s="1">
        <v>0.38</v>
      </c>
      <c r="K478" s="1">
        <v>0.28360000000000002</v>
      </c>
      <c r="L478" s="1">
        <v>0</v>
      </c>
      <c r="M478" s="1">
        <v>41</v>
      </c>
      <c r="N478" s="1">
        <v>41</v>
      </c>
    </row>
    <row r="479" spans="1:14" x14ac:dyDescent="0.25">
      <c r="A479" s="1">
        <v>478</v>
      </c>
      <c r="B479" s="2">
        <v>40564</v>
      </c>
      <c r="C479" s="1">
        <v>22</v>
      </c>
      <c r="D479" s="1" t="b">
        <v>0</v>
      </c>
      <c r="E479" s="1">
        <v>5</v>
      </c>
      <c r="F479" s="1">
        <v>1</v>
      </c>
      <c r="G479" s="1">
        <v>0.06</v>
      </c>
      <c r="H479" s="1">
        <v>478</v>
      </c>
      <c r="I479" s="1">
        <v>3.0300000000000001E-2</v>
      </c>
      <c r="J479" s="1">
        <v>0.41</v>
      </c>
      <c r="K479" s="1">
        <v>0.3881</v>
      </c>
      <c r="L479" s="1">
        <v>1</v>
      </c>
      <c r="M479" s="1">
        <v>33</v>
      </c>
      <c r="N479" s="1">
        <v>34</v>
      </c>
    </row>
    <row r="480" spans="1:14" x14ac:dyDescent="0.25">
      <c r="A480" s="1">
        <v>479</v>
      </c>
      <c r="B480" s="2">
        <v>40564</v>
      </c>
      <c r="C480" s="1">
        <v>23</v>
      </c>
      <c r="D480" s="1" t="b">
        <v>0</v>
      </c>
      <c r="E480" s="1">
        <v>5</v>
      </c>
      <c r="F480" s="1">
        <v>1</v>
      </c>
      <c r="G480" s="1">
        <v>0.06</v>
      </c>
      <c r="H480" s="1">
        <v>479</v>
      </c>
      <c r="I480" s="1">
        <v>4.5499999999999999E-2</v>
      </c>
      <c r="J480" s="1">
        <v>0.38</v>
      </c>
      <c r="K480" s="1">
        <v>0.32840000000000003</v>
      </c>
      <c r="L480" s="1">
        <v>0</v>
      </c>
      <c r="M480" s="1">
        <v>27</v>
      </c>
      <c r="N480" s="1">
        <v>27</v>
      </c>
    </row>
    <row r="481" spans="1:14" x14ac:dyDescent="0.25">
      <c r="A481" s="1">
        <v>480</v>
      </c>
      <c r="B481" s="2">
        <v>40565</v>
      </c>
      <c r="C481" s="1">
        <v>0</v>
      </c>
      <c r="D481" s="1" t="b">
        <v>0</v>
      </c>
      <c r="E481" s="1">
        <v>6</v>
      </c>
      <c r="F481" s="1">
        <v>1</v>
      </c>
      <c r="G481" s="1">
        <v>0.04</v>
      </c>
      <c r="H481" s="1">
        <v>480</v>
      </c>
      <c r="I481" s="1">
        <v>3.0300000000000001E-2</v>
      </c>
      <c r="J481" s="1">
        <v>0.45</v>
      </c>
      <c r="K481" s="1">
        <v>0.25369999999999998</v>
      </c>
      <c r="L481" s="1">
        <v>0</v>
      </c>
      <c r="M481" s="1">
        <v>13</v>
      </c>
      <c r="N481" s="1">
        <v>13</v>
      </c>
    </row>
    <row r="482" spans="1:14" x14ac:dyDescent="0.25">
      <c r="A482" s="1">
        <v>481</v>
      </c>
      <c r="B482" s="2">
        <v>40565</v>
      </c>
      <c r="C482" s="1">
        <v>1</v>
      </c>
      <c r="D482" s="1" t="b">
        <v>0</v>
      </c>
      <c r="E482" s="1">
        <v>6</v>
      </c>
      <c r="F482" s="1">
        <v>2</v>
      </c>
      <c r="G482" s="1">
        <v>0.04</v>
      </c>
      <c r="H482" s="1">
        <v>481</v>
      </c>
      <c r="I482" s="1">
        <v>0</v>
      </c>
      <c r="J482" s="1">
        <v>0.41</v>
      </c>
      <c r="K482" s="1">
        <v>0.3881</v>
      </c>
      <c r="L482" s="1">
        <v>3</v>
      </c>
      <c r="M482" s="1">
        <v>9</v>
      </c>
      <c r="N482" s="1">
        <v>12</v>
      </c>
    </row>
    <row r="483" spans="1:14" x14ac:dyDescent="0.25">
      <c r="A483" s="1">
        <v>482</v>
      </c>
      <c r="B483" s="2">
        <v>40565</v>
      </c>
      <c r="C483" s="1">
        <v>2</v>
      </c>
      <c r="D483" s="1" t="b">
        <v>0</v>
      </c>
      <c r="E483" s="1">
        <v>6</v>
      </c>
      <c r="F483" s="1">
        <v>2</v>
      </c>
      <c r="G483" s="1">
        <v>0.04</v>
      </c>
      <c r="H483" s="1">
        <v>482</v>
      </c>
      <c r="I483" s="1">
        <v>3.0300000000000001E-2</v>
      </c>
      <c r="J483" s="1">
        <v>0.41</v>
      </c>
      <c r="K483" s="1">
        <v>0.25369999999999998</v>
      </c>
      <c r="L483" s="1">
        <v>0</v>
      </c>
      <c r="M483" s="1">
        <v>11</v>
      </c>
      <c r="N483" s="1">
        <v>11</v>
      </c>
    </row>
    <row r="484" spans="1:14" x14ac:dyDescent="0.25">
      <c r="A484" s="1">
        <v>483</v>
      </c>
      <c r="B484" s="2">
        <v>40565</v>
      </c>
      <c r="C484" s="1">
        <v>3</v>
      </c>
      <c r="D484" s="1" t="b">
        <v>0</v>
      </c>
      <c r="E484" s="1">
        <v>6</v>
      </c>
      <c r="F484" s="1">
        <v>2</v>
      </c>
      <c r="G484" s="1">
        <v>0.04</v>
      </c>
      <c r="H484" s="1">
        <v>483</v>
      </c>
      <c r="I484" s="1">
        <v>3.0300000000000001E-2</v>
      </c>
      <c r="J484" s="1">
        <v>0.41</v>
      </c>
      <c r="K484" s="1">
        <v>0.28360000000000002</v>
      </c>
      <c r="L484" s="1">
        <v>1</v>
      </c>
      <c r="M484" s="1">
        <v>6</v>
      </c>
      <c r="N484" s="1">
        <v>7</v>
      </c>
    </row>
    <row r="485" spans="1:14" x14ac:dyDescent="0.25">
      <c r="A485" s="1">
        <v>484</v>
      </c>
      <c r="B485" s="2">
        <v>40565</v>
      </c>
      <c r="C485" s="1">
        <v>4</v>
      </c>
      <c r="D485" s="1" t="b">
        <v>0</v>
      </c>
      <c r="E485" s="1">
        <v>6</v>
      </c>
      <c r="F485" s="1">
        <v>2</v>
      </c>
      <c r="G485" s="1">
        <v>0.02</v>
      </c>
      <c r="H485" s="1">
        <v>484</v>
      </c>
      <c r="I485" s="1">
        <v>1.52E-2</v>
      </c>
      <c r="J485" s="1">
        <v>0.48</v>
      </c>
      <c r="K485" s="1">
        <v>0.29849999999999999</v>
      </c>
      <c r="L485" s="1">
        <v>0</v>
      </c>
      <c r="M485" s="1">
        <v>3</v>
      </c>
      <c r="N485" s="1">
        <v>3</v>
      </c>
    </row>
    <row r="486" spans="1:14" x14ac:dyDescent="0.25">
      <c r="A486" s="1">
        <v>485</v>
      </c>
      <c r="B486" s="2">
        <v>40565</v>
      </c>
      <c r="C486" s="1">
        <v>6</v>
      </c>
      <c r="D486" s="1" t="b">
        <v>0</v>
      </c>
      <c r="E486" s="1">
        <v>6</v>
      </c>
      <c r="F486" s="1">
        <v>2</v>
      </c>
      <c r="G486" s="1">
        <v>0.02</v>
      </c>
      <c r="H486" s="1">
        <v>485</v>
      </c>
      <c r="I486" s="1">
        <v>3.0300000000000001E-2</v>
      </c>
      <c r="J486" s="1">
        <v>0.44</v>
      </c>
      <c r="K486" s="1">
        <v>0.22389999999999999</v>
      </c>
      <c r="L486" s="1">
        <v>0</v>
      </c>
      <c r="M486" s="1">
        <v>2</v>
      </c>
      <c r="N486" s="1">
        <v>2</v>
      </c>
    </row>
    <row r="487" spans="1:14" x14ac:dyDescent="0.25">
      <c r="A487" s="1">
        <v>486</v>
      </c>
      <c r="B487" s="2">
        <v>40565</v>
      </c>
      <c r="C487" s="1">
        <v>7</v>
      </c>
      <c r="D487" s="1" t="b">
        <v>0</v>
      </c>
      <c r="E487" s="1">
        <v>6</v>
      </c>
      <c r="F487" s="1">
        <v>1</v>
      </c>
      <c r="G487" s="1">
        <v>0.02</v>
      </c>
      <c r="H487" s="1">
        <v>486</v>
      </c>
      <c r="I487" s="1">
        <v>1.52E-2</v>
      </c>
      <c r="J487" s="1">
        <v>0.44</v>
      </c>
      <c r="K487" s="1">
        <v>0.28360000000000002</v>
      </c>
      <c r="L487" s="1">
        <v>0</v>
      </c>
      <c r="M487" s="1">
        <v>8</v>
      </c>
      <c r="N487" s="1">
        <v>8</v>
      </c>
    </row>
    <row r="488" spans="1:14" x14ac:dyDescent="0.25">
      <c r="A488" s="1">
        <v>487</v>
      </c>
      <c r="B488" s="2">
        <v>40565</v>
      </c>
      <c r="C488" s="1">
        <v>8</v>
      </c>
      <c r="D488" s="1" t="b">
        <v>0</v>
      </c>
      <c r="E488" s="1">
        <v>6</v>
      </c>
      <c r="F488" s="1">
        <v>1</v>
      </c>
      <c r="G488" s="1">
        <v>0.02</v>
      </c>
      <c r="H488" s="1">
        <v>487</v>
      </c>
      <c r="I488" s="1">
        <v>0</v>
      </c>
      <c r="J488" s="1">
        <v>0.44</v>
      </c>
      <c r="K488" s="1">
        <v>0.32840000000000003</v>
      </c>
      <c r="L488" s="1">
        <v>1</v>
      </c>
      <c r="M488" s="1">
        <v>26</v>
      </c>
      <c r="N488" s="1">
        <v>27</v>
      </c>
    </row>
    <row r="489" spans="1:14" x14ac:dyDescent="0.25">
      <c r="A489" s="1">
        <v>488</v>
      </c>
      <c r="B489" s="2">
        <v>40565</v>
      </c>
      <c r="C489" s="1">
        <v>9</v>
      </c>
      <c r="D489" s="1" t="b">
        <v>0</v>
      </c>
      <c r="E489" s="1">
        <v>6</v>
      </c>
      <c r="F489" s="1">
        <v>1</v>
      </c>
      <c r="G489" s="1">
        <v>0.04</v>
      </c>
      <c r="H489" s="1">
        <v>488</v>
      </c>
      <c r="I489" s="1">
        <v>3.0300000000000001E-2</v>
      </c>
      <c r="J489" s="1">
        <v>0.41</v>
      </c>
      <c r="K489" s="1">
        <v>0.25369999999999998</v>
      </c>
      <c r="L489" s="1">
        <v>3</v>
      </c>
      <c r="M489" s="1">
        <v>37</v>
      </c>
      <c r="N489" s="1">
        <v>40</v>
      </c>
    </row>
    <row r="490" spans="1:14" x14ac:dyDescent="0.25">
      <c r="A490" s="1">
        <v>489</v>
      </c>
      <c r="B490" s="2">
        <v>40565</v>
      </c>
      <c r="C490" s="1">
        <v>10</v>
      </c>
      <c r="D490" s="1" t="b">
        <v>0</v>
      </c>
      <c r="E490" s="1">
        <v>6</v>
      </c>
      <c r="F490" s="1">
        <v>2</v>
      </c>
      <c r="G490" s="1">
        <v>0.04</v>
      </c>
      <c r="H490" s="1">
        <v>489</v>
      </c>
      <c r="I490" s="1">
        <v>6.0600000000000001E-2</v>
      </c>
      <c r="J490" s="1">
        <v>0.41</v>
      </c>
      <c r="K490" s="1">
        <v>0.16420000000000001</v>
      </c>
      <c r="L490" s="1">
        <v>3</v>
      </c>
      <c r="M490" s="1">
        <v>50</v>
      </c>
      <c r="N490" s="1">
        <v>53</v>
      </c>
    </row>
    <row r="491" spans="1:14" x14ac:dyDescent="0.25">
      <c r="A491" s="1">
        <v>490</v>
      </c>
      <c r="B491" s="2">
        <v>40565</v>
      </c>
      <c r="C491" s="1">
        <v>11</v>
      </c>
      <c r="D491" s="1" t="b">
        <v>0</v>
      </c>
      <c r="E491" s="1">
        <v>6</v>
      </c>
      <c r="F491" s="1">
        <v>2</v>
      </c>
      <c r="G491" s="1">
        <v>0.06</v>
      </c>
      <c r="H491" s="1">
        <v>490</v>
      </c>
      <c r="I491" s="1">
        <v>7.5800000000000006E-2</v>
      </c>
      <c r="J491" s="1">
        <v>0.38</v>
      </c>
      <c r="K491" s="1">
        <v>0.1343</v>
      </c>
      <c r="L491" s="1">
        <v>4</v>
      </c>
      <c r="M491" s="1">
        <v>59</v>
      </c>
      <c r="N491" s="1">
        <v>63</v>
      </c>
    </row>
    <row r="492" spans="1:14" x14ac:dyDescent="0.25">
      <c r="A492" s="1">
        <v>491</v>
      </c>
      <c r="B492" s="2">
        <v>40565</v>
      </c>
      <c r="C492" s="1">
        <v>12</v>
      </c>
      <c r="D492" s="1" t="b">
        <v>0</v>
      </c>
      <c r="E492" s="1">
        <v>6</v>
      </c>
      <c r="F492" s="1">
        <v>2</v>
      </c>
      <c r="G492" s="1">
        <v>0.06</v>
      </c>
      <c r="H492" s="1">
        <v>491</v>
      </c>
      <c r="I492" s="1">
        <v>0.1061</v>
      </c>
      <c r="J492" s="1">
        <v>0.38</v>
      </c>
      <c r="K492" s="1">
        <v>0.1045</v>
      </c>
      <c r="L492" s="1">
        <v>10</v>
      </c>
      <c r="M492" s="1">
        <v>60</v>
      </c>
      <c r="N492" s="1">
        <v>70</v>
      </c>
    </row>
    <row r="493" spans="1:14" x14ac:dyDescent="0.25">
      <c r="A493" s="1">
        <v>492</v>
      </c>
      <c r="B493" s="2">
        <v>40565</v>
      </c>
      <c r="C493" s="1">
        <v>13</v>
      </c>
      <c r="D493" s="1" t="b">
        <v>0</v>
      </c>
      <c r="E493" s="1">
        <v>6</v>
      </c>
      <c r="F493" s="1">
        <v>1</v>
      </c>
      <c r="G493" s="1">
        <v>0.08</v>
      </c>
      <c r="H493" s="1">
        <v>492</v>
      </c>
      <c r="I493" s="1">
        <v>0.16669999999999999</v>
      </c>
      <c r="J493" s="1">
        <v>0.35</v>
      </c>
      <c r="K493" s="1">
        <v>0</v>
      </c>
      <c r="L493" s="1">
        <v>12</v>
      </c>
      <c r="M493" s="1">
        <v>72</v>
      </c>
      <c r="N493" s="1">
        <v>84</v>
      </c>
    </row>
    <row r="494" spans="1:14" x14ac:dyDescent="0.25">
      <c r="A494" s="1">
        <v>493</v>
      </c>
      <c r="B494" s="2">
        <v>40565</v>
      </c>
      <c r="C494" s="1">
        <v>14</v>
      </c>
      <c r="D494" s="1" t="b">
        <v>0</v>
      </c>
      <c r="E494" s="1">
        <v>6</v>
      </c>
      <c r="F494" s="1">
        <v>1</v>
      </c>
      <c r="G494" s="1">
        <v>0.1</v>
      </c>
      <c r="H494" s="1">
        <v>493</v>
      </c>
      <c r="I494" s="1">
        <v>0.13639999999999999</v>
      </c>
      <c r="J494" s="1">
        <v>0.33</v>
      </c>
      <c r="K494" s="1">
        <v>0.1045</v>
      </c>
      <c r="L494" s="1">
        <v>11</v>
      </c>
      <c r="M494" s="1">
        <v>64</v>
      </c>
      <c r="N494" s="1">
        <v>75</v>
      </c>
    </row>
    <row r="495" spans="1:14" x14ac:dyDescent="0.25">
      <c r="A495" s="1">
        <v>494</v>
      </c>
      <c r="B495" s="2">
        <v>40565</v>
      </c>
      <c r="C495" s="1">
        <v>15</v>
      </c>
      <c r="D495" s="1" t="b">
        <v>0</v>
      </c>
      <c r="E495" s="1">
        <v>6</v>
      </c>
      <c r="F495" s="1">
        <v>1</v>
      </c>
      <c r="G495" s="1">
        <v>0.12</v>
      </c>
      <c r="H495" s="1">
        <v>494</v>
      </c>
      <c r="I495" s="1">
        <v>0.1515</v>
      </c>
      <c r="J495" s="1">
        <v>0.28000000000000003</v>
      </c>
      <c r="K495" s="1">
        <v>0</v>
      </c>
      <c r="L495" s="1">
        <v>10</v>
      </c>
      <c r="M495" s="1">
        <v>93</v>
      </c>
      <c r="N495" s="1">
        <v>103</v>
      </c>
    </row>
    <row r="496" spans="1:14" x14ac:dyDescent="0.25">
      <c r="A496" s="1">
        <v>495</v>
      </c>
      <c r="B496" s="2">
        <v>40565</v>
      </c>
      <c r="C496" s="1">
        <v>16</v>
      </c>
      <c r="D496" s="1" t="b">
        <v>0</v>
      </c>
      <c r="E496" s="1">
        <v>6</v>
      </c>
      <c r="F496" s="1">
        <v>1</v>
      </c>
      <c r="G496" s="1">
        <v>0.12</v>
      </c>
      <c r="H496" s="1">
        <v>495</v>
      </c>
      <c r="I496" s="1">
        <v>0.13639999999999999</v>
      </c>
      <c r="J496" s="1">
        <v>0.28000000000000003</v>
      </c>
      <c r="K496" s="1">
        <v>0.19400000000000001</v>
      </c>
      <c r="L496" s="1">
        <v>11</v>
      </c>
      <c r="M496" s="1">
        <v>72</v>
      </c>
      <c r="N496" s="1">
        <v>83</v>
      </c>
    </row>
    <row r="497" spans="1:14" x14ac:dyDescent="0.25">
      <c r="A497" s="1">
        <v>496</v>
      </c>
      <c r="B497" s="2">
        <v>40565</v>
      </c>
      <c r="C497" s="1">
        <v>17</v>
      </c>
      <c r="D497" s="1" t="b">
        <v>0</v>
      </c>
      <c r="E497" s="1">
        <v>6</v>
      </c>
      <c r="F497" s="1">
        <v>1</v>
      </c>
      <c r="G497" s="1">
        <v>0.12</v>
      </c>
      <c r="H497" s="1">
        <v>496</v>
      </c>
      <c r="I497" s="1">
        <v>0.19700000000000001</v>
      </c>
      <c r="J497" s="1">
        <v>0.28000000000000003</v>
      </c>
      <c r="K497" s="1">
        <v>0</v>
      </c>
      <c r="L497" s="1">
        <v>8</v>
      </c>
      <c r="M497" s="1">
        <v>59</v>
      </c>
      <c r="N497" s="1">
        <v>67</v>
      </c>
    </row>
    <row r="498" spans="1:14" x14ac:dyDescent="0.25">
      <c r="A498" s="1">
        <v>497</v>
      </c>
      <c r="B498" s="2">
        <v>40565</v>
      </c>
      <c r="C498" s="1">
        <v>18</v>
      </c>
      <c r="D498" s="1" t="b">
        <v>0</v>
      </c>
      <c r="E498" s="1">
        <v>6</v>
      </c>
      <c r="F498" s="1">
        <v>1</v>
      </c>
      <c r="G498" s="1">
        <v>0.08</v>
      </c>
      <c r="H498" s="1">
        <v>497</v>
      </c>
      <c r="I498" s="1">
        <v>9.0899999999999995E-2</v>
      </c>
      <c r="J498" s="1">
        <v>0.35</v>
      </c>
      <c r="K498" s="1">
        <v>0.19400000000000001</v>
      </c>
      <c r="L498" s="1">
        <v>0</v>
      </c>
      <c r="M498" s="1">
        <v>54</v>
      </c>
      <c r="N498" s="1">
        <v>54</v>
      </c>
    </row>
    <row r="499" spans="1:14" x14ac:dyDescent="0.25">
      <c r="A499" s="1">
        <v>498</v>
      </c>
      <c r="B499" s="2">
        <v>40565</v>
      </c>
      <c r="C499" s="1">
        <v>19</v>
      </c>
      <c r="D499" s="1" t="b">
        <v>0</v>
      </c>
      <c r="E499" s="1">
        <v>6</v>
      </c>
      <c r="F499" s="1">
        <v>1</v>
      </c>
      <c r="G499" s="1">
        <v>0.08</v>
      </c>
      <c r="H499" s="1">
        <v>498</v>
      </c>
      <c r="I499" s="1">
        <v>0.1061</v>
      </c>
      <c r="J499" s="1">
        <v>0.35</v>
      </c>
      <c r="K499" s="1">
        <v>0.1343</v>
      </c>
      <c r="L499" s="1">
        <v>6</v>
      </c>
      <c r="M499" s="1">
        <v>53</v>
      </c>
      <c r="N499" s="1">
        <v>59</v>
      </c>
    </row>
    <row r="500" spans="1:14" x14ac:dyDescent="0.25">
      <c r="A500" s="1">
        <v>499</v>
      </c>
      <c r="B500" s="2">
        <v>40565</v>
      </c>
      <c r="C500" s="1">
        <v>20</v>
      </c>
      <c r="D500" s="1" t="b">
        <v>0</v>
      </c>
      <c r="E500" s="1">
        <v>6</v>
      </c>
      <c r="F500" s="1">
        <v>1</v>
      </c>
      <c r="G500" s="1">
        <v>0.06</v>
      </c>
      <c r="H500" s="1">
        <v>499</v>
      </c>
      <c r="I500" s="1">
        <v>7.5800000000000006E-2</v>
      </c>
      <c r="J500" s="1">
        <v>0.45</v>
      </c>
      <c r="K500" s="1">
        <v>0.16420000000000001</v>
      </c>
      <c r="L500" s="1">
        <v>1</v>
      </c>
      <c r="M500" s="1">
        <v>44</v>
      </c>
      <c r="N500" s="1">
        <v>45</v>
      </c>
    </row>
    <row r="501" spans="1:14" x14ac:dyDescent="0.25">
      <c r="A501" s="1">
        <v>500</v>
      </c>
      <c r="B501" s="2">
        <v>40565</v>
      </c>
      <c r="C501" s="1">
        <v>21</v>
      </c>
      <c r="D501" s="1" t="b">
        <v>0</v>
      </c>
      <c r="E501" s="1">
        <v>6</v>
      </c>
      <c r="F501" s="1">
        <v>1</v>
      </c>
      <c r="G501" s="1">
        <v>0.06</v>
      </c>
      <c r="H501" s="1">
        <v>500</v>
      </c>
      <c r="I501" s="1">
        <v>0.1061</v>
      </c>
      <c r="J501" s="1">
        <v>0.41</v>
      </c>
      <c r="K501" s="1">
        <v>8.9599999999999999E-2</v>
      </c>
      <c r="L501" s="1">
        <v>0</v>
      </c>
      <c r="M501" s="1">
        <v>39</v>
      </c>
      <c r="N501" s="1">
        <v>39</v>
      </c>
    </row>
    <row r="502" spans="1:14" x14ac:dyDescent="0.25">
      <c r="A502" s="1">
        <v>501</v>
      </c>
      <c r="B502" s="2">
        <v>40565</v>
      </c>
      <c r="C502" s="1">
        <v>22</v>
      </c>
      <c r="D502" s="1" t="b">
        <v>0</v>
      </c>
      <c r="E502" s="1">
        <v>6</v>
      </c>
      <c r="F502" s="1">
        <v>1</v>
      </c>
      <c r="G502" s="1">
        <v>0.06</v>
      </c>
      <c r="H502" s="1">
        <v>501</v>
      </c>
      <c r="I502" s="1">
        <v>0.1515</v>
      </c>
      <c r="J502" s="1">
        <v>0.49</v>
      </c>
      <c r="K502" s="1">
        <v>0</v>
      </c>
      <c r="L502" s="1">
        <v>7</v>
      </c>
      <c r="M502" s="1">
        <v>23</v>
      </c>
      <c r="N502" s="1">
        <v>30</v>
      </c>
    </row>
    <row r="503" spans="1:14" x14ac:dyDescent="0.25">
      <c r="A503" s="1">
        <v>502</v>
      </c>
      <c r="B503" s="2">
        <v>40565</v>
      </c>
      <c r="C503" s="1">
        <v>23</v>
      </c>
      <c r="D503" s="1" t="b">
        <v>0</v>
      </c>
      <c r="E503" s="1">
        <v>6</v>
      </c>
      <c r="F503" s="1">
        <v>1</v>
      </c>
      <c r="G503" s="1">
        <v>0.04</v>
      </c>
      <c r="H503" s="1">
        <v>502</v>
      </c>
      <c r="I503" s="1">
        <v>7.5800000000000006E-2</v>
      </c>
      <c r="J503" s="1">
        <v>0.56999999999999995</v>
      </c>
      <c r="K503" s="1">
        <v>0.1045</v>
      </c>
      <c r="L503" s="1">
        <v>2</v>
      </c>
      <c r="M503" s="1">
        <v>31</v>
      </c>
      <c r="N503" s="1">
        <v>33</v>
      </c>
    </row>
    <row r="504" spans="1:14" x14ac:dyDescent="0.25">
      <c r="A504" s="1">
        <v>503</v>
      </c>
      <c r="B504" s="2">
        <v>40566</v>
      </c>
      <c r="C504" s="1">
        <v>0</v>
      </c>
      <c r="D504" s="1" t="b">
        <v>0</v>
      </c>
      <c r="E504" s="1">
        <v>0</v>
      </c>
      <c r="F504" s="1">
        <v>1</v>
      </c>
      <c r="G504" s="1">
        <v>0.04</v>
      </c>
      <c r="H504" s="1">
        <v>503</v>
      </c>
      <c r="I504" s="1">
        <v>7.5800000000000006E-2</v>
      </c>
      <c r="J504" s="1">
        <v>0.56999999999999995</v>
      </c>
      <c r="K504" s="1">
        <v>0.1045</v>
      </c>
      <c r="L504" s="1">
        <v>2</v>
      </c>
      <c r="M504" s="1">
        <v>20</v>
      </c>
      <c r="N504" s="1">
        <v>22</v>
      </c>
    </row>
    <row r="505" spans="1:14" x14ac:dyDescent="0.25">
      <c r="A505" s="1">
        <v>504</v>
      </c>
      <c r="B505" s="2">
        <v>40566</v>
      </c>
      <c r="C505" s="1">
        <v>1</v>
      </c>
      <c r="D505" s="1" t="b">
        <v>0</v>
      </c>
      <c r="E505" s="1">
        <v>0</v>
      </c>
      <c r="F505" s="1">
        <v>1</v>
      </c>
      <c r="G505" s="1">
        <v>0.04</v>
      </c>
      <c r="H505" s="1">
        <v>504</v>
      </c>
      <c r="I505" s="1">
        <v>7.5800000000000006E-2</v>
      </c>
      <c r="J505" s="1">
        <v>0.56999999999999995</v>
      </c>
      <c r="K505" s="1">
        <v>0.1045</v>
      </c>
      <c r="L505" s="1">
        <v>1</v>
      </c>
      <c r="M505" s="1">
        <v>12</v>
      </c>
      <c r="N505" s="1">
        <v>13</v>
      </c>
    </row>
    <row r="506" spans="1:14" x14ac:dyDescent="0.25">
      <c r="A506" s="1">
        <v>505</v>
      </c>
      <c r="B506" s="2">
        <v>40566</v>
      </c>
      <c r="C506" s="1">
        <v>2</v>
      </c>
      <c r="D506" s="1" t="b">
        <v>0</v>
      </c>
      <c r="E506" s="1">
        <v>0</v>
      </c>
      <c r="F506" s="1">
        <v>1</v>
      </c>
      <c r="G506" s="1">
        <v>0.02</v>
      </c>
      <c r="H506" s="1">
        <v>505</v>
      </c>
      <c r="I506" s="1">
        <v>6.0600000000000001E-2</v>
      </c>
      <c r="J506" s="1">
        <v>0.62</v>
      </c>
      <c r="K506" s="1">
        <v>0.1343</v>
      </c>
      <c r="L506" s="1">
        <v>3</v>
      </c>
      <c r="M506" s="1">
        <v>15</v>
      </c>
      <c r="N506" s="1">
        <v>18</v>
      </c>
    </row>
    <row r="507" spans="1:14" x14ac:dyDescent="0.25">
      <c r="A507" s="1">
        <v>506</v>
      </c>
      <c r="B507" s="2">
        <v>40566</v>
      </c>
      <c r="C507" s="1">
        <v>3</v>
      </c>
      <c r="D507" s="1" t="b">
        <v>0</v>
      </c>
      <c r="E507" s="1">
        <v>0</v>
      </c>
      <c r="F507" s="1">
        <v>1</v>
      </c>
      <c r="G507" s="1">
        <v>0.02</v>
      </c>
      <c r="H507" s="1">
        <v>506</v>
      </c>
      <c r="I507" s="1">
        <v>6.0600000000000001E-2</v>
      </c>
      <c r="J507" s="1">
        <v>0.62</v>
      </c>
      <c r="K507" s="1">
        <v>0.1343</v>
      </c>
      <c r="L507" s="1">
        <v>1</v>
      </c>
      <c r="M507" s="1">
        <v>4</v>
      </c>
      <c r="N507" s="1">
        <v>5</v>
      </c>
    </row>
    <row r="508" spans="1:14" x14ac:dyDescent="0.25">
      <c r="A508" s="1">
        <v>507</v>
      </c>
      <c r="B508" s="2">
        <v>40566</v>
      </c>
      <c r="C508" s="1">
        <v>5</v>
      </c>
      <c r="D508" s="1" t="b">
        <v>0</v>
      </c>
      <c r="E508" s="1">
        <v>0</v>
      </c>
      <c r="F508" s="1">
        <v>2</v>
      </c>
      <c r="G508" s="1">
        <v>0.04</v>
      </c>
      <c r="H508" s="1">
        <v>507</v>
      </c>
      <c r="I508" s="1">
        <v>7.5800000000000006E-2</v>
      </c>
      <c r="J508" s="1">
        <v>0.56999999999999995</v>
      </c>
      <c r="K508" s="1">
        <v>0.1045</v>
      </c>
      <c r="L508" s="1">
        <v>0</v>
      </c>
      <c r="M508" s="1">
        <v>3</v>
      </c>
      <c r="N508" s="1">
        <v>3</v>
      </c>
    </row>
    <row r="509" spans="1:14" x14ac:dyDescent="0.25">
      <c r="A509" s="1">
        <v>508</v>
      </c>
      <c r="B509" s="2">
        <v>40566</v>
      </c>
      <c r="C509" s="1">
        <v>6</v>
      </c>
      <c r="D509" s="1" t="b">
        <v>0</v>
      </c>
      <c r="E509" s="1">
        <v>0</v>
      </c>
      <c r="F509" s="1">
        <v>2</v>
      </c>
      <c r="G509" s="1">
        <v>0.04</v>
      </c>
      <c r="H509" s="1">
        <v>508</v>
      </c>
      <c r="I509" s="1">
        <v>7.5800000000000006E-2</v>
      </c>
      <c r="J509" s="1">
        <v>0.56999999999999995</v>
      </c>
      <c r="K509" s="1">
        <v>0.1045</v>
      </c>
      <c r="L509" s="1">
        <v>0</v>
      </c>
      <c r="M509" s="1">
        <v>1</v>
      </c>
      <c r="N509" s="1">
        <v>1</v>
      </c>
    </row>
    <row r="510" spans="1:14" x14ac:dyDescent="0.25">
      <c r="A510" s="1">
        <v>509</v>
      </c>
      <c r="B510" s="2">
        <v>40566</v>
      </c>
      <c r="C510" s="1">
        <v>7</v>
      </c>
      <c r="D510" s="1" t="b">
        <v>0</v>
      </c>
      <c r="E510" s="1">
        <v>0</v>
      </c>
      <c r="F510" s="1">
        <v>1</v>
      </c>
      <c r="G510" s="1">
        <v>0.08</v>
      </c>
      <c r="H510" s="1">
        <v>509</v>
      </c>
      <c r="I510" s="1">
        <v>0.1061</v>
      </c>
      <c r="J510" s="1">
        <v>0.57999999999999996</v>
      </c>
      <c r="K510" s="1">
        <v>0.16420000000000001</v>
      </c>
      <c r="L510" s="1">
        <v>1</v>
      </c>
      <c r="M510" s="1">
        <v>1</v>
      </c>
      <c r="N510" s="1">
        <v>2</v>
      </c>
    </row>
    <row r="511" spans="1:14" x14ac:dyDescent="0.25">
      <c r="A511" s="1">
        <v>510</v>
      </c>
      <c r="B511" s="2">
        <v>40566</v>
      </c>
      <c r="C511" s="1">
        <v>8</v>
      </c>
      <c r="D511" s="1" t="b">
        <v>0</v>
      </c>
      <c r="E511" s="1">
        <v>0</v>
      </c>
      <c r="F511" s="1">
        <v>1</v>
      </c>
      <c r="G511" s="1">
        <v>0.06</v>
      </c>
      <c r="H511" s="1">
        <v>510</v>
      </c>
      <c r="I511" s="1">
        <v>7.5800000000000006E-2</v>
      </c>
      <c r="J511" s="1">
        <v>0.62</v>
      </c>
      <c r="K511" s="1">
        <v>0.16420000000000001</v>
      </c>
      <c r="L511" s="1">
        <v>2</v>
      </c>
      <c r="M511" s="1">
        <v>17</v>
      </c>
      <c r="N511" s="1">
        <v>19</v>
      </c>
    </row>
    <row r="512" spans="1:14" x14ac:dyDescent="0.25">
      <c r="A512" s="1">
        <v>511</v>
      </c>
      <c r="B512" s="2">
        <v>40566</v>
      </c>
      <c r="C512" s="1">
        <v>9</v>
      </c>
      <c r="D512" s="1" t="b">
        <v>0</v>
      </c>
      <c r="E512" s="1">
        <v>0</v>
      </c>
      <c r="F512" s="1">
        <v>1</v>
      </c>
      <c r="G512" s="1">
        <v>0.1</v>
      </c>
      <c r="H512" s="1">
        <v>511</v>
      </c>
      <c r="I512" s="1">
        <v>7.5800000000000006E-2</v>
      </c>
      <c r="J512" s="1">
        <v>0.54</v>
      </c>
      <c r="K512" s="1">
        <v>0.35820000000000002</v>
      </c>
      <c r="L512" s="1">
        <v>3</v>
      </c>
      <c r="M512" s="1">
        <v>25</v>
      </c>
      <c r="N512" s="1">
        <v>28</v>
      </c>
    </row>
    <row r="513" spans="1:14" x14ac:dyDescent="0.25">
      <c r="A513" s="1">
        <v>512</v>
      </c>
      <c r="B513" s="2">
        <v>40566</v>
      </c>
      <c r="C513" s="1">
        <v>10</v>
      </c>
      <c r="D513" s="1" t="b">
        <v>0</v>
      </c>
      <c r="E513" s="1">
        <v>0</v>
      </c>
      <c r="F513" s="1">
        <v>1</v>
      </c>
      <c r="G513" s="1">
        <v>0.14000000000000001</v>
      </c>
      <c r="H513" s="1">
        <v>512</v>
      </c>
      <c r="I513" s="1">
        <v>0.1061</v>
      </c>
      <c r="J513" s="1">
        <v>0.46</v>
      </c>
      <c r="K513" s="1">
        <v>0.3881</v>
      </c>
      <c r="L513" s="1">
        <v>7</v>
      </c>
      <c r="M513" s="1">
        <v>51</v>
      </c>
      <c r="N513" s="1">
        <v>58</v>
      </c>
    </row>
    <row r="514" spans="1:14" x14ac:dyDescent="0.25">
      <c r="A514" s="1">
        <v>513</v>
      </c>
      <c r="B514" s="2">
        <v>40566</v>
      </c>
      <c r="C514" s="1">
        <v>11</v>
      </c>
      <c r="D514" s="1" t="b">
        <v>0</v>
      </c>
      <c r="E514" s="1">
        <v>0</v>
      </c>
      <c r="F514" s="1">
        <v>1</v>
      </c>
      <c r="G514" s="1">
        <v>0.14000000000000001</v>
      </c>
      <c r="H514" s="1">
        <v>513</v>
      </c>
      <c r="I514" s="1">
        <v>0.13639999999999999</v>
      </c>
      <c r="J514" s="1">
        <v>0.43</v>
      </c>
      <c r="K514" s="1">
        <v>0.22389999999999999</v>
      </c>
      <c r="L514" s="1">
        <v>22</v>
      </c>
      <c r="M514" s="1">
        <v>77</v>
      </c>
      <c r="N514" s="1">
        <v>99</v>
      </c>
    </row>
    <row r="515" spans="1:14" x14ac:dyDescent="0.25">
      <c r="A515" s="1">
        <v>514</v>
      </c>
      <c r="B515" s="2">
        <v>40566</v>
      </c>
      <c r="C515" s="1">
        <v>12</v>
      </c>
      <c r="D515" s="1" t="b">
        <v>0</v>
      </c>
      <c r="E515" s="1">
        <v>0</v>
      </c>
      <c r="F515" s="1">
        <v>1</v>
      </c>
      <c r="G515" s="1">
        <v>0.16</v>
      </c>
      <c r="H515" s="1">
        <v>514</v>
      </c>
      <c r="I515" s="1">
        <v>0.1212</v>
      </c>
      <c r="J515" s="1">
        <v>0.37</v>
      </c>
      <c r="K515" s="1">
        <v>0.4627</v>
      </c>
      <c r="L515" s="1">
        <v>24</v>
      </c>
      <c r="M515" s="1">
        <v>92</v>
      </c>
      <c r="N515" s="1">
        <v>116</v>
      </c>
    </row>
    <row r="516" spans="1:14" x14ac:dyDescent="0.25">
      <c r="A516" s="1">
        <v>515</v>
      </c>
      <c r="B516" s="2">
        <v>40566</v>
      </c>
      <c r="C516" s="1">
        <v>13</v>
      </c>
      <c r="D516" s="1" t="b">
        <v>0</v>
      </c>
      <c r="E516" s="1">
        <v>0</v>
      </c>
      <c r="F516" s="1">
        <v>1</v>
      </c>
      <c r="G516" s="1">
        <v>0.14000000000000001</v>
      </c>
      <c r="H516" s="1">
        <v>515</v>
      </c>
      <c r="I516" s="1">
        <v>0.1061</v>
      </c>
      <c r="J516" s="1">
        <v>0.33</v>
      </c>
      <c r="K516" s="1">
        <v>0.3881</v>
      </c>
      <c r="L516" s="1">
        <v>12</v>
      </c>
      <c r="M516" s="1">
        <v>75</v>
      </c>
      <c r="N516" s="1">
        <v>87</v>
      </c>
    </row>
    <row r="517" spans="1:14" x14ac:dyDescent="0.25">
      <c r="A517" s="1">
        <v>516</v>
      </c>
      <c r="B517" s="2">
        <v>40566</v>
      </c>
      <c r="C517" s="1">
        <v>14</v>
      </c>
      <c r="D517" s="1" t="b">
        <v>0</v>
      </c>
      <c r="E517" s="1">
        <v>0</v>
      </c>
      <c r="F517" s="1">
        <v>1</v>
      </c>
      <c r="G517" s="1">
        <v>0.16</v>
      </c>
      <c r="H517" s="1">
        <v>516</v>
      </c>
      <c r="I517" s="1">
        <v>0.13639999999999999</v>
      </c>
      <c r="J517" s="1">
        <v>0.28000000000000003</v>
      </c>
      <c r="K517" s="1">
        <v>0.35820000000000002</v>
      </c>
      <c r="L517" s="1">
        <v>17</v>
      </c>
      <c r="M517" s="1">
        <v>93</v>
      </c>
      <c r="N517" s="1">
        <v>110</v>
      </c>
    </row>
    <row r="518" spans="1:14" x14ac:dyDescent="0.25">
      <c r="A518" s="1">
        <v>517</v>
      </c>
      <c r="B518" s="2">
        <v>40566</v>
      </c>
      <c r="C518" s="1">
        <v>15</v>
      </c>
      <c r="D518" s="1" t="b">
        <v>0</v>
      </c>
      <c r="E518" s="1">
        <v>0</v>
      </c>
      <c r="F518" s="1">
        <v>1</v>
      </c>
      <c r="G518" s="1">
        <v>0.16</v>
      </c>
      <c r="H518" s="1">
        <v>517</v>
      </c>
      <c r="I518" s="1">
        <v>0.13639999999999999</v>
      </c>
      <c r="J518" s="1">
        <v>0.28000000000000003</v>
      </c>
      <c r="K518" s="1">
        <v>0.35820000000000002</v>
      </c>
      <c r="L518" s="1">
        <v>13</v>
      </c>
      <c r="M518" s="1">
        <v>64</v>
      </c>
      <c r="N518" s="1">
        <v>77</v>
      </c>
    </row>
    <row r="519" spans="1:14" x14ac:dyDescent="0.25">
      <c r="A519" s="1">
        <v>518</v>
      </c>
      <c r="B519" s="2">
        <v>40566</v>
      </c>
      <c r="C519" s="1">
        <v>16</v>
      </c>
      <c r="D519" s="1" t="b">
        <v>0</v>
      </c>
      <c r="E519" s="1">
        <v>0</v>
      </c>
      <c r="F519" s="1">
        <v>1</v>
      </c>
      <c r="G519" s="1">
        <v>0.16</v>
      </c>
      <c r="H519" s="1">
        <v>518</v>
      </c>
      <c r="I519" s="1">
        <v>0.13639999999999999</v>
      </c>
      <c r="J519" s="1">
        <v>0.26</v>
      </c>
      <c r="K519" s="1">
        <v>0.32840000000000003</v>
      </c>
      <c r="L519" s="1">
        <v>9</v>
      </c>
      <c r="M519" s="1">
        <v>56</v>
      </c>
      <c r="N519" s="1">
        <v>65</v>
      </c>
    </row>
    <row r="520" spans="1:14" x14ac:dyDescent="0.25">
      <c r="A520" s="1">
        <v>519</v>
      </c>
      <c r="B520" s="2">
        <v>40566</v>
      </c>
      <c r="C520" s="1">
        <v>17</v>
      </c>
      <c r="D520" s="1" t="b">
        <v>0</v>
      </c>
      <c r="E520" s="1">
        <v>0</v>
      </c>
      <c r="F520" s="1">
        <v>1</v>
      </c>
      <c r="G520" s="1">
        <v>0.14000000000000001</v>
      </c>
      <c r="H520" s="1">
        <v>519</v>
      </c>
      <c r="I520" s="1">
        <v>0.1061</v>
      </c>
      <c r="J520" s="1">
        <v>0.26</v>
      </c>
      <c r="K520" s="1">
        <v>0.3881</v>
      </c>
      <c r="L520" s="1">
        <v>5</v>
      </c>
      <c r="M520" s="1">
        <v>50</v>
      </c>
      <c r="N520" s="1">
        <v>55</v>
      </c>
    </row>
    <row r="521" spans="1:14" x14ac:dyDescent="0.25">
      <c r="A521" s="1">
        <v>520</v>
      </c>
      <c r="B521" s="2">
        <v>40566</v>
      </c>
      <c r="C521" s="1">
        <v>18</v>
      </c>
      <c r="D521" s="1" t="b">
        <v>0</v>
      </c>
      <c r="E521" s="1">
        <v>0</v>
      </c>
      <c r="F521" s="1">
        <v>1</v>
      </c>
      <c r="G521" s="1">
        <v>0.12</v>
      </c>
      <c r="H521" s="1">
        <v>520</v>
      </c>
      <c r="I521" s="1">
        <v>0.1212</v>
      </c>
      <c r="J521" s="1">
        <v>0.3</v>
      </c>
      <c r="K521" s="1">
        <v>0.25369999999999998</v>
      </c>
      <c r="L521" s="1">
        <v>5</v>
      </c>
      <c r="M521" s="1">
        <v>44</v>
      </c>
      <c r="N521" s="1">
        <v>49</v>
      </c>
    </row>
    <row r="522" spans="1:14" x14ac:dyDescent="0.25">
      <c r="A522" s="1">
        <v>521</v>
      </c>
      <c r="B522" s="2">
        <v>40566</v>
      </c>
      <c r="C522" s="1">
        <v>19</v>
      </c>
      <c r="D522" s="1" t="b">
        <v>0</v>
      </c>
      <c r="E522" s="1">
        <v>0</v>
      </c>
      <c r="F522" s="1">
        <v>1</v>
      </c>
      <c r="G522" s="1">
        <v>0.12</v>
      </c>
      <c r="H522" s="1">
        <v>521</v>
      </c>
      <c r="I522" s="1">
        <v>0.1212</v>
      </c>
      <c r="J522" s="1">
        <v>0.3</v>
      </c>
      <c r="K522" s="1">
        <v>0.28360000000000002</v>
      </c>
      <c r="L522" s="1">
        <v>5</v>
      </c>
      <c r="M522" s="1">
        <v>45</v>
      </c>
      <c r="N522" s="1">
        <v>50</v>
      </c>
    </row>
    <row r="523" spans="1:14" x14ac:dyDescent="0.25">
      <c r="A523" s="1">
        <v>522</v>
      </c>
      <c r="B523" s="2">
        <v>40566</v>
      </c>
      <c r="C523" s="1">
        <v>20</v>
      </c>
      <c r="D523" s="1" t="b">
        <v>0</v>
      </c>
      <c r="E523" s="1">
        <v>0</v>
      </c>
      <c r="F523" s="1">
        <v>1</v>
      </c>
      <c r="G523" s="1">
        <v>0.1</v>
      </c>
      <c r="H523" s="1">
        <v>522</v>
      </c>
      <c r="I523" s="1">
        <v>0.1061</v>
      </c>
      <c r="J523" s="1">
        <v>0.36</v>
      </c>
      <c r="K523" s="1">
        <v>0.25369999999999998</v>
      </c>
      <c r="L523" s="1">
        <v>4</v>
      </c>
      <c r="M523" s="1">
        <v>31</v>
      </c>
      <c r="N523" s="1">
        <v>35</v>
      </c>
    </row>
    <row r="524" spans="1:14" x14ac:dyDescent="0.25">
      <c r="A524" s="1">
        <v>523</v>
      </c>
      <c r="B524" s="2">
        <v>40566</v>
      </c>
      <c r="C524" s="1">
        <v>21</v>
      </c>
      <c r="D524" s="1" t="b">
        <v>0</v>
      </c>
      <c r="E524" s="1">
        <v>0</v>
      </c>
      <c r="F524" s="1">
        <v>1</v>
      </c>
      <c r="G524" s="1">
        <v>0.1</v>
      </c>
      <c r="H524" s="1">
        <v>523</v>
      </c>
      <c r="I524" s="1">
        <v>0.1061</v>
      </c>
      <c r="J524" s="1">
        <v>0.36</v>
      </c>
      <c r="K524" s="1">
        <v>0.19400000000000001</v>
      </c>
      <c r="L524" s="1">
        <v>5</v>
      </c>
      <c r="M524" s="1">
        <v>20</v>
      </c>
      <c r="N524" s="1">
        <v>25</v>
      </c>
    </row>
    <row r="525" spans="1:14" x14ac:dyDescent="0.25">
      <c r="A525" s="1">
        <v>524</v>
      </c>
      <c r="B525" s="2">
        <v>40566</v>
      </c>
      <c r="C525" s="1">
        <v>22</v>
      </c>
      <c r="D525" s="1" t="b">
        <v>0</v>
      </c>
      <c r="E525" s="1">
        <v>0</v>
      </c>
      <c r="F525" s="1">
        <v>1</v>
      </c>
      <c r="G525" s="1">
        <v>0.08</v>
      </c>
      <c r="H525" s="1">
        <v>524</v>
      </c>
      <c r="I525" s="1">
        <v>9.0899999999999995E-2</v>
      </c>
      <c r="J525" s="1">
        <v>0.38</v>
      </c>
      <c r="K525" s="1">
        <v>0.19400000000000001</v>
      </c>
      <c r="L525" s="1">
        <v>5</v>
      </c>
      <c r="M525" s="1">
        <v>23</v>
      </c>
      <c r="N525" s="1">
        <v>28</v>
      </c>
    </row>
    <row r="526" spans="1:14" x14ac:dyDescent="0.25">
      <c r="A526" s="1">
        <v>525</v>
      </c>
      <c r="B526" s="2">
        <v>40566</v>
      </c>
      <c r="C526" s="1">
        <v>23</v>
      </c>
      <c r="D526" s="1" t="b">
        <v>0</v>
      </c>
      <c r="E526" s="1">
        <v>0</v>
      </c>
      <c r="F526" s="1">
        <v>1</v>
      </c>
      <c r="G526" s="1">
        <v>0.06</v>
      </c>
      <c r="H526" s="1">
        <v>525</v>
      </c>
      <c r="I526" s="1">
        <v>6.0600000000000001E-2</v>
      </c>
      <c r="J526" s="1">
        <v>0.41</v>
      </c>
      <c r="K526" s="1">
        <v>0.22389999999999999</v>
      </c>
      <c r="L526" s="1">
        <v>4</v>
      </c>
      <c r="M526" s="1">
        <v>17</v>
      </c>
      <c r="N526" s="1">
        <v>21</v>
      </c>
    </row>
    <row r="527" spans="1:14" x14ac:dyDescent="0.25">
      <c r="A527" s="1">
        <v>526</v>
      </c>
      <c r="B527" s="2">
        <v>40567</v>
      </c>
      <c r="C527" s="1">
        <v>0</v>
      </c>
      <c r="D527" s="1" t="b">
        <v>0</v>
      </c>
      <c r="E527" s="1">
        <v>1</v>
      </c>
      <c r="F527" s="1">
        <v>1</v>
      </c>
      <c r="G527" s="1">
        <v>0.06</v>
      </c>
      <c r="H527" s="1">
        <v>526</v>
      </c>
      <c r="I527" s="1">
        <v>6.0600000000000001E-2</v>
      </c>
      <c r="J527" s="1">
        <v>0.41</v>
      </c>
      <c r="K527" s="1">
        <v>0.19400000000000001</v>
      </c>
      <c r="L527" s="1">
        <v>0</v>
      </c>
      <c r="M527" s="1">
        <v>7</v>
      </c>
      <c r="N527" s="1">
        <v>7</v>
      </c>
    </row>
    <row r="528" spans="1:14" x14ac:dyDescent="0.25">
      <c r="A528" s="1">
        <v>527</v>
      </c>
      <c r="B528" s="2">
        <v>40567</v>
      </c>
      <c r="C528" s="1">
        <v>1</v>
      </c>
      <c r="D528" s="1" t="b">
        <v>0</v>
      </c>
      <c r="E528" s="1">
        <v>1</v>
      </c>
      <c r="F528" s="1">
        <v>1</v>
      </c>
      <c r="G528" s="1">
        <v>0.04</v>
      </c>
      <c r="H528" s="1">
        <v>527</v>
      </c>
      <c r="I528" s="1">
        <v>4.5499999999999999E-2</v>
      </c>
      <c r="J528" s="1">
        <v>0.45</v>
      </c>
      <c r="K528" s="1">
        <v>0.19400000000000001</v>
      </c>
      <c r="L528" s="1">
        <v>0</v>
      </c>
      <c r="M528" s="1">
        <v>1</v>
      </c>
      <c r="N528" s="1">
        <v>1</v>
      </c>
    </row>
    <row r="529" spans="1:14" x14ac:dyDescent="0.25">
      <c r="A529" s="1">
        <v>528</v>
      </c>
      <c r="B529" s="2">
        <v>40567</v>
      </c>
      <c r="C529" s="1">
        <v>3</v>
      </c>
      <c r="D529" s="1" t="b">
        <v>0</v>
      </c>
      <c r="E529" s="1">
        <v>1</v>
      </c>
      <c r="F529" s="1">
        <v>1</v>
      </c>
      <c r="G529" s="1">
        <v>0.04</v>
      </c>
      <c r="H529" s="1">
        <v>528</v>
      </c>
      <c r="I529" s="1">
        <v>3.0300000000000001E-2</v>
      </c>
      <c r="J529" s="1">
        <v>0.45</v>
      </c>
      <c r="K529" s="1">
        <v>0.25369999999999998</v>
      </c>
      <c r="L529" s="1">
        <v>0</v>
      </c>
      <c r="M529" s="1">
        <v>1</v>
      </c>
      <c r="N529" s="1">
        <v>1</v>
      </c>
    </row>
    <row r="530" spans="1:14" x14ac:dyDescent="0.25">
      <c r="A530" s="1">
        <v>529</v>
      </c>
      <c r="B530" s="2">
        <v>40567</v>
      </c>
      <c r="C530" s="1">
        <v>4</v>
      </c>
      <c r="D530" s="1" t="b">
        <v>0</v>
      </c>
      <c r="E530" s="1">
        <v>1</v>
      </c>
      <c r="F530" s="1">
        <v>1</v>
      </c>
      <c r="G530" s="1">
        <v>0.02</v>
      </c>
      <c r="H530" s="1">
        <v>529</v>
      </c>
      <c r="I530" s="1">
        <v>6.0600000000000001E-2</v>
      </c>
      <c r="J530" s="1">
        <v>0.48</v>
      </c>
      <c r="K530" s="1">
        <v>0.1343</v>
      </c>
      <c r="L530" s="1">
        <v>0</v>
      </c>
      <c r="M530" s="1">
        <v>1</v>
      </c>
      <c r="N530" s="1">
        <v>1</v>
      </c>
    </row>
    <row r="531" spans="1:14" x14ac:dyDescent="0.25">
      <c r="A531" s="1">
        <v>530</v>
      </c>
      <c r="B531" s="2">
        <v>40567</v>
      </c>
      <c r="C531" s="1">
        <v>5</v>
      </c>
      <c r="D531" s="1" t="b">
        <v>0</v>
      </c>
      <c r="E531" s="1">
        <v>1</v>
      </c>
      <c r="F531" s="1">
        <v>1</v>
      </c>
      <c r="G531" s="1">
        <v>0.02</v>
      </c>
      <c r="H531" s="1">
        <v>530</v>
      </c>
      <c r="I531" s="1">
        <v>6.0600000000000001E-2</v>
      </c>
      <c r="J531" s="1">
        <v>0.48</v>
      </c>
      <c r="K531" s="1">
        <v>0.1343</v>
      </c>
      <c r="L531" s="1">
        <v>0</v>
      </c>
      <c r="M531" s="1">
        <v>5</v>
      </c>
      <c r="N531" s="1">
        <v>5</v>
      </c>
    </row>
    <row r="532" spans="1:14" x14ac:dyDescent="0.25">
      <c r="A532" s="1">
        <v>531</v>
      </c>
      <c r="B532" s="2">
        <v>40567</v>
      </c>
      <c r="C532" s="1">
        <v>6</v>
      </c>
      <c r="D532" s="1" t="b">
        <v>0</v>
      </c>
      <c r="E532" s="1">
        <v>1</v>
      </c>
      <c r="F532" s="1">
        <v>1</v>
      </c>
      <c r="G532" s="1">
        <v>0.02</v>
      </c>
      <c r="H532" s="1">
        <v>531</v>
      </c>
      <c r="I532" s="1">
        <v>7.5800000000000006E-2</v>
      </c>
      <c r="J532" s="1">
        <v>0.48</v>
      </c>
      <c r="K532" s="1">
        <v>8.9599999999999999E-2</v>
      </c>
      <c r="L532" s="1">
        <v>0</v>
      </c>
      <c r="M532" s="1">
        <v>15</v>
      </c>
      <c r="N532" s="1">
        <v>15</v>
      </c>
    </row>
    <row r="533" spans="1:14" x14ac:dyDescent="0.25">
      <c r="A533" s="1">
        <v>532</v>
      </c>
      <c r="B533" s="2">
        <v>40567</v>
      </c>
      <c r="C533" s="1">
        <v>7</v>
      </c>
      <c r="D533" s="1" t="b">
        <v>0</v>
      </c>
      <c r="E533" s="1">
        <v>1</v>
      </c>
      <c r="F533" s="1">
        <v>1</v>
      </c>
      <c r="G533" s="1">
        <v>0.02</v>
      </c>
      <c r="H533" s="1">
        <v>532</v>
      </c>
      <c r="I533" s="1">
        <v>0.1212</v>
      </c>
      <c r="J533" s="1">
        <v>0.48</v>
      </c>
      <c r="K533" s="1">
        <v>0</v>
      </c>
      <c r="L533" s="1">
        <v>5</v>
      </c>
      <c r="M533" s="1">
        <v>79</v>
      </c>
      <c r="N533" s="1">
        <v>84</v>
      </c>
    </row>
    <row r="534" spans="1:14" x14ac:dyDescent="0.25">
      <c r="A534" s="1">
        <v>533</v>
      </c>
      <c r="B534" s="2">
        <v>40567</v>
      </c>
      <c r="C534" s="1">
        <v>8</v>
      </c>
      <c r="D534" s="1" t="b">
        <v>0</v>
      </c>
      <c r="E534" s="1">
        <v>1</v>
      </c>
      <c r="F534" s="1">
        <v>1</v>
      </c>
      <c r="G534" s="1">
        <v>0.04</v>
      </c>
      <c r="H534" s="1">
        <v>533</v>
      </c>
      <c r="I534" s="1">
        <v>0.13639999999999999</v>
      </c>
      <c r="J534" s="1">
        <v>0.49</v>
      </c>
      <c r="K534" s="1">
        <v>0</v>
      </c>
      <c r="L534" s="1">
        <v>6</v>
      </c>
      <c r="M534" s="1">
        <v>171</v>
      </c>
      <c r="N534" s="1">
        <v>177</v>
      </c>
    </row>
    <row r="535" spans="1:14" x14ac:dyDescent="0.25">
      <c r="A535" s="1">
        <v>534</v>
      </c>
      <c r="B535" s="2">
        <v>40567</v>
      </c>
      <c r="C535" s="1">
        <v>9</v>
      </c>
      <c r="D535" s="1" t="b">
        <v>0</v>
      </c>
      <c r="E535" s="1">
        <v>1</v>
      </c>
      <c r="F535" s="1">
        <v>1</v>
      </c>
      <c r="G535" s="1">
        <v>0.06</v>
      </c>
      <c r="H535" s="1">
        <v>534</v>
      </c>
      <c r="I535" s="1">
        <v>0.1515</v>
      </c>
      <c r="J535" s="1">
        <v>0.41</v>
      </c>
      <c r="K535" s="1">
        <v>0</v>
      </c>
      <c r="L535" s="1">
        <v>4</v>
      </c>
      <c r="M535" s="1">
        <v>98</v>
      </c>
      <c r="N535" s="1">
        <v>102</v>
      </c>
    </row>
    <row r="536" spans="1:14" x14ac:dyDescent="0.25">
      <c r="A536" s="1">
        <v>535</v>
      </c>
      <c r="B536" s="2">
        <v>40567</v>
      </c>
      <c r="C536" s="1">
        <v>10</v>
      </c>
      <c r="D536" s="1" t="b">
        <v>0</v>
      </c>
      <c r="E536" s="1">
        <v>1</v>
      </c>
      <c r="F536" s="1">
        <v>1</v>
      </c>
      <c r="G536" s="1">
        <v>0.1</v>
      </c>
      <c r="H536" s="1">
        <v>535</v>
      </c>
      <c r="I536" s="1">
        <v>0.13639999999999999</v>
      </c>
      <c r="J536" s="1">
        <v>0.42</v>
      </c>
      <c r="K536" s="1">
        <v>0</v>
      </c>
      <c r="L536" s="1">
        <v>6</v>
      </c>
      <c r="M536" s="1">
        <v>34</v>
      </c>
      <c r="N536" s="1">
        <v>40</v>
      </c>
    </row>
    <row r="537" spans="1:14" x14ac:dyDescent="0.25">
      <c r="A537" s="1">
        <v>536</v>
      </c>
      <c r="B537" s="2">
        <v>40567</v>
      </c>
      <c r="C537" s="1">
        <v>11</v>
      </c>
      <c r="D537" s="1" t="b">
        <v>0</v>
      </c>
      <c r="E537" s="1">
        <v>1</v>
      </c>
      <c r="F537" s="1">
        <v>1</v>
      </c>
      <c r="G537" s="1">
        <v>0.1</v>
      </c>
      <c r="H537" s="1">
        <v>536</v>
      </c>
      <c r="I537" s="1">
        <v>0.1212</v>
      </c>
      <c r="J537" s="1">
        <v>0.46</v>
      </c>
      <c r="K537" s="1">
        <v>0.1343</v>
      </c>
      <c r="L537" s="1">
        <v>3</v>
      </c>
      <c r="M537" s="1">
        <v>43</v>
      </c>
      <c r="N537" s="1">
        <v>46</v>
      </c>
    </row>
    <row r="538" spans="1:14" x14ac:dyDescent="0.25">
      <c r="A538" s="1">
        <v>537</v>
      </c>
      <c r="B538" s="2">
        <v>40567</v>
      </c>
      <c r="C538" s="1">
        <v>12</v>
      </c>
      <c r="D538" s="1" t="b">
        <v>0</v>
      </c>
      <c r="E538" s="1">
        <v>1</v>
      </c>
      <c r="F538" s="1">
        <v>2</v>
      </c>
      <c r="G538" s="1">
        <v>0.12</v>
      </c>
      <c r="H538" s="1">
        <v>537</v>
      </c>
      <c r="I538" s="1">
        <v>0.13639999999999999</v>
      </c>
      <c r="J538" s="1">
        <v>0.42</v>
      </c>
      <c r="K538" s="1">
        <v>0.19400000000000001</v>
      </c>
      <c r="L538" s="1">
        <v>11</v>
      </c>
      <c r="M538" s="1">
        <v>52</v>
      </c>
      <c r="N538" s="1">
        <v>63</v>
      </c>
    </row>
    <row r="539" spans="1:14" x14ac:dyDescent="0.25">
      <c r="A539" s="1">
        <v>538</v>
      </c>
      <c r="B539" s="2">
        <v>40567</v>
      </c>
      <c r="C539" s="1">
        <v>13</v>
      </c>
      <c r="D539" s="1" t="b">
        <v>0</v>
      </c>
      <c r="E539" s="1">
        <v>1</v>
      </c>
      <c r="F539" s="1">
        <v>2</v>
      </c>
      <c r="G539" s="1">
        <v>0.14000000000000001</v>
      </c>
      <c r="H539" s="1">
        <v>538</v>
      </c>
      <c r="I539" s="1">
        <v>0.13639999999999999</v>
      </c>
      <c r="J539" s="1">
        <v>0.43</v>
      </c>
      <c r="K539" s="1">
        <v>0.22389999999999999</v>
      </c>
      <c r="L539" s="1">
        <v>6</v>
      </c>
      <c r="M539" s="1">
        <v>54</v>
      </c>
      <c r="N539" s="1">
        <v>60</v>
      </c>
    </row>
    <row r="540" spans="1:14" x14ac:dyDescent="0.25">
      <c r="A540" s="1">
        <v>539</v>
      </c>
      <c r="B540" s="2">
        <v>40567</v>
      </c>
      <c r="C540" s="1">
        <v>14</v>
      </c>
      <c r="D540" s="1" t="b">
        <v>0</v>
      </c>
      <c r="E540" s="1">
        <v>1</v>
      </c>
      <c r="F540" s="1">
        <v>2</v>
      </c>
      <c r="G540" s="1">
        <v>0.14000000000000001</v>
      </c>
      <c r="H540" s="1">
        <v>539</v>
      </c>
      <c r="I540" s="1">
        <v>0.13639999999999999</v>
      </c>
      <c r="J540" s="1">
        <v>0.46</v>
      </c>
      <c r="K540" s="1">
        <v>0.22389999999999999</v>
      </c>
      <c r="L540" s="1">
        <v>2</v>
      </c>
      <c r="M540" s="1">
        <v>43</v>
      </c>
      <c r="N540" s="1">
        <v>45</v>
      </c>
    </row>
    <row r="541" spans="1:14" x14ac:dyDescent="0.25">
      <c r="A541" s="1">
        <v>540</v>
      </c>
      <c r="B541" s="2">
        <v>40567</v>
      </c>
      <c r="C541" s="1">
        <v>15</v>
      </c>
      <c r="D541" s="1" t="b">
        <v>0</v>
      </c>
      <c r="E541" s="1">
        <v>1</v>
      </c>
      <c r="F541" s="1">
        <v>1</v>
      </c>
      <c r="G541" s="1">
        <v>0.16</v>
      </c>
      <c r="H541" s="1">
        <v>540</v>
      </c>
      <c r="I541" s="1">
        <v>0.16669999999999999</v>
      </c>
      <c r="J541" s="1">
        <v>0.4</v>
      </c>
      <c r="K541" s="1">
        <v>0.16420000000000001</v>
      </c>
      <c r="L541" s="1">
        <v>7</v>
      </c>
      <c r="M541" s="1">
        <v>50</v>
      </c>
      <c r="N541" s="1">
        <v>57</v>
      </c>
    </row>
    <row r="542" spans="1:14" x14ac:dyDescent="0.25">
      <c r="A542" s="1">
        <v>541</v>
      </c>
      <c r="B542" s="2">
        <v>40567</v>
      </c>
      <c r="C542" s="1">
        <v>16</v>
      </c>
      <c r="D542" s="1" t="b">
        <v>0</v>
      </c>
      <c r="E542" s="1">
        <v>1</v>
      </c>
      <c r="F542" s="1">
        <v>1</v>
      </c>
      <c r="G542" s="1">
        <v>0.16</v>
      </c>
      <c r="H542" s="1">
        <v>541</v>
      </c>
      <c r="I542" s="1">
        <v>0.1515</v>
      </c>
      <c r="J542" s="1">
        <v>0.47</v>
      </c>
      <c r="K542" s="1">
        <v>0.25369999999999998</v>
      </c>
      <c r="L542" s="1">
        <v>4</v>
      </c>
      <c r="M542" s="1">
        <v>66</v>
      </c>
      <c r="N542" s="1">
        <v>70</v>
      </c>
    </row>
    <row r="543" spans="1:14" x14ac:dyDescent="0.25">
      <c r="A543" s="1">
        <v>542</v>
      </c>
      <c r="B543" s="2">
        <v>40567</v>
      </c>
      <c r="C543" s="1">
        <v>17</v>
      </c>
      <c r="D543" s="1" t="b">
        <v>0</v>
      </c>
      <c r="E543" s="1">
        <v>1</v>
      </c>
      <c r="F543" s="1">
        <v>1</v>
      </c>
      <c r="G543" s="1">
        <v>0.14000000000000001</v>
      </c>
      <c r="H543" s="1">
        <v>542</v>
      </c>
      <c r="I543" s="1">
        <v>0.1212</v>
      </c>
      <c r="J543" s="1">
        <v>0.5</v>
      </c>
      <c r="K543" s="1">
        <v>0.25369999999999998</v>
      </c>
      <c r="L543" s="1">
        <v>6</v>
      </c>
      <c r="M543" s="1">
        <v>178</v>
      </c>
      <c r="N543" s="1">
        <v>184</v>
      </c>
    </row>
    <row r="544" spans="1:14" x14ac:dyDescent="0.25">
      <c r="A544" s="1">
        <v>543</v>
      </c>
      <c r="B544" s="2">
        <v>40567</v>
      </c>
      <c r="C544" s="1">
        <v>18</v>
      </c>
      <c r="D544" s="1" t="b">
        <v>0</v>
      </c>
      <c r="E544" s="1">
        <v>1</v>
      </c>
      <c r="F544" s="1">
        <v>1</v>
      </c>
      <c r="G544" s="1">
        <v>0.14000000000000001</v>
      </c>
      <c r="H544" s="1">
        <v>543</v>
      </c>
      <c r="I544" s="1">
        <v>0.13639999999999999</v>
      </c>
      <c r="J544" s="1">
        <v>0.59</v>
      </c>
      <c r="K544" s="1">
        <v>0.19400000000000001</v>
      </c>
      <c r="L544" s="1">
        <v>8</v>
      </c>
      <c r="M544" s="1">
        <v>145</v>
      </c>
      <c r="N544" s="1">
        <v>153</v>
      </c>
    </row>
    <row r="545" spans="1:14" x14ac:dyDescent="0.25">
      <c r="A545" s="1">
        <v>544</v>
      </c>
      <c r="B545" s="2">
        <v>40567</v>
      </c>
      <c r="C545" s="1">
        <v>19</v>
      </c>
      <c r="D545" s="1" t="b">
        <v>0</v>
      </c>
      <c r="E545" s="1">
        <v>1</v>
      </c>
      <c r="F545" s="1">
        <v>1</v>
      </c>
      <c r="G545" s="1">
        <v>0.14000000000000001</v>
      </c>
      <c r="H545" s="1">
        <v>544</v>
      </c>
      <c r="I545" s="1">
        <v>0.1515</v>
      </c>
      <c r="J545" s="1">
        <v>0.54</v>
      </c>
      <c r="K545" s="1">
        <v>0.16420000000000001</v>
      </c>
      <c r="L545" s="1">
        <v>5</v>
      </c>
      <c r="M545" s="1">
        <v>101</v>
      </c>
      <c r="N545" s="1">
        <v>106</v>
      </c>
    </row>
    <row r="546" spans="1:14" x14ac:dyDescent="0.25">
      <c r="A546" s="1">
        <v>545</v>
      </c>
      <c r="B546" s="2">
        <v>40567</v>
      </c>
      <c r="C546" s="1">
        <v>20</v>
      </c>
      <c r="D546" s="1" t="b">
        <v>0</v>
      </c>
      <c r="E546" s="1">
        <v>1</v>
      </c>
      <c r="F546" s="1">
        <v>1</v>
      </c>
      <c r="G546" s="1">
        <v>0.14000000000000001</v>
      </c>
      <c r="H546" s="1">
        <v>545</v>
      </c>
      <c r="I546" s="1">
        <v>0.13639999999999999</v>
      </c>
      <c r="J546" s="1">
        <v>0.59</v>
      </c>
      <c r="K546" s="1">
        <v>0.19400000000000001</v>
      </c>
      <c r="L546" s="1">
        <v>1</v>
      </c>
      <c r="M546" s="1">
        <v>80</v>
      </c>
      <c r="N546" s="1">
        <v>81</v>
      </c>
    </row>
    <row r="547" spans="1:14" x14ac:dyDescent="0.25">
      <c r="A547" s="1">
        <v>546</v>
      </c>
      <c r="B547" s="2">
        <v>40567</v>
      </c>
      <c r="C547" s="1">
        <v>21</v>
      </c>
      <c r="D547" s="1" t="b">
        <v>0</v>
      </c>
      <c r="E547" s="1">
        <v>1</v>
      </c>
      <c r="F547" s="1">
        <v>1</v>
      </c>
      <c r="G547" s="1">
        <v>0.14000000000000001</v>
      </c>
      <c r="H547" s="1">
        <v>546</v>
      </c>
      <c r="I547" s="1">
        <v>0.1515</v>
      </c>
      <c r="J547" s="1">
        <v>0.63</v>
      </c>
      <c r="K547" s="1">
        <v>0.16420000000000001</v>
      </c>
      <c r="L547" s="1">
        <v>6</v>
      </c>
      <c r="M547" s="1">
        <v>53</v>
      </c>
      <c r="N547" s="1">
        <v>59</v>
      </c>
    </row>
    <row r="548" spans="1:14" x14ac:dyDescent="0.25">
      <c r="A548" s="1">
        <v>547</v>
      </c>
      <c r="B548" s="2">
        <v>40567</v>
      </c>
      <c r="C548" s="1">
        <v>22</v>
      </c>
      <c r="D548" s="1" t="b">
        <v>0</v>
      </c>
      <c r="E548" s="1">
        <v>1</v>
      </c>
      <c r="F548" s="1">
        <v>2</v>
      </c>
      <c r="G548" s="1">
        <v>0.14000000000000001</v>
      </c>
      <c r="H548" s="1">
        <v>547</v>
      </c>
      <c r="I548" s="1">
        <v>0.13639999999999999</v>
      </c>
      <c r="J548" s="1">
        <v>0.63</v>
      </c>
      <c r="K548" s="1">
        <v>0.22389999999999999</v>
      </c>
      <c r="L548" s="1">
        <v>3</v>
      </c>
      <c r="M548" s="1">
        <v>32</v>
      </c>
      <c r="N548" s="1">
        <v>35</v>
      </c>
    </row>
    <row r="549" spans="1:14" x14ac:dyDescent="0.25">
      <c r="A549" s="1">
        <v>548</v>
      </c>
      <c r="B549" s="2">
        <v>40567</v>
      </c>
      <c r="C549" s="1">
        <v>23</v>
      </c>
      <c r="D549" s="1" t="b">
        <v>0</v>
      </c>
      <c r="E549" s="1">
        <v>1</v>
      </c>
      <c r="F549" s="1">
        <v>2</v>
      </c>
      <c r="G549" s="1">
        <v>0.16</v>
      </c>
      <c r="H549" s="1">
        <v>548</v>
      </c>
      <c r="I549" s="1">
        <v>0.1515</v>
      </c>
      <c r="J549" s="1">
        <v>0.64</v>
      </c>
      <c r="K549" s="1">
        <v>0.25369999999999998</v>
      </c>
      <c r="L549" s="1">
        <v>3</v>
      </c>
      <c r="M549" s="1">
        <v>21</v>
      </c>
      <c r="N549" s="1">
        <v>24</v>
      </c>
    </row>
    <row r="550" spans="1:14" x14ac:dyDescent="0.25">
      <c r="A550" s="1">
        <v>549</v>
      </c>
      <c r="B550" s="2">
        <v>40568</v>
      </c>
      <c r="C550" s="1">
        <v>0</v>
      </c>
      <c r="D550" s="1" t="b">
        <v>0</v>
      </c>
      <c r="E550" s="1">
        <v>2</v>
      </c>
      <c r="F550" s="1">
        <v>2</v>
      </c>
      <c r="G550" s="1">
        <v>0.16</v>
      </c>
      <c r="H550" s="1">
        <v>549</v>
      </c>
      <c r="I550" s="1">
        <v>0.13639999999999999</v>
      </c>
      <c r="J550" s="1">
        <v>0.69</v>
      </c>
      <c r="K550" s="1">
        <v>0.28360000000000002</v>
      </c>
      <c r="L550" s="1">
        <v>3</v>
      </c>
      <c r="M550" s="1">
        <v>6</v>
      </c>
      <c r="N550" s="1">
        <v>9</v>
      </c>
    </row>
    <row r="551" spans="1:14" x14ac:dyDescent="0.25">
      <c r="A551" s="1">
        <v>550</v>
      </c>
      <c r="B551" s="2">
        <v>40568</v>
      </c>
      <c r="C551" s="1">
        <v>1</v>
      </c>
      <c r="D551" s="1" t="b">
        <v>0</v>
      </c>
      <c r="E551" s="1">
        <v>2</v>
      </c>
      <c r="F551" s="1">
        <v>2</v>
      </c>
      <c r="G551" s="1">
        <v>0.16</v>
      </c>
      <c r="H551" s="1">
        <v>550</v>
      </c>
      <c r="I551" s="1">
        <v>0.16669999999999999</v>
      </c>
      <c r="J551" s="1">
        <v>0.69</v>
      </c>
      <c r="K551" s="1">
        <v>0.16420000000000001</v>
      </c>
      <c r="L551" s="1">
        <v>0</v>
      </c>
      <c r="M551" s="1">
        <v>5</v>
      </c>
      <c r="N551" s="1">
        <v>5</v>
      </c>
    </row>
    <row r="552" spans="1:14" x14ac:dyDescent="0.25">
      <c r="A552" s="1">
        <v>551</v>
      </c>
      <c r="B552" s="2">
        <v>40568</v>
      </c>
      <c r="C552" s="1">
        <v>2</v>
      </c>
      <c r="D552" s="1" t="b">
        <v>0</v>
      </c>
      <c r="E552" s="1">
        <v>2</v>
      </c>
      <c r="F552" s="1">
        <v>1</v>
      </c>
      <c r="G552" s="1">
        <v>0.16</v>
      </c>
      <c r="H552" s="1">
        <v>551</v>
      </c>
      <c r="I552" s="1">
        <v>0.1515</v>
      </c>
      <c r="J552" s="1">
        <v>0.69</v>
      </c>
      <c r="K552" s="1">
        <v>0.22389999999999999</v>
      </c>
      <c r="L552" s="1">
        <v>0</v>
      </c>
      <c r="M552" s="1">
        <v>2</v>
      </c>
      <c r="N552" s="1">
        <v>2</v>
      </c>
    </row>
    <row r="553" spans="1:14" x14ac:dyDescent="0.25">
      <c r="A553" s="1">
        <v>552</v>
      </c>
      <c r="B553" s="2">
        <v>40568</v>
      </c>
      <c r="C553" s="1">
        <v>4</v>
      </c>
      <c r="D553" s="1" t="b">
        <v>0</v>
      </c>
      <c r="E553" s="1">
        <v>2</v>
      </c>
      <c r="F553" s="1">
        <v>1</v>
      </c>
      <c r="G553" s="1">
        <v>0.14000000000000001</v>
      </c>
      <c r="H553" s="1">
        <v>552</v>
      </c>
      <c r="I553" s="1">
        <v>0.16669999999999999</v>
      </c>
      <c r="J553" s="1">
        <v>0.74</v>
      </c>
      <c r="K553" s="1">
        <v>0.1045</v>
      </c>
      <c r="L553" s="1">
        <v>0</v>
      </c>
      <c r="M553" s="1">
        <v>1</v>
      </c>
      <c r="N553" s="1">
        <v>1</v>
      </c>
    </row>
    <row r="554" spans="1:14" x14ac:dyDescent="0.25">
      <c r="A554" s="1">
        <v>553</v>
      </c>
      <c r="B554" s="2">
        <v>40568</v>
      </c>
      <c r="C554" s="1">
        <v>5</v>
      </c>
      <c r="D554" s="1" t="b">
        <v>0</v>
      </c>
      <c r="E554" s="1">
        <v>2</v>
      </c>
      <c r="F554" s="1">
        <v>1</v>
      </c>
      <c r="G554" s="1">
        <v>0.14000000000000001</v>
      </c>
      <c r="H554" s="1">
        <v>553</v>
      </c>
      <c r="I554" s="1">
        <v>0.13639999999999999</v>
      </c>
      <c r="J554" s="1">
        <v>0.74</v>
      </c>
      <c r="K554" s="1">
        <v>0.22389999999999999</v>
      </c>
      <c r="L554" s="1">
        <v>0</v>
      </c>
      <c r="M554" s="1">
        <v>9</v>
      </c>
      <c r="N554" s="1">
        <v>9</v>
      </c>
    </row>
    <row r="555" spans="1:14" x14ac:dyDescent="0.25">
      <c r="A555" s="1">
        <v>554</v>
      </c>
      <c r="B555" s="2">
        <v>40568</v>
      </c>
      <c r="C555" s="1">
        <v>6</v>
      </c>
      <c r="D555" s="1" t="b">
        <v>0</v>
      </c>
      <c r="E555" s="1">
        <v>2</v>
      </c>
      <c r="F555" s="1">
        <v>1</v>
      </c>
      <c r="G555" s="1">
        <v>0.16</v>
      </c>
      <c r="H555" s="1">
        <v>554</v>
      </c>
      <c r="I555" s="1">
        <v>0.18179999999999999</v>
      </c>
      <c r="J555" s="1">
        <v>0.74</v>
      </c>
      <c r="K555" s="1">
        <v>0.1045</v>
      </c>
      <c r="L555" s="1">
        <v>1</v>
      </c>
      <c r="M555" s="1">
        <v>35</v>
      </c>
      <c r="N555" s="1">
        <v>36</v>
      </c>
    </row>
    <row r="556" spans="1:14" x14ac:dyDescent="0.25">
      <c r="A556" s="1">
        <v>555</v>
      </c>
      <c r="B556" s="2">
        <v>40568</v>
      </c>
      <c r="C556" s="1">
        <v>7</v>
      </c>
      <c r="D556" s="1" t="b">
        <v>0</v>
      </c>
      <c r="E556" s="1">
        <v>2</v>
      </c>
      <c r="F556" s="1">
        <v>1</v>
      </c>
      <c r="G556" s="1">
        <v>0.16</v>
      </c>
      <c r="H556" s="1">
        <v>555</v>
      </c>
      <c r="I556" s="1">
        <v>0.1515</v>
      </c>
      <c r="J556" s="1">
        <v>0.74</v>
      </c>
      <c r="K556" s="1">
        <v>0.22389999999999999</v>
      </c>
      <c r="L556" s="1">
        <v>5</v>
      </c>
      <c r="M556" s="1">
        <v>103</v>
      </c>
      <c r="N556" s="1">
        <v>108</v>
      </c>
    </row>
    <row r="557" spans="1:14" x14ac:dyDescent="0.25">
      <c r="A557" s="1">
        <v>556</v>
      </c>
      <c r="B557" s="2">
        <v>40568</v>
      </c>
      <c r="C557" s="1">
        <v>8</v>
      </c>
      <c r="D557" s="1" t="b">
        <v>0</v>
      </c>
      <c r="E557" s="1">
        <v>2</v>
      </c>
      <c r="F557" s="1">
        <v>2</v>
      </c>
      <c r="G557" s="1">
        <v>0.16</v>
      </c>
      <c r="H557" s="1">
        <v>556</v>
      </c>
      <c r="I557" s="1">
        <v>0.18179999999999999</v>
      </c>
      <c r="J557" s="1">
        <v>0.74</v>
      </c>
      <c r="K557" s="1">
        <v>0.1343</v>
      </c>
      <c r="L557" s="1">
        <v>5</v>
      </c>
      <c r="M557" s="1">
        <v>233</v>
      </c>
      <c r="N557" s="1">
        <v>238</v>
      </c>
    </row>
    <row r="558" spans="1:14" x14ac:dyDescent="0.25">
      <c r="A558" s="1">
        <v>557</v>
      </c>
      <c r="B558" s="2">
        <v>40568</v>
      </c>
      <c r="C558" s="1">
        <v>9</v>
      </c>
      <c r="D558" s="1" t="b">
        <v>0</v>
      </c>
      <c r="E558" s="1">
        <v>2</v>
      </c>
      <c r="F558" s="1">
        <v>2</v>
      </c>
      <c r="G558" s="1">
        <v>0.2</v>
      </c>
      <c r="H558" s="1">
        <v>557</v>
      </c>
      <c r="I558" s="1">
        <v>0.2273</v>
      </c>
      <c r="J558" s="1">
        <v>0.64</v>
      </c>
      <c r="K558" s="1">
        <v>8.9599999999999999E-2</v>
      </c>
      <c r="L558" s="1">
        <v>10</v>
      </c>
      <c r="M558" s="1">
        <v>134</v>
      </c>
      <c r="N558" s="1">
        <v>144</v>
      </c>
    </row>
    <row r="559" spans="1:14" x14ac:dyDescent="0.25">
      <c r="A559" s="1">
        <v>558</v>
      </c>
      <c r="B559" s="2">
        <v>40568</v>
      </c>
      <c r="C559" s="1">
        <v>10</v>
      </c>
      <c r="D559" s="1" t="b">
        <v>0</v>
      </c>
      <c r="E559" s="1">
        <v>2</v>
      </c>
      <c r="F559" s="1">
        <v>2</v>
      </c>
      <c r="G559" s="1">
        <v>0.22</v>
      </c>
      <c r="H559" s="1">
        <v>558</v>
      </c>
      <c r="I559" s="1">
        <v>0.2424</v>
      </c>
      <c r="J559" s="1">
        <v>0.6</v>
      </c>
      <c r="K559" s="1">
        <v>0.1045</v>
      </c>
      <c r="L559" s="1">
        <v>6</v>
      </c>
      <c r="M559" s="1">
        <v>49</v>
      </c>
      <c r="N559" s="1">
        <v>55</v>
      </c>
    </row>
    <row r="560" spans="1:14" x14ac:dyDescent="0.25">
      <c r="A560" s="1">
        <v>559</v>
      </c>
      <c r="B560" s="2">
        <v>40568</v>
      </c>
      <c r="C560" s="1">
        <v>11</v>
      </c>
      <c r="D560" s="1" t="b">
        <v>0</v>
      </c>
      <c r="E560" s="1">
        <v>2</v>
      </c>
      <c r="F560" s="1">
        <v>2</v>
      </c>
      <c r="G560" s="1">
        <v>0.24</v>
      </c>
      <c r="H560" s="1">
        <v>559</v>
      </c>
      <c r="I560" s="1">
        <v>0.2424</v>
      </c>
      <c r="J560" s="1">
        <v>0.6</v>
      </c>
      <c r="K560" s="1">
        <v>0.1343</v>
      </c>
      <c r="L560" s="1">
        <v>6</v>
      </c>
      <c r="M560" s="1">
        <v>55</v>
      </c>
      <c r="N560" s="1">
        <v>61</v>
      </c>
    </row>
    <row r="561" spans="1:14" x14ac:dyDescent="0.25">
      <c r="A561" s="1">
        <v>560</v>
      </c>
      <c r="B561" s="2">
        <v>40568</v>
      </c>
      <c r="C561" s="1">
        <v>12</v>
      </c>
      <c r="D561" s="1" t="b">
        <v>0</v>
      </c>
      <c r="E561" s="1">
        <v>2</v>
      </c>
      <c r="F561" s="1">
        <v>2</v>
      </c>
      <c r="G561" s="1">
        <v>0.26</v>
      </c>
      <c r="H561" s="1">
        <v>560</v>
      </c>
      <c r="I561" s="1">
        <v>0.28789999999999999</v>
      </c>
      <c r="J561" s="1">
        <v>0.56000000000000005</v>
      </c>
      <c r="K561" s="1">
        <v>8.9599999999999999E-2</v>
      </c>
      <c r="L561" s="1">
        <v>21</v>
      </c>
      <c r="M561" s="1">
        <v>85</v>
      </c>
      <c r="N561" s="1">
        <v>106</v>
      </c>
    </row>
    <row r="562" spans="1:14" x14ac:dyDescent="0.25">
      <c r="A562" s="1">
        <v>561</v>
      </c>
      <c r="B562" s="2">
        <v>40568</v>
      </c>
      <c r="C562" s="1">
        <v>13</v>
      </c>
      <c r="D562" s="1" t="b">
        <v>0</v>
      </c>
      <c r="E562" s="1">
        <v>2</v>
      </c>
      <c r="F562" s="1">
        <v>2</v>
      </c>
      <c r="G562" s="1">
        <v>0.26</v>
      </c>
      <c r="H562" s="1">
        <v>561</v>
      </c>
      <c r="I562" s="1">
        <v>0.2727</v>
      </c>
      <c r="J562" s="1">
        <v>0.56000000000000005</v>
      </c>
      <c r="K562" s="1">
        <v>0.1343</v>
      </c>
      <c r="L562" s="1">
        <v>21</v>
      </c>
      <c r="M562" s="1">
        <v>72</v>
      </c>
      <c r="N562" s="1">
        <v>93</v>
      </c>
    </row>
    <row r="563" spans="1:14" x14ac:dyDescent="0.25">
      <c r="A563" s="1">
        <v>562</v>
      </c>
      <c r="B563" s="2">
        <v>40568</v>
      </c>
      <c r="C563" s="1">
        <v>14</v>
      </c>
      <c r="D563" s="1" t="b">
        <v>0</v>
      </c>
      <c r="E563" s="1">
        <v>2</v>
      </c>
      <c r="F563" s="1">
        <v>2</v>
      </c>
      <c r="G563" s="1">
        <v>0.3</v>
      </c>
      <c r="H563" s="1">
        <v>562</v>
      </c>
      <c r="I563" s="1">
        <v>0.33329999999999999</v>
      </c>
      <c r="J563" s="1">
        <v>0.45</v>
      </c>
      <c r="K563" s="1">
        <v>0</v>
      </c>
      <c r="L563" s="1">
        <v>11</v>
      </c>
      <c r="M563" s="1">
        <v>57</v>
      </c>
      <c r="N563" s="1">
        <v>68</v>
      </c>
    </row>
    <row r="564" spans="1:14" x14ac:dyDescent="0.25">
      <c r="A564" s="1">
        <v>563</v>
      </c>
      <c r="B564" s="2">
        <v>40568</v>
      </c>
      <c r="C564" s="1">
        <v>15</v>
      </c>
      <c r="D564" s="1" t="b">
        <v>0</v>
      </c>
      <c r="E564" s="1">
        <v>2</v>
      </c>
      <c r="F564" s="1">
        <v>2</v>
      </c>
      <c r="G564" s="1">
        <v>0.32</v>
      </c>
      <c r="H564" s="1">
        <v>563</v>
      </c>
      <c r="I564" s="1">
        <v>0.34849999999999998</v>
      </c>
      <c r="J564" s="1">
        <v>0.42</v>
      </c>
      <c r="K564" s="1">
        <v>0</v>
      </c>
      <c r="L564" s="1">
        <v>21</v>
      </c>
      <c r="M564" s="1">
        <v>63</v>
      </c>
      <c r="N564" s="1">
        <v>84</v>
      </c>
    </row>
    <row r="565" spans="1:14" x14ac:dyDescent="0.25">
      <c r="A565" s="1">
        <v>564</v>
      </c>
      <c r="B565" s="2">
        <v>40568</v>
      </c>
      <c r="C565" s="1">
        <v>16</v>
      </c>
      <c r="D565" s="1" t="b">
        <v>0</v>
      </c>
      <c r="E565" s="1">
        <v>2</v>
      </c>
      <c r="F565" s="1">
        <v>2</v>
      </c>
      <c r="G565" s="1">
        <v>0.32</v>
      </c>
      <c r="H565" s="1">
        <v>564</v>
      </c>
      <c r="I565" s="1">
        <v>0.34849999999999998</v>
      </c>
      <c r="J565" s="1">
        <v>0.42</v>
      </c>
      <c r="K565" s="1">
        <v>0</v>
      </c>
      <c r="L565" s="1">
        <v>14</v>
      </c>
      <c r="M565" s="1">
        <v>102</v>
      </c>
      <c r="N565" s="1">
        <v>116</v>
      </c>
    </row>
    <row r="566" spans="1:14" x14ac:dyDescent="0.25">
      <c r="A566" s="1">
        <v>565</v>
      </c>
      <c r="B566" s="2">
        <v>40568</v>
      </c>
      <c r="C566" s="1">
        <v>17</v>
      </c>
      <c r="D566" s="1" t="b">
        <v>0</v>
      </c>
      <c r="E566" s="1">
        <v>2</v>
      </c>
      <c r="F566" s="1">
        <v>1</v>
      </c>
      <c r="G566" s="1">
        <v>0.3</v>
      </c>
      <c r="H566" s="1">
        <v>565</v>
      </c>
      <c r="I566" s="1">
        <v>0.33329999999999999</v>
      </c>
      <c r="J566" s="1">
        <v>0.45</v>
      </c>
      <c r="K566" s="1">
        <v>0</v>
      </c>
      <c r="L566" s="1">
        <v>14</v>
      </c>
      <c r="M566" s="1">
        <v>208</v>
      </c>
      <c r="N566" s="1">
        <v>222</v>
      </c>
    </row>
    <row r="567" spans="1:14" x14ac:dyDescent="0.25">
      <c r="A567" s="1">
        <v>566</v>
      </c>
      <c r="B567" s="2">
        <v>40568</v>
      </c>
      <c r="C567" s="1">
        <v>18</v>
      </c>
      <c r="D567" s="1" t="b">
        <v>0</v>
      </c>
      <c r="E567" s="1">
        <v>2</v>
      </c>
      <c r="F567" s="1">
        <v>2</v>
      </c>
      <c r="G567" s="1">
        <v>0.3</v>
      </c>
      <c r="H567" s="1">
        <v>566</v>
      </c>
      <c r="I567" s="1">
        <v>0.31819999999999998</v>
      </c>
      <c r="J567" s="1">
        <v>0.49</v>
      </c>
      <c r="K567" s="1">
        <v>8.9599999999999999E-2</v>
      </c>
      <c r="L567" s="1">
        <v>7</v>
      </c>
      <c r="M567" s="1">
        <v>218</v>
      </c>
      <c r="N567" s="1">
        <v>225</v>
      </c>
    </row>
    <row r="568" spans="1:14" x14ac:dyDescent="0.25">
      <c r="A568" s="1">
        <v>567</v>
      </c>
      <c r="B568" s="2">
        <v>40568</v>
      </c>
      <c r="C568" s="1">
        <v>19</v>
      </c>
      <c r="D568" s="1" t="b">
        <v>0</v>
      </c>
      <c r="E568" s="1">
        <v>2</v>
      </c>
      <c r="F568" s="1">
        <v>2</v>
      </c>
      <c r="G568" s="1">
        <v>0.26</v>
      </c>
      <c r="H568" s="1">
        <v>567</v>
      </c>
      <c r="I568" s="1">
        <v>0.2576</v>
      </c>
      <c r="J568" s="1">
        <v>0.65</v>
      </c>
      <c r="K568" s="1">
        <v>0.16420000000000001</v>
      </c>
      <c r="L568" s="1">
        <v>13</v>
      </c>
      <c r="M568" s="1">
        <v>133</v>
      </c>
      <c r="N568" s="1">
        <v>146</v>
      </c>
    </row>
    <row r="569" spans="1:14" x14ac:dyDescent="0.25">
      <c r="A569" s="1">
        <v>568</v>
      </c>
      <c r="B569" s="2">
        <v>40568</v>
      </c>
      <c r="C569" s="1">
        <v>20</v>
      </c>
      <c r="D569" s="1" t="b">
        <v>0</v>
      </c>
      <c r="E569" s="1">
        <v>2</v>
      </c>
      <c r="F569" s="1">
        <v>1</v>
      </c>
      <c r="G569" s="1">
        <v>0.24</v>
      </c>
      <c r="H569" s="1">
        <v>568</v>
      </c>
      <c r="I569" s="1">
        <v>0.2273</v>
      </c>
      <c r="J569" s="1">
        <v>0.65</v>
      </c>
      <c r="K569" s="1">
        <v>0.19400000000000001</v>
      </c>
      <c r="L569" s="1">
        <v>16</v>
      </c>
      <c r="M569" s="1">
        <v>103</v>
      </c>
      <c r="N569" s="1">
        <v>119</v>
      </c>
    </row>
    <row r="570" spans="1:14" x14ac:dyDescent="0.25">
      <c r="A570" s="1">
        <v>569</v>
      </c>
      <c r="B570" s="2">
        <v>40568</v>
      </c>
      <c r="C570" s="1">
        <v>21</v>
      </c>
      <c r="D570" s="1" t="b">
        <v>0</v>
      </c>
      <c r="E570" s="1">
        <v>2</v>
      </c>
      <c r="F570" s="1">
        <v>1</v>
      </c>
      <c r="G570" s="1">
        <v>0.24</v>
      </c>
      <c r="H570" s="1">
        <v>569</v>
      </c>
      <c r="I570" s="1">
        <v>0.2273</v>
      </c>
      <c r="J570" s="1">
        <v>0.65</v>
      </c>
      <c r="K570" s="1">
        <v>0.19400000000000001</v>
      </c>
      <c r="L570" s="1">
        <v>5</v>
      </c>
      <c r="M570" s="1">
        <v>40</v>
      </c>
      <c r="N570" s="1">
        <v>45</v>
      </c>
    </row>
    <row r="571" spans="1:14" x14ac:dyDescent="0.25">
      <c r="A571" s="1">
        <v>570</v>
      </c>
      <c r="B571" s="2">
        <v>40568</v>
      </c>
      <c r="C571" s="1">
        <v>22</v>
      </c>
      <c r="D571" s="1" t="b">
        <v>0</v>
      </c>
      <c r="E571" s="1">
        <v>2</v>
      </c>
      <c r="F571" s="1">
        <v>1</v>
      </c>
      <c r="G571" s="1">
        <v>0.22</v>
      </c>
      <c r="H571" s="1">
        <v>570</v>
      </c>
      <c r="I571" s="1">
        <v>0.2273</v>
      </c>
      <c r="J571" s="1">
        <v>0.64</v>
      </c>
      <c r="K571" s="1">
        <v>0.16420000000000001</v>
      </c>
      <c r="L571" s="1">
        <v>4</v>
      </c>
      <c r="M571" s="1">
        <v>49</v>
      </c>
      <c r="N571" s="1">
        <v>53</v>
      </c>
    </row>
    <row r="572" spans="1:14" x14ac:dyDescent="0.25">
      <c r="A572" s="1">
        <v>571</v>
      </c>
      <c r="B572" s="2">
        <v>40568</v>
      </c>
      <c r="C572" s="1">
        <v>23</v>
      </c>
      <c r="D572" s="1" t="b">
        <v>0</v>
      </c>
      <c r="E572" s="1">
        <v>2</v>
      </c>
      <c r="F572" s="1">
        <v>2</v>
      </c>
      <c r="G572" s="1">
        <v>0.22</v>
      </c>
      <c r="H572" s="1">
        <v>571</v>
      </c>
      <c r="I572" s="1">
        <v>0.2273</v>
      </c>
      <c r="J572" s="1">
        <v>0.64</v>
      </c>
      <c r="K572" s="1">
        <v>0.16420000000000001</v>
      </c>
      <c r="L572" s="1">
        <v>3</v>
      </c>
      <c r="M572" s="1">
        <v>37</v>
      </c>
      <c r="N572" s="1">
        <v>40</v>
      </c>
    </row>
    <row r="573" spans="1:14" x14ac:dyDescent="0.25">
      <c r="A573" s="1">
        <v>572</v>
      </c>
      <c r="B573" s="2">
        <v>40569</v>
      </c>
      <c r="C573" s="1">
        <v>0</v>
      </c>
      <c r="D573" s="1" t="b">
        <v>0</v>
      </c>
      <c r="E573" s="1">
        <v>3</v>
      </c>
      <c r="F573" s="1">
        <v>2</v>
      </c>
      <c r="G573" s="1">
        <v>0.22</v>
      </c>
      <c r="H573" s="1">
        <v>572</v>
      </c>
      <c r="I573" s="1">
        <v>0.2273</v>
      </c>
      <c r="J573" s="1">
        <v>0.69</v>
      </c>
      <c r="K573" s="1">
        <v>0.1343</v>
      </c>
      <c r="L573" s="1">
        <v>3</v>
      </c>
      <c r="M573" s="1">
        <v>14</v>
      </c>
      <c r="N573" s="1">
        <v>17</v>
      </c>
    </row>
    <row r="574" spans="1:14" x14ac:dyDescent="0.25">
      <c r="A574" s="1">
        <v>573</v>
      </c>
      <c r="B574" s="2">
        <v>40569</v>
      </c>
      <c r="C574" s="1">
        <v>1</v>
      </c>
      <c r="D574" s="1" t="b">
        <v>0</v>
      </c>
      <c r="E574" s="1">
        <v>3</v>
      </c>
      <c r="F574" s="1">
        <v>2</v>
      </c>
      <c r="G574" s="1">
        <v>0.24</v>
      </c>
      <c r="H574" s="1">
        <v>573</v>
      </c>
      <c r="I574" s="1">
        <v>0.2424</v>
      </c>
      <c r="J574" s="1">
        <v>0.65</v>
      </c>
      <c r="K574" s="1">
        <v>0.1343</v>
      </c>
      <c r="L574" s="1">
        <v>0</v>
      </c>
      <c r="M574" s="1">
        <v>5</v>
      </c>
      <c r="N574" s="1">
        <v>5</v>
      </c>
    </row>
    <row r="575" spans="1:14" x14ac:dyDescent="0.25">
      <c r="A575" s="1">
        <v>574</v>
      </c>
      <c r="B575" s="2">
        <v>40569</v>
      </c>
      <c r="C575" s="1">
        <v>2</v>
      </c>
      <c r="D575" s="1" t="b">
        <v>0</v>
      </c>
      <c r="E575" s="1">
        <v>3</v>
      </c>
      <c r="F575" s="1">
        <v>3</v>
      </c>
      <c r="G575" s="1">
        <v>0.22</v>
      </c>
      <c r="H575" s="1">
        <v>574</v>
      </c>
      <c r="I575" s="1">
        <v>0.2273</v>
      </c>
      <c r="J575" s="1">
        <v>0.69</v>
      </c>
      <c r="K575" s="1">
        <v>0.19400000000000001</v>
      </c>
      <c r="L575" s="1">
        <v>3</v>
      </c>
      <c r="M575" s="1">
        <v>7</v>
      </c>
      <c r="N575" s="1">
        <v>10</v>
      </c>
    </row>
    <row r="576" spans="1:14" x14ac:dyDescent="0.25">
      <c r="A576" s="1">
        <v>575</v>
      </c>
      <c r="B576" s="2">
        <v>40569</v>
      </c>
      <c r="C576" s="1">
        <v>5</v>
      </c>
      <c r="D576" s="1" t="b">
        <v>0</v>
      </c>
      <c r="E576" s="1">
        <v>3</v>
      </c>
      <c r="F576" s="1">
        <v>3</v>
      </c>
      <c r="G576" s="1">
        <v>0.2</v>
      </c>
      <c r="H576" s="1">
        <v>575</v>
      </c>
      <c r="I576" s="1">
        <v>0.18179999999999999</v>
      </c>
      <c r="J576" s="1">
        <v>0.86</v>
      </c>
      <c r="K576" s="1">
        <v>0.28360000000000002</v>
      </c>
      <c r="L576" s="1">
        <v>0</v>
      </c>
      <c r="M576" s="1">
        <v>1</v>
      </c>
      <c r="N576" s="1">
        <v>1</v>
      </c>
    </row>
    <row r="577" spans="1:14" x14ac:dyDescent="0.25">
      <c r="A577" s="1">
        <v>576</v>
      </c>
      <c r="B577" s="2">
        <v>40569</v>
      </c>
      <c r="C577" s="1">
        <v>6</v>
      </c>
      <c r="D577" s="1" t="b">
        <v>0</v>
      </c>
      <c r="E577" s="1">
        <v>3</v>
      </c>
      <c r="F577" s="1">
        <v>3</v>
      </c>
      <c r="G577" s="1">
        <v>0.2</v>
      </c>
      <c r="H577" s="1">
        <v>576</v>
      </c>
      <c r="I577" s="1">
        <v>0.18179999999999999</v>
      </c>
      <c r="J577" s="1">
        <v>0.86</v>
      </c>
      <c r="K577" s="1">
        <v>0.28360000000000002</v>
      </c>
      <c r="L577" s="1">
        <v>0</v>
      </c>
      <c r="M577" s="1">
        <v>8</v>
      </c>
      <c r="N577" s="1">
        <v>8</v>
      </c>
    </row>
    <row r="578" spans="1:14" x14ac:dyDescent="0.25">
      <c r="A578" s="1">
        <v>577</v>
      </c>
      <c r="B578" s="2">
        <v>40569</v>
      </c>
      <c r="C578" s="1">
        <v>7</v>
      </c>
      <c r="D578" s="1" t="b">
        <v>0</v>
      </c>
      <c r="E578" s="1">
        <v>3</v>
      </c>
      <c r="F578" s="1">
        <v>3</v>
      </c>
      <c r="G578" s="1">
        <v>0.22</v>
      </c>
      <c r="H578" s="1">
        <v>577</v>
      </c>
      <c r="I578" s="1">
        <v>0.21210000000000001</v>
      </c>
      <c r="J578" s="1">
        <v>0.87</v>
      </c>
      <c r="K578" s="1">
        <v>0.29849999999999999</v>
      </c>
      <c r="L578" s="1">
        <v>1</v>
      </c>
      <c r="M578" s="1">
        <v>29</v>
      </c>
      <c r="N578" s="1">
        <v>30</v>
      </c>
    </row>
    <row r="579" spans="1:14" x14ac:dyDescent="0.25">
      <c r="A579" s="1">
        <v>578</v>
      </c>
      <c r="B579" s="2">
        <v>40569</v>
      </c>
      <c r="C579" s="1">
        <v>8</v>
      </c>
      <c r="D579" s="1" t="b">
        <v>0</v>
      </c>
      <c r="E579" s="1">
        <v>3</v>
      </c>
      <c r="F579" s="1">
        <v>3</v>
      </c>
      <c r="G579" s="1">
        <v>0.22</v>
      </c>
      <c r="H579" s="1">
        <v>578</v>
      </c>
      <c r="I579" s="1">
        <v>0.21210000000000001</v>
      </c>
      <c r="J579" s="1">
        <v>0.87</v>
      </c>
      <c r="K579" s="1">
        <v>0.29849999999999999</v>
      </c>
      <c r="L579" s="1">
        <v>3</v>
      </c>
      <c r="M579" s="1">
        <v>69</v>
      </c>
      <c r="N579" s="1">
        <v>72</v>
      </c>
    </row>
    <row r="580" spans="1:14" x14ac:dyDescent="0.25">
      <c r="A580" s="1">
        <v>579</v>
      </c>
      <c r="B580" s="2">
        <v>40569</v>
      </c>
      <c r="C580" s="1">
        <v>9</v>
      </c>
      <c r="D580" s="1" t="b">
        <v>0</v>
      </c>
      <c r="E580" s="1">
        <v>3</v>
      </c>
      <c r="F580" s="1">
        <v>3</v>
      </c>
      <c r="G580" s="1">
        <v>0.22</v>
      </c>
      <c r="H580" s="1">
        <v>579</v>
      </c>
      <c r="I580" s="1">
        <v>0.21210000000000001</v>
      </c>
      <c r="J580" s="1">
        <v>0.87</v>
      </c>
      <c r="K580" s="1">
        <v>0.29849999999999999</v>
      </c>
      <c r="L580" s="1">
        <v>3</v>
      </c>
      <c r="M580" s="1">
        <v>55</v>
      </c>
      <c r="N580" s="1">
        <v>58</v>
      </c>
    </row>
    <row r="581" spans="1:14" x14ac:dyDescent="0.25">
      <c r="A581" s="1">
        <v>580</v>
      </c>
      <c r="B581" s="2">
        <v>40569</v>
      </c>
      <c r="C581" s="1">
        <v>10</v>
      </c>
      <c r="D581" s="1" t="b">
        <v>0</v>
      </c>
      <c r="E581" s="1">
        <v>3</v>
      </c>
      <c r="F581" s="1">
        <v>3</v>
      </c>
      <c r="G581" s="1">
        <v>0.22</v>
      </c>
      <c r="H581" s="1">
        <v>580</v>
      </c>
      <c r="I581" s="1">
        <v>0.21210000000000001</v>
      </c>
      <c r="J581" s="1">
        <v>0.93</v>
      </c>
      <c r="K581" s="1">
        <v>0.28360000000000002</v>
      </c>
      <c r="L581" s="1">
        <v>2</v>
      </c>
      <c r="M581" s="1">
        <v>26</v>
      </c>
      <c r="N581" s="1">
        <v>28</v>
      </c>
    </row>
    <row r="582" spans="1:14" x14ac:dyDescent="0.25">
      <c r="A582" s="1">
        <v>581</v>
      </c>
      <c r="B582" s="2">
        <v>40569</v>
      </c>
      <c r="C582" s="1">
        <v>11</v>
      </c>
      <c r="D582" s="1" t="b">
        <v>0</v>
      </c>
      <c r="E582" s="1">
        <v>3</v>
      </c>
      <c r="F582" s="1">
        <v>3</v>
      </c>
      <c r="G582" s="1">
        <v>0.22</v>
      </c>
      <c r="H582" s="1">
        <v>581</v>
      </c>
      <c r="I582" s="1">
        <v>0.19700000000000001</v>
      </c>
      <c r="J582" s="1">
        <v>0.93</v>
      </c>
      <c r="K582" s="1">
        <v>0.32840000000000003</v>
      </c>
      <c r="L582" s="1">
        <v>6</v>
      </c>
      <c r="M582" s="1">
        <v>35</v>
      </c>
      <c r="N582" s="1">
        <v>41</v>
      </c>
    </row>
    <row r="583" spans="1:14" x14ac:dyDescent="0.25">
      <c r="A583" s="1">
        <v>582</v>
      </c>
      <c r="B583" s="2">
        <v>40569</v>
      </c>
      <c r="C583" s="1">
        <v>12</v>
      </c>
      <c r="D583" s="1" t="b">
        <v>0</v>
      </c>
      <c r="E583" s="1">
        <v>3</v>
      </c>
      <c r="F583" s="1">
        <v>3</v>
      </c>
      <c r="G583" s="1">
        <v>0.22</v>
      </c>
      <c r="H583" s="1">
        <v>582</v>
      </c>
      <c r="I583" s="1">
        <v>0.19700000000000001</v>
      </c>
      <c r="J583" s="1">
        <v>0.93</v>
      </c>
      <c r="K583" s="1">
        <v>0.32840000000000003</v>
      </c>
      <c r="L583" s="1">
        <v>7</v>
      </c>
      <c r="M583" s="1">
        <v>41</v>
      </c>
      <c r="N583" s="1">
        <v>48</v>
      </c>
    </row>
    <row r="584" spans="1:14" x14ac:dyDescent="0.25">
      <c r="A584" s="1">
        <v>583</v>
      </c>
      <c r="B584" s="2">
        <v>40569</v>
      </c>
      <c r="C584" s="1">
        <v>13</v>
      </c>
      <c r="D584" s="1" t="b">
        <v>0</v>
      </c>
      <c r="E584" s="1">
        <v>3</v>
      </c>
      <c r="F584" s="1">
        <v>3</v>
      </c>
      <c r="G584" s="1">
        <v>0.22</v>
      </c>
      <c r="H584" s="1">
        <v>583</v>
      </c>
      <c r="I584" s="1">
        <v>0.19700000000000001</v>
      </c>
      <c r="J584" s="1">
        <v>0.93</v>
      </c>
      <c r="K584" s="1">
        <v>0.32840000000000003</v>
      </c>
      <c r="L584" s="1">
        <v>4</v>
      </c>
      <c r="M584" s="1">
        <v>43</v>
      </c>
      <c r="N584" s="1">
        <v>47</v>
      </c>
    </row>
    <row r="585" spans="1:14" x14ac:dyDescent="0.25">
      <c r="A585" s="1">
        <v>584</v>
      </c>
      <c r="B585" s="2">
        <v>40569</v>
      </c>
      <c r="C585" s="1">
        <v>14</v>
      </c>
      <c r="D585" s="1" t="b">
        <v>0</v>
      </c>
      <c r="E585" s="1">
        <v>3</v>
      </c>
      <c r="F585" s="1">
        <v>3</v>
      </c>
      <c r="G585" s="1">
        <v>0.22</v>
      </c>
      <c r="H585" s="1">
        <v>584</v>
      </c>
      <c r="I585" s="1">
        <v>0.19700000000000001</v>
      </c>
      <c r="J585" s="1">
        <v>0.93</v>
      </c>
      <c r="K585" s="1">
        <v>0.35820000000000002</v>
      </c>
      <c r="L585" s="1">
        <v>0</v>
      </c>
      <c r="M585" s="1">
        <v>36</v>
      </c>
      <c r="N585" s="1">
        <v>36</v>
      </c>
    </row>
    <row r="586" spans="1:14" x14ac:dyDescent="0.25">
      <c r="A586" s="1">
        <v>585</v>
      </c>
      <c r="B586" s="2">
        <v>40569</v>
      </c>
      <c r="C586" s="1">
        <v>15</v>
      </c>
      <c r="D586" s="1" t="b">
        <v>0</v>
      </c>
      <c r="E586" s="1">
        <v>3</v>
      </c>
      <c r="F586" s="1">
        <v>3</v>
      </c>
      <c r="G586" s="1">
        <v>0.22</v>
      </c>
      <c r="H586" s="1">
        <v>585</v>
      </c>
      <c r="I586" s="1">
        <v>0.18179999999999999</v>
      </c>
      <c r="J586" s="1">
        <v>0.93</v>
      </c>
      <c r="K586" s="1">
        <v>0.4627</v>
      </c>
      <c r="L586" s="1">
        <v>1</v>
      </c>
      <c r="M586" s="1">
        <v>42</v>
      </c>
      <c r="N586" s="1">
        <v>43</v>
      </c>
    </row>
    <row r="587" spans="1:14" x14ac:dyDescent="0.25">
      <c r="A587" s="1">
        <v>586</v>
      </c>
      <c r="B587" s="2">
        <v>40569</v>
      </c>
      <c r="C587" s="1">
        <v>16</v>
      </c>
      <c r="D587" s="1" t="b">
        <v>0</v>
      </c>
      <c r="E587" s="1">
        <v>3</v>
      </c>
      <c r="F587" s="1">
        <v>4</v>
      </c>
      <c r="G587" s="1">
        <v>0.22</v>
      </c>
      <c r="H587" s="1">
        <v>586</v>
      </c>
      <c r="I587" s="1">
        <v>0.19700000000000001</v>
      </c>
      <c r="J587" s="1">
        <v>0.93</v>
      </c>
      <c r="K587" s="1">
        <v>0.32840000000000003</v>
      </c>
      <c r="L587" s="1">
        <v>1</v>
      </c>
      <c r="M587" s="1">
        <v>35</v>
      </c>
      <c r="N587" s="1">
        <v>36</v>
      </c>
    </row>
    <row r="588" spans="1:14" x14ac:dyDescent="0.25">
      <c r="A588" s="1">
        <v>587</v>
      </c>
      <c r="B588" s="2">
        <v>40569</v>
      </c>
      <c r="C588" s="1">
        <v>17</v>
      </c>
      <c r="D588" s="1" t="b">
        <v>0</v>
      </c>
      <c r="E588" s="1">
        <v>3</v>
      </c>
      <c r="F588" s="1">
        <v>3</v>
      </c>
      <c r="G588" s="1">
        <v>0.2</v>
      </c>
      <c r="H588" s="1">
        <v>587</v>
      </c>
      <c r="I588" s="1">
        <v>0.18179999999999999</v>
      </c>
      <c r="J588" s="1">
        <v>0.93</v>
      </c>
      <c r="K588" s="1">
        <v>0.35820000000000002</v>
      </c>
      <c r="L588" s="1">
        <v>0</v>
      </c>
      <c r="M588" s="1">
        <v>26</v>
      </c>
      <c r="N588" s="1">
        <v>26</v>
      </c>
    </row>
    <row r="589" spans="1:14" x14ac:dyDescent="0.25">
      <c r="A589" s="1">
        <v>588</v>
      </c>
      <c r="B589" s="2">
        <v>40570</v>
      </c>
      <c r="C589" s="1">
        <v>16</v>
      </c>
      <c r="D589" s="1" t="b">
        <v>0</v>
      </c>
      <c r="E589" s="1">
        <v>4</v>
      </c>
      <c r="F589" s="1">
        <v>1</v>
      </c>
      <c r="G589" s="1">
        <v>0.22</v>
      </c>
      <c r="H589" s="1">
        <v>588</v>
      </c>
      <c r="I589" s="1">
        <v>0.2273</v>
      </c>
      <c r="J589" s="1">
        <v>0.55000000000000004</v>
      </c>
      <c r="K589" s="1">
        <v>0.19400000000000001</v>
      </c>
      <c r="L589" s="1">
        <v>1</v>
      </c>
      <c r="M589" s="1">
        <v>23</v>
      </c>
      <c r="N589" s="1">
        <v>24</v>
      </c>
    </row>
    <row r="590" spans="1:14" x14ac:dyDescent="0.25">
      <c r="A590" s="1">
        <v>589</v>
      </c>
      <c r="B590" s="2">
        <v>40570</v>
      </c>
      <c r="C590" s="1">
        <v>17</v>
      </c>
      <c r="D590" s="1" t="b">
        <v>0</v>
      </c>
      <c r="E590" s="1">
        <v>4</v>
      </c>
      <c r="F590" s="1">
        <v>1</v>
      </c>
      <c r="G590" s="1">
        <v>0.22</v>
      </c>
      <c r="H590" s="1">
        <v>589</v>
      </c>
      <c r="I590" s="1">
        <v>0.2424</v>
      </c>
      <c r="J590" s="1">
        <v>0.55000000000000004</v>
      </c>
      <c r="K590" s="1">
        <v>0.1045</v>
      </c>
      <c r="L590" s="1">
        <v>2</v>
      </c>
      <c r="M590" s="1">
        <v>82</v>
      </c>
      <c r="N590" s="1">
        <v>84</v>
      </c>
    </row>
    <row r="591" spans="1:14" x14ac:dyDescent="0.25">
      <c r="A591" s="1">
        <v>590</v>
      </c>
      <c r="B591" s="2">
        <v>40570</v>
      </c>
      <c r="C591" s="1">
        <v>18</v>
      </c>
      <c r="D591" s="1" t="b">
        <v>0</v>
      </c>
      <c r="E591" s="1">
        <v>4</v>
      </c>
      <c r="F591" s="1">
        <v>1</v>
      </c>
      <c r="G591" s="1">
        <v>0.2</v>
      </c>
      <c r="H591" s="1">
        <v>590</v>
      </c>
      <c r="I591" s="1">
        <v>0.2273</v>
      </c>
      <c r="J591" s="1">
        <v>0.69</v>
      </c>
      <c r="K591" s="1">
        <v>8.9599999999999999E-2</v>
      </c>
      <c r="L591" s="1">
        <v>3</v>
      </c>
      <c r="M591" s="1">
        <v>101</v>
      </c>
      <c r="N591" s="1">
        <v>104</v>
      </c>
    </row>
    <row r="592" spans="1:14" x14ac:dyDescent="0.25">
      <c r="A592" s="1">
        <v>591</v>
      </c>
      <c r="B592" s="2">
        <v>40570</v>
      </c>
      <c r="C592" s="1">
        <v>19</v>
      </c>
      <c r="D592" s="1" t="b">
        <v>0</v>
      </c>
      <c r="E592" s="1">
        <v>4</v>
      </c>
      <c r="F592" s="1">
        <v>1</v>
      </c>
      <c r="G592" s="1">
        <v>0.2</v>
      </c>
      <c r="H592" s="1">
        <v>591</v>
      </c>
      <c r="I592" s="1">
        <v>0.2273</v>
      </c>
      <c r="J592" s="1">
        <v>0.69</v>
      </c>
      <c r="K592" s="1">
        <v>8.9599999999999999E-2</v>
      </c>
      <c r="L592" s="1">
        <v>3</v>
      </c>
      <c r="M592" s="1">
        <v>76</v>
      </c>
      <c r="N592" s="1">
        <v>79</v>
      </c>
    </row>
    <row r="593" spans="1:14" x14ac:dyDescent="0.25">
      <c r="A593" s="1">
        <v>592</v>
      </c>
      <c r="B593" s="2">
        <v>40570</v>
      </c>
      <c r="C593" s="1">
        <v>20</v>
      </c>
      <c r="D593" s="1" t="b">
        <v>0</v>
      </c>
      <c r="E593" s="1">
        <v>4</v>
      </c>
      <c r="F593" s="1">
        <v>1</v>
      </c>
      <c r="G593" s="1">
        <v>0.18</v>
      </c>
      <c r="H593" s="1">
        <v>592</v>
      </c>
      <c r="I593" s="1">
        <v>0.21210000000000001</v>
      </c>
      <c r="J593" s="1">
        <v>0.74</v>
      </c>
      <c r="K593" s="1">
        <v>8.9599999999999999E-2</v>
      </c>
      <c r="L593" s="1">
        <v>4</v>
      </c>
      <c r="M593" s="1">
        <v>55</v>
      </c>
      <c r="N593" s="1">
        <v>59</v>
      </c>
    </row>
    <row r="594" spans="1:14" x14ac:dyDescent="0.25">
      <c r="A594" s="1">
        <v>593</v>
      </c>
      <c r="B594" s="2">
        <v>40570</v>
      </c>
      <c r="C594" s="1">
        <v>21</v>
      </c>
      <c r="D594" s="1" t="b">
        <v>0</v>
      </c>
      <c r="E594" s="1">
        <v>4</v>
      </c>
      <c r="F594" s="1">
        <v>1</v>
      </c>
      <c r="G594" s="1">
        <v>0.18</v>
      </c>
      <c r="H594" s="1">
        <v>593</v>
      </c>
      <c r="I594" s="1">
        <v>0.21210000000000001</v>
      </c>
      <c r="J594" s="1">
        <v>0.74</v>
      </c>
      <c r="K594" s="1">
        <v>8.9599999999999999E-2</v>
      </c>
      <c r="L594" s="1">
        <v>2</v>
      </c>
      <c r="M594" s="1">
        <v>36</v>
      </c>
      <c r="N594" s="1">
        <v>38</v>
      </c>
    </row>
    <row r="595" spans="1:14" x14ac:dyDescent="0.25">
      <c r="A595" s="1">
        <v>594</v>
      </c>
      <c r="B595" s="2">
        <v>40570</v>
      </c>
      <c r="C595" s="1">
        <v>22</v>
      </c>
      <c r="D595" s="1" t="b">
        <v>0</v>
      </c>
      <c r="E595" s="1">
        <v>4</v>
      </c>
      <c r="F595" s="1">
        <v>1</v>
      </c>
      <c r="G595" s="1">
        <v>0.18</v>
      </c>
      <c r="H595" s="1">
        <v>594</v>
      </c>
      <c r="I595" s="1">
        <v>0.21210000000000001</v>
      </c>
      <c r="J595" s="1">
        <v>0.74</v>
      </c>
      <c r="K595" s="1">
        <v>8.9599999999999999E-2</v>
      </c>
      <c r="L595" s="1">
        <v>0</v>
      </c>
      <c r="M595" s="1">
        <v>27</v>
      </c>
      <c r="N595" s="1">
        <v>27</v>
      </c>
    </row>
    <row r="596" spans="1:14" x14ac:dyDescent="0.25">
      <c r="A596" s="1">
        <v>595</v>
      </c>
      <c r="B596" s="2">
        <v>40570</v>
      </c>
      <c r="C596" s="1">
        <v>23</v>
      </c>
      <c r="D596" s="1" t="b">
        <v>0</v>
      </c>
      <c r="E596" s="1">
        <v>4</v>
      </c>
      <c r="F596" s="1">
        <v>1</v>
      </c>
      <c r="G596" s="1">
        <v>0.18</v>
      </c>
      <c r="H596" s="1">
        <v>595</v>
      </c>
      <c r="I596" s="1">
        <v>0.19700000000000001</v>
      </c>
      <c r="J596" s="1">
        <v>0.8</v>
      </c>
      <c r="K596" s="1">
        <v>0.16420000000000001</v>
      </c>
      <c r="L596" s="1">
        <v>0</v>
      </c>
      <c r="M596" s="1">
        <v>16</v>
      </c>
      <c r="N596" s="1">
        <v>16</v>
      </c>
    </row>
    <row r="597" spans="1:14" x14ac:dyDescent="0.25">
      <c r="A597" s="1">
        <v>596</v>
      </c>
      <c r="B597" s="2">
        <v>40571</v>
      </c>
      <c r="C597" s="1">
        <v>0</v>
      </c>
      <c r="D597" s="1" t="b">
        <v>0</v>
      </c>
      <c r="E597" s="1">
        <v>5</v>
      </c>
      <c r="F597" s="1">
        <v>2</v>
      </c>
      <c r="G597" s="1">
        <v>0.2</v>
      </c>
      <c r="H597" s="1">
        <v>596</v>
      </c>
      <c r="I597" s="1">
        <v>0.21210000000000001</v>
      </c>
      <c r="J597" s="1">
        <v>0.75</v>
      </c>
      <c r="K597" s="1">
        <v>0.1343</v>
      </c>
      <c r="L597" s="1">
        <v>0</v>
      </c>
      <c r="M597" s="1">
        <v>9</v>
      </c>
      <c r="N597" s="1">
        <v>9</v>
      </c>
    </row>
    <row r="598" spans="1:14" x14ac:dyDescent="0.25">
      <c r="A598" s="1">
        <v>597</v>
      </c>
      <c r="B598" s="2">
        <v>40571</v>
      </c>
      <c r="C598" s="1">
        <v>1</v>
      </c>
      <c r="D598" s="1" t="b">
        <v>0</v>
      </c>
      <c r="E598" s="1">
        <v>5</v>
      </c>
      <c r="F598" s="1">
        <v>2</v>
      </c>
      <c r="G598" s="1">
        <v>0.2</v>
      </c>
      <c r="H598" s="1">
        <v>597</v>
      </c>
      <c r="I598" s="1">
        <v>0.21210000000000001</v>
      </c>
      <c r="J598" s="1">
        <v>0.75</v>
      </c>
      <c r="K598" s="1">
        <v>0.1343</v>
      </c>
      <c r="L598" s="1">
        <v>1</v>
      </c>
      <c r="M598" s="1">
        <v>2</v>
      </c>
      <c r="N598" s="1">
        <v>3</v>
      </c>
    </row>
    <row r="599" spans="1:14" x14ac:dyDescent="0.25">
      <c r="A599" s="1">
        <v>598</v>
      </c>
      <c r="B599" s="2">
        <v>40571</v>
      </c>
      <c r="C599" s="1">
        <v>2</v>
      </c>
      <c r="D599" s="1" t="b">
        <v>0</v>
      </c>
      <c r="E599" s="1">
        <v>5</v>
      </c>
      <c r="F599" s="1">
        <v>2</v>
      </c>
      <c r="G599" s="1">
        <v>0.2</v>
      </c>
      <c r="H599" s="1">
        <v>598</v>
      </c>
      <c r="I599" s="1">
        <v>0.21210000000000001</v>
      </c>
      <c r="J599" s="1">
        <v>0.75</v>
      </c>
      <c r="K599" s="1">
        <v>0.16420000000000001</v>
      </c>
      <c r="L599" s="1">
        <v>0</v>
      </c>
      <c r="M599" s="1">
        <v>2</v>
      </c>
      <c r="N599" s="1">
        <v>2</v>
      </c>
    </row>
    <row r="600" spans="1:14" x14ac:dyDescent="0.25">
      <c r="A600" s="1">
        <v>599</v>
      </c>
      <c r="B600" s="2">
        <v>40571</v>
      </c>
      <c r="C600" s="1">
        <v>3</v>
      </c>
      <c r="D600" s="1" t="b">
        <v>0</v>
      </c>
      <c r="E600" s="1">
        <v>5</v>
      </c>
      <c r="F600" s="1">
        <v>2</v>
      </c>
      <c r="G600" s="1">
        <v>0.2</v>
      </c>
      <c r="H600" s="1">
        <v>599</v>
      </c>
      <c r="I600" s="1">
        <v>0.2273</v>
      </c>
      <c r="J600" s="1">
        <v>0.75</v>
      </c>
      <c r="K600" s="1">
        <v>0.1045</v>
      </c>
      <c r="L600" s="1">
        <v>1</v>
      </c>
      <c r="M600" s="1">
        <v>0</v>
      </c>
      <c r="N600" s="1">
        <v>1</v>
      </c>
    </row>
    <row r="601" spans="1:14" x14ac:dyDescent="0.25">
      <c r="A601" s="1">
        <v>600</v>
      </c>
      <c r="B601" s="2">
        <v>40571</v>
      </c>
      <c r="C601" s="1">
        <v>5</v>
      </c>
      <c r="D601" s="1" t="b">
        <v>0</v>
      </c>
      <c r="E601" s="1">
        <v>5</v>
      </c>
      <c r="F601" s="1">
        <v>2</v>
      </c>
      <c r="G601" s="1">
        <v>0.18</v>
      </c>
      <c r="H601" s="1">
        <v>600</v>
      </c>
      <c r="I601" s="1">
        <v>0.21210000000000001</v>
      </c>
      <c r="J601" s="1">
        <v>0.8</v>
      </c>
      <c r="K601" s="1">
        <v>0.1045</v>
      </c>
      <c r="L601" s="1">
        <v>0</v>
      </c>
      <c r="M601" s="1">
        <v>4</v>
      </c>
      <c r="N601" s="1">
        <v>4</v>
      </c>
    </row>
    <row r="602" spans="1:14" x14ac:dyDescent="0.25">
      <c r="A602" s="1">
        <v>601</v>
      </c>
      <c r="B602" s="2">
        <v>40571</v>
      </c>
      <c r="C602" s="1">
        <v>6</v>
      </c>
      <c r="D602" s="1" t="b">
        <v>0</v>
      </c>
      <c r="E602" s="1">
        <v>5</v>
      </c>
      <c r="F602" s="1">
        <v>2</v>
      </c>
      <c r="G602" s="1">
        <v>0.18</v>
      </c>
      <c r="H602" s="1">
        <v>601</v>
      </c>
      <c r="I602" s="1">
        <v>0.19700000000000001</v>
      </c>
      <c r="J602" s="1">
        <v>0.8</v>
      </c>
      <c r="K602" s="1">
        <v>0.1343</v>
      </c>
      <c r="L602" s="1">
        <v>0</v>
      </c>
      <c r="M602" s="1">
        <v>16</v>
      </c>
      <c r="N602" s="1">
        <v>16</v>
      </c>
    </row>
    <row r="603" spans="1:14" x14ac:dyDescent="0.25">
      <c r="A603" s="1">
        <v>602</v>
      </c>
      <c r="B603" s="2">
        <v>40571</v>
      </c>
      <c r="C603" s="1">
        <v>7</v>
      </c>
      <c r="D603" s="1" t="b">
        <v>0</v>
      </c>
      <c r="E603" s="1">
        <v>5</v>
      </c>
      <c r="F603" s="1">
        <v>2</v>
      </c>
      <c r="G603" s="1">
        <v>0.16</v>
      </c>
      <c r="H603" s="1">
        <v>602</v>
      </c>
      <c r="I603" s="1">
        <v>0.19700000000000001</v>
      </c>
      <c r="J603" s="1">
        <v>0.86</v>
      </c>
      <c r="K603" s="1">
        <v>8.9599999999999999E-2</v>
      </c>
      <c r="L603" s="1">
        <v>2</v>
      </c>
      <c r="M603" s="1">
        <v>58</v>
      </c>
      <c r="N603" s="1">
        <v>60</v>
      </c>
    </row>
    <row r="604" spans="1:14" x14ac:dyDescent="0.25">
      <c r="A604" s="1">
        <v>603</v>
      </c>
      <c r="B604" s="2">
        <v>40571</v>
      </c>
      <c r="C604" s="1">
        <v>8</v>
      </c>
      <c r="D604" s="1" t="b">
        <v>0</v>
      </c>
      <c r="E604" s="1">
        <v>5</v>
      </c>
      <c r="F604" s="1">
        <v>2</v>
      </c>
      <c r="G604" s="1">
        <v>0.16</v>
      </c>
      <c r="H604" s="1">
        <v>603</v>
      </c>
      <c r="I604" s="1">
        <v>0.19700000000000001</v>
      </c>
      <c r="J604" s="1">
        <v>0.86</v>
      </c>
      <c r="K604" s="1">
        <v>8.9599999999999999E-2</v>
      </c>
      <c r="L604" s="1">
        <v>2</v>
      </c>
      <c r="M604" s="1">
        <v>155</v>
      </c>
      <c r="N604" s="1">
        <v>157</v>
      </c>
    </row>
    <row r="605" spans="1:14" x14ac:dyDescent="0.25">
      <c r="A605" s="1">
        <v>604</v>
      </c>
      <c r="B605" s="2">
        <v>40571</v>
      </c>
      <c r="C605" s="1">
        <v>9</v>
      </c>
      <c r="D605" s="1" t="b">
        <v>0</v>
      </c>
      <c r="E605" s="1">
        <v>5</v>
      </c>
      <c r="F605" s="1">
        <v>3</v>
      </c>
      <c r="G605" s="1">
        <v>0.18</v>
      </c>
      <c r="H605" s="1">
        <v>604</v>
      </c>
      <c r="I605" s="1">
        <v>0.21210000000000001</v>
      </c>
      <c r="J605" s="1">
        <v>0.86</v>
      </c>
      <c r="K605" s="1">
        <v>8.9599999999999999E-2</v>
      </c>
      <c r="L605" s="1">
        <v>6</v>
      </c>
      <c r="M605" s="1">
        <v>95</v>
      </c>
      <c r="N605" s="1">
        <v>101</v>
      </c>
    </row>
    <row r="606" spans="1:14" x14ac:dyDescent="0.25">
      <c r="A606" s="1">
        <v>605</v>
      </c>
      <c r="B606" s="2">
        <v>40571</v>
      </c>
      <c r="C606" s="1">
        <v>10</v>
      </c>
      <c r="D606" s="1" t="b">
        <v>0</v>
      </c>
      <c r="E606" s="1">
        <v>5</v>
      </c>
      <c r="F606" s="1">
        <v>3</v>
      </c>
      <c r="G606" s="1">
        <v>0.18</v>
      </c>
      <c r="H606" s="1">
        <v>605</v>
      </c>
      <c r="I606" s="1">
        <v>0.21210000000000001</v>
      </c>
      <c r="J606" s="1">
        <v>0.86</v>
      </c>
      <c r="K606" s="1">
        <v>0.1045</v>
      </c>
      <c r="L606" s="1">
        <v>0</v>
      </c>
      <c r="M606" s="1">
        <v>49</v>
      </c>
      <c r="N606" s="1">
        <v>49</v>
      </c>
    </row>
    <row r="607" spans="1:14" x14ac:dyDescent="0.25">
      <c r="A607" s="1">
        <v>606</v>
      </c>
      <c r="B607" s="2">
        <v>40571</v>
      </c>
      <c r="C607" s="1">
        <v>11</v>
      </c>
      <c r="D607" s="1" t="b">
        <v>0</v>
      </c>
      <c r="E607" s="1">
        <v>5</v>
      </c>
      <c r="F607" s="1">
        <v>3</v>
      </c>
      <c r="G607" s="1">
        <v>0.18</v>
      </c>
      <c r="H607" s="1">
        <v>606</v>
      </c>
      <c r="I607" s="1">
        <v>0.21210000000000001</v>
      </c>
      <c r="J607" s="1">
        <v>0.93</v>
      </c>
      <c r="K607" s="1">
        <v>0.1045</v>
      </c>
      <c r="L607" s="1">
        <v>0</v>
      </c>
      <c r="M607" s="1">
        <v>30</v>
      </c>
      <c r="N607" s="1">
        <v>30</v>
      </c>
    </row>
    <row r="608" spans="1:14" x14ac:dyDescent="0.25">
      <c r="A608" s="1">
        <v>607</v>
      </c>
      <c r="B608" s="2">
        <v>40571</v>
      </c>
      <c r="C608" s="1">
        <v>12</v>
      </c>
      <c r="D608" s="1" t="b">
        <v>0</v>
      </c>
      <c r="E608" s="1">
        <v>5</v>
      </c>
      <c r="F608" s="1">
        <v>3</v>
      </c>
      <c r="G608" s="1">
        <v>0.18</v>
      </c>
      <c r="H608" s="1">
        <v>607</v>
      </c>
      <c r="I608" s="1">
        <v>0.21210000000000001</v>
      </c>
      <c r="J608" s="1">
        <v>0.93</v>
      </c>
      <c r="K608" s="1">
        <v>0.1045</v>
      </c>
      <c r="L608" s="1">
        <v>1</v>
      </c>
      <c r="M608" s="1">
        <v>28</v>
      </c>
      <c r="N608" s="1">
        <v>29</v>
      </c>
    </row>
    <row r="609" spans="1:14" x14ac:dyDescent="0.25">
      <c r="A609" s="1">
        <v>608</v>
      </c>
      <c r="B609" s="2">
        <v>40571</v>
      </c>
      <c r="C609" s="1">
        <v>13</v>
      </c>
      <c r="D609" s="1" t="b">
        <v>0</v>
      </c>
      <c r="E609" s="1">
        <v>5</v>
      </c>
      <c r="F609" s="1">
        <v>3</v>
      </c>
      <c r="G609" s="1">
        <v>0.18</v>
      </c>
      <c r="H609" s="1">
        <v>608</v>
      </c>
      <c r="I609" s="1">
        <v>0.21210000000000001</v>
      </c>
      <c r="J609" s="1">
        <v>0.93</v>
      </c>
      <c r="K609" s="1">
        <v>0.1045</v>
      </c>
      <c r="L609" s="1">
        <v>0</v>
      </c>
      <c r="M609" s="1">
        <v>31</v>
      </c>
      <c r="N609" s="1">
        <v>31</v>
      </c>
    </row>
    <row r="610" spans="1:14" x14ac:dyDescent="0.25">
      <c r="A610" s="1">
        <v>609</v>
      </c>
      <c r="B610" s="2">
        <v>40571</v>
      </c>
      <c r="C610" s="1">
        <v>14</v>
      </c>
      <c r="D610" s="1" t="b">
        <v>0</v>
      </c>
      <c r="E610" s="1">
        <v>5</v>
      </c>
      <c r="F610" s="1">
        <v>3</v>
      </c>
      <c r="G610" s="1">
        <v>0.22</v>
      </c>
      <c r="H610" s="1">
        <v>609</v>
      </c>
      <c r="I610" s="1">
        <v>0.2727</v>
      </c>
      <c r="J610" s="1">
        <v>0.8</v>
      </c>
      <c r="K610" s="1">
        <v>0</v>
      </c>
      <c r="L610" s="1">
        <v>2</v>
      </c>
      <c r="M610" s="1">
        <v>36</v>
      </c>
      <c r="N610" s="1">
        <v>38</v>
      </c>
    </row>
    <row r="611" spans="1:14" x14ac:dyDescent="0.25">
      <c r="A611" s="1">
        <v>610</v>
      </c>
      <c r="B611" s="2">
        <v>40571</v>
      </c>
      <c r="C611" s="1">
        <v>15</v>
      </c>
      <c r="D611" s="1" t="b">
        <v>0</v>
      </c>
      <c r="E611" s="1">
        <v>5</v>
      </c>
      <c r="F611" s="1">
        <v>2</v>
      </c>
      <c r="G611" s="1">
        <v>0.2</v>
      </c>
      <c r="H611" s="1">
        <v>610</v>
      </c>
      <c r="I611" s="1">
        <v>0.2576</v>
      </c>
      <c r="J611" s="1">
        <v>0.86</v>
      </c>
      <c r="K611" s="1">
        <v>0</v>
      </c>
      <c r="L611" s="1">
        <v>1</v>
      </c>
      <c r="M611" s="1">
        <v>40</v>
      </c>
      <c r="N611" s="1">
        <v>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91"/>
  <sheetViews>
    <sheetView workbookViewId="0">
      <selection activeCell="E26" sqref="E26"/>
    </sheetView>
  </sheetViews>
  <sheetFormatPr defaultRowHeight="15" x14ac:dyDescent="0.25"/>
  <cols>
    <col min="1" max="1" width="9.42578125" bestFit="1" customWidth="1"/>
    <col min="2" max="2" width="10.7109375" bestFit="1" customWidth="1"/>
    <col min="3" max="3" width="5.140625" bestFit="1" customWidth="1"/>
    <col min="4" max="4" width="9.85546875" bestFit="1" customWidth="1"/>
    <col min="5" max="5" width="11.28515625" bestFit="1" customWidth="1"/>
    <col min="6" max="6" width="12.85546875" bestFit="1" customWidth="1"/>
    <col min="7" max="7" width="8" bestFit="1" customWidth="1"/>
    <col min="8" max="8" width="9" bestFit="1" customWidth="1"/>
    <col min="9" max="9" width="7.28515625" bestFit="1" customWidth="1"/>
    <col min="10" max="10" width="13.140625" bestFit="1" customWidth="1"/>
    <col min="11" max="11" width="8.7109375" bestFit="1" customWidth="1"/>
    <col min="12" max="12" width="12.42578125" bestFit="1" customWidth="1"/>
    <col min="13" max="13" width="6" bestFit="1" customWidth="1"/>
  </cols>
  <sheetData>
    <row r="1" spans="1:13" x14ac:dyDescent="0.25">
      <c r="A1" s="1" t="s">
        <v>0</v>
      </c>
      <c r="B1" s="1" t="s">
        <v>1</v>
      </c>
      <c r="C1" s="1" t="s">
        <v>2</v>
      </c>
      <c r="D1" s="1" t="s">
        <v>3</v>
      </c>
      <c r="E1" s="1" t="s">
        <v>4</v>
      </c>
      <c r="F1" s="1" t="s">
        <v>5</v>
      </c>
      <c r="G1" s="1" t="s">
        <v>6</v>
      </c>
      <c r="H1" s="1" t="s">
        <v>8</v>
      </c>
      <c r="I1" s="1" t="s">
        <v>9</v>
      </c>
      <c r="J1" s="1" t="s">
        <v>10</v>
      </c>
      <c r="K1" s="1" t="s">
        <v>11</v>
      </c>
      <c r="L1" s="1" t="s">
        <v>12</v>
      </c>
      <c r="M1" s="1" t="s">
        <v>13</v>
      </c>
    </row>
    <row r="2" spans="1:13" x14ac:dyDescent="0.25">
      <c r="A2" s="1">
        <v>620</v>
      </c>
      <c r="B2" s="2">
        <v>40572</v>
      </c>
      <c r="C2" s="1">
        <v>1</v>
      </c>
      <c r="D2" s="1" t="b">
        <v>0</v>
      </c>
      <c r="E2" s="1">
        <v>6</v>
      </c>
      <c r="F2" s="1">
        <v>1</v>
      </c>
      <c r="G2" s="1">
        <v>0.22</v>
      </c>
      <c r="H2" s="1">
        <v>0.2273</v>
      </c>
      <c r="I2" s="1">
        <v>0.64</v>
      </c>
      <c r="J2" s="1">
        <v>0.19400000000000001</v>
      </c>
      <c r="K2" s="1">
        <v>0</v>
      </c>
      <c r="L2" s="1">
        <v>20</v>
      </c>
      <c r="M2" s="1">
        <v>20</v>
      </c>
    </row>
    <row r="3" spans="1:13" x14ac:dyDescent="0.25">
      <c r="A3" s="1">
        <v>621</v>
      </c>
      <c r="B3" s="2">
        <v>40572</v>
      </c>
      <c r="C3" s="1">
        <v>2</v>
      </c>
      <c r="D3" s="1" t="b">
        <v>0</v>
      </c>
      <c r="E3" s="1">
        <v>6</v>
      </c>
      <c r="F3" s="1">
        <v>1</v>
      </c>
      <c r="G3" s="1">
        <v>0.22</v>
      </c>
      <c r="H3" s="1">
        <v>0.2273</v>
      </c>
      <c r="I3" s="1">
        <v>0.64</v>
      </c>
      <c r="J3" s="1">
        <v>0.16420000000000001</v>
      </c>
      <c r="K3" s="1">
        <v>0</v>
      </c>
      <c r="L3" s="1">
        <v>15</v>
      </c>
      <c r="M3" s="1">
        <v>15</v>
      </c>
    </row>
    <row r="4" spans="1:13" x14ac:dyDescent="0.25">
      <c r="A4" s="1">
        <v>622</v>
      </c>
      <c r="B4" s="2">
        <v>40572</v>
      </c>
      <c r="C4" s="1">
        <v>3</v>
      </c>
      <c r="D4" s="1" t="b">
        <v>0</v>
      </c>
      <c r="E4" s="1">
        <v>6</v>
      </c>
      <c r="F4" s="1">
        <v>1</v>
      </c>
      <c r="G4" s="1">
        <v>0.2</v>
      </c>
      <c r="H4" s="1">
        <v>0.21210000000000001</v>
      </c>
      <c r="I4" s="1">
        <v>0.64</v>
      </c>
      <c r="J4" s="1">
        <v>0.1343</v>
      </c>
      <c r="K4" s="1">
        <v>3</v>
      </c>
      <c r="L4" s="1">
        <v>5</v>
      </c>
      <c r="M4" s="1">
        <v>8</v>
      </c>
    </row>
    <row r="5" spans="1:13" x14ac:dyDescent="0.25">
      <c r="A5" s="1">
        <v>623</v>
      </c>
      <c r="B5" s="2">
        <v>40572</v>
      </c>
      <c r="C5" s="1">
        <v>4</v>
      </c>
      <c r="D5" s="1" t="b">
        <v>0</v>
      </c>
      <c r="E5" s="1">
        <v>6</v>
      </c>
      <c r="F5" s="1">
        <v>1</v>
      </c>
      <c r="G5" s="1">
        <v>0.16</v>
      </c>
      <c r="H5" s="1">
        <v>0.18179999999999999</v>
      </c>
      <c r="I5" s="1">
        <v>0.69</v>
      </c>
      <c r="J5" s="1">
        <v>0.1045</v>
      </c>
      <c r="K5" s="1">
        <v>1</v>
      </c>
      <c r="L5" s="1">
        <v>2</v>
      </c>
      <c r="M5" s="1">
        <v>3</v>
      </c>
    </row>
    <row r="6" spans="1:13" x14ac:dyDescent="0.25">
      <c r="A6" s="1">
        <v>624</v>
      </c>
      <c r="B6" s="2">
        <v>40572</v>
      </c>
      <c r="C6" s="1">
        <v>6</v>
      </c>
      <c r="D6" s="1" t="b">
        <v>0</v>
      </c>
      <c r="E6" s="1">
        <v>6</v>
      </c>
      <c r="F6" s="1">
        <v>1</v>
      </c>
      <c r="G6" s="1">
        <v>0.16</v>
      </c>
      <c r="H6" s="1">
        <v>0.18179999999999999</v>
      </c>
      <c r="I6" s="1">
        <v>0.64</v>
      </c>
      <c r="J6" s="1">
        <v>0.1343</v>
      </c>
      <c r="K6" s="1">
        <v>0</v>
      </c>
      <c r="L6" s="1">
        <v>2</v>
      </c>
      <c r="M6" s="1">
        <v>2</v>
      </c>
    </row>
    <row r="7" spans="1:13" x14ac:dyDescent="0.25">
      <c r="A7" s="1">
        <v>625</v>
      </c>
      <c r="B7" s="2">
        <v>40572</v>
      </c>
      <c r="C7" s="1">
        <v>7</v>
      </c>
      <c r="D7" s="1" t="b">
        <v>0</v>
      </c>
      <c r="E7" s="1">
        <v>6</v>
      </c>
      <c r="F7" s="1">
        <v>1</v>
      </c>
      <c r="G7" s="1">
        <v>0.16</v>
      </c>
      <c r="H7" s="1">
        <v>0.18179999999999999</v>
      </c>
      <c r="I7" s="1">
        <v>0.59</v>
      </c>
      <c r="J7" s="1">
        <v>0.1045</v>
      </c>
      <c r="K7" s="1">
        <v>1</v>
      </c>
      <c r="L7" s="1">
        <v>4</v>
      </c>
      <c r="M7" s="1">
        <v>5</v>
      </c>
    </row>
    <row r="8" spans="1:13" x14ac:dyDescent="0.25">
      <c r="A8" s="1">
        <v>626</v>
      </c>
      <c r="B8" s="2">
        <v>40572</v>
      </c>
      <c r="C8" s="1">
        <v>8</v>
      </c>
      <c r="D8" s="1" t="b">
        <v>0</v>
      </c>
      <c r="E8" s="1">
        <v>6</v>
      </c>
      <c r="F8" s="1">
        <v>1</v>
      </c>
      <c r="G8" s="1">
        <v>0.18</v>
      </c>
      <c r="H8" s="1">
        <v>0.19700000000000001</v>
      </c>
      <c r="I8" s="1">
        <v>0.55000000000000004</v>
      </c>
      <c r="J8" s="1">
        <v>0.16420000000000001</v>
      </c>
      <c r="K8" s="1">
        <v>3</v>
      </c>
      <c r="L8" s="1">
        <v>31</v>
      </c>
      <c r="M8" s="1">
        <v>34</v>
      </c>
    </row>
    <row r="9" spans="1:13" x14ac:dyDescent="0.25">
      <c r="A9" s="1">
        <v>627</v>
      </c>
      <c r="B9" s="2">
        <v>40572</v>
      </c>
      <c r="C9" s="1">
        <v>9</v>
      </c>
      <c r="D9" s="1" t="b">
        <v>0</v>
      </c>
      <c r="E9" s="1">
        <v>6</v>
      </c>
      <c r="F9" s="1">
        <v>1</v>
      </c>
      <c r="G9" s="1">
        <v>0.18</v>
      </c>
      <c r="H9" s="1">
        <v>0.21210000000000001</v>
      </c>
      <c r="I9" s="1">
        <v>0.59</v>
      </c>
      <c r="J9" s="1">
        <v>8.9599999999999999E-2</v>
      </c>
      <c r="K9" s="1">
        <v>0</v>
      </c>
      <c r="L9" s="1">
        <v>34</v>
      </c>
      <c r="M9" s="1">
        <v>34</v>
      </c>
    </row>
    <row r="10" spans="1:13" x14ac:dyDescent="0.25">
      <c r="A10" s="1">
        <v>628</v>
      </c>
      <c r="B10" s="2">
        <v>40572</v>
      </c>
      <c r="C10" s="1">
        <v>10</v>
      </c>
      <c r="D10" s="1" t="b">
        <v>0</v>
      </c>
      <c r="E10" s="1">
        <v>6</v>
      </c>
      <c r="F10" s="1">
        <v>2</v>
      </c>
      <c r="G10" s="1">
        <v>0.18</v>
      </c>
      <c r="H10" s="1">
        <v>0.21210000000000001</v>
      </c>
      <c r="I10" s="1">
        <v>0.64</v>
      </c>
      <c r="J10" s="1">
        <v>0.1045</v>
      </c>
      <c r="K10" s="1">
        <v>4</v>
      </c>
      <c r="L10" s="1">
        <v>51</v>
      </c>
      <c r="M10" s="1">
        <v>55</v>
      </c>
    </row>
    <row r="11" spans="1:13" x14ac:dyDescent="0.25">
      <c r="A11" s="1">
        <v>629</v>
      </c>
      <c r="B11" s="2">
        <v>40572</v>
      </c>
      <c r="C11" s="1">
        <v>11</v>
      </c>
      <c r="D11" s="1" t="b">
        <v>0</v>
      </c>
      <c r="E11" s="1">
        <v>6</v>
      </c>
      <c r="F11" s="1">
        <v>2</v>
      </c>
      <c r="G11" s="1">
        <v>0.18</v>
      </c>
      <c r="H11" s="1">
        <v>0.19700000000000001</v>
      </c>
      <c r="I11" s="1">
        <v>0.64</v>
      </c>
      <c r="J11" s="1">
        <v>0.1343</v>
      </c>
      <c r="K11" s="1">
        <v>4</v>
      </c>
      <c r="L11" s="1">
        <v>60</v>
      </c>
      <c r="M11" s="1">
        <v>64</v>
      </c>
    </row>
    <row r="12" spans="1:13" x14ac:dyDescent="0.25">
      <c r="A12" s="1">
        <v>630</v>
      </c>
      <c r="B12" s="2">
        <v>40572</v>
      </c>
      <c r="C12" s="1">
        <v>12</v>
      </c>
      <c r="D12" s="1" t="b">
        <v>0</v>
      </c>
      <c r="E12" s="1">
        <v>6</v>
      </c>
      <c r="F12" s="1">
        <v>2</v>
      </c>
      <c r="G12" s="1">
        <v>0.2</v>
      </c>
      <c r="H12" s="1">
        <v>0.19700000000000001</v>
      </c>
      <c r="I12" s="1">
        <v>0.59</v>
      </c>
      <c r="J12" s="1">
        <v>0.19400000000000001</v>
      </c>
      <c r="K12" s="1">
        <v>12</v>
      </c>
      <c r="L12" s="1">
        <v>66</v>
      </c>
      <c r="M12" s="1">
        <v>78</v>
      </c>
    </row>
    <row r="13" spans="1:13" x14ac:dyDescent="0.25">
      <c r="A13" s="1">
        <v>631</v>
      </c>
      <c r="B13" s="2">
        <v>40572</v>
      </c>
      <c r="C13" s="1">
        <v>13</v>
      </c>
      <c r="D13" s="1" t="b">
        <v>0</v>
      </c>
      <c r="E13" s="1">
        <v>6</v>
      </c>
      <c r="F13" s="1">
        <v>2</v>
      </c>
      <c r="G13" s="1">
        <v>0.22</v>
      </c>
      <c r="H13" s="1">
        <v>0.2273</v>
      </c>
      <c r="I13" s="1">
        <v>0.55000000000000004</v>
      </c>
      <c r="J13" s="1">
        <v>0.16420000000000001</v>
      </c>
      <c r="K13" s="1">
        <v>9</v>
      </c>
      <c r="L13" s="1">
        <v>56</v>
      </c>
      <c r="M13" s="1">
        <v>65</v>
      </c>
    </row>
    <row r="14" spans="1:13" x14ac:dyDescent="0.25">
      <c r="A14" s="1">
        <v>632</v>
      </c>
      <c r="B14" s="2">
        <v>40572</v>
      </c>
      <c r="C14" s="1">
        <v>14</v>
      </c>
      <c r="D14" s="1" t="b">
        <v>0</v>
      </c>
      <c r="E14" s="1">
        <v>6</v>
      </c>
      <c r="F14" s="1">
        <v>2</v>
      </c>
      <c r="G14" s="1">
        <v>0.22</v>
      </c>
      <c r="H14" s="1">
        <v>0.2273</v>
      </c>
      <c r="I14" s="1">
        <v>0.6</v>
      </c>
      <c r="J14" s="1">
        <v>0.1343</v>
      </c>
      <c r="K14" s="1">
        <v>10</v>
      </c>
      <c r="L14" s="1">
        <v>89</v>
      </c>
      <c r="M14" s="1">
        <v>99</v>
      </c>
    </row>
    <row r="15" spans="1:13" x14ac:dyDescent="0.25">
      <c r="A15" s="1">
        <v>633</v>
      </c>
      <c r="B15" s="2">
        <v>40572</v>
      </c>
      <c r="C15" s="1">
        <v>15</v>
      </c>
      <c r="D15" s="1" t="b">
        <v>0</v>
      </c>
      <c r="E15" s="1">
        <v>6</v>
      </c>
      <c r="F15" s="1">
        <v>1</v>
      </c>
      <c r="G15" s="1">
        <v>0.22</v>
      </c>
      <c r="H15" s="1">
        <v>0.21210000000000001</v>
      </c>
      <c r="I15" s="1">
        <v>0.69</v>
      </c>
      <c r="J15" s="1">
        <v>0.25369999999999998</v>
      </c>
      <c r="K15" s="1">
        <v>22</v>
      </c>
      <c r="L15" s="1">
        <v>98</v>
      </c>
      <c r="M15" s="1">
        <v>120</v>
      </c>
    </row>
    <row r="16" spans="1:13" x14ac:dyDescent="0.25">
      <c r="A16" s="1">
        <v>634</v>
      </c>
      <c r="B16" s="2">
        <v>40572</v>
      </c>
      <c r="C16" s="1">
        <v>16</v>
      </c>
      <c r="D16" s="1" t="b">
        <v>0</v>
      </c>
      <c r="E16" s="1">
        <v>6</v>
      </c>
      <c r="F16" s="1">
        <v>1</v>
      </c>
      <c r="G16" s="1">
        <v>0.24</v>
      </c>
      <c r="H16" s="1">
        <v>0.2424</v>
      </c>
      <c r="I16" s="1">
        <v>0.6</v>
      </c>
      <c r="J16" s="1">
        <v>0.16420000000000001</v>
      </c>
      <c r="K16" s="1">
        <v>19</v>
      </c>
      <c r="L16" s="1">
        <v>88</v>
      </c>
      <c r="M16" s="1">
        <v>107</v>
      </c>
    </row>
    <row r="17" spans="1:13" x14ac:dyDescent="0.25">
      <c r="A17" s="1">
        <v>635</v>
      </c>
      <c r="B17" s="2">
        <v>40572</v>
      </c>
      <c r="C17" s="1">
        <v>17</v>
      </c>
      <c r="D17" s="1" t="b">
        <v>0</v>
      </c>
      <c r="E17" s="1">
        <v>6</v>
      </c>
      <c r="F17" s="1">
        <v>1</v>
      </c>
      <c r="G17" s="1">
        <v>0.24</v>
      </c>
      <c r="H17" s="1">
        <v>0.28789999999999999</v>
      </c>
      <c r="I17" s="1">
        <v>0.6</v>
      </c>
      <c r="J17" s="1">
        <v>0</v>
      </c>
      <c r="K17" s="1">
        <v>9</v>
      </c>
      <c r="L17" s="1">
        <v>82</v>
      </c>
      <c r="M17" s="1">
        <v>91</v>
      </c>
    </row>
    <row r="18" spans="1:13" x14ac:dyDescent="0.25">
      <c r="A18" s="1">
        <v>636</v>
      </c>
      <c r="B18" s="2">
        <v>40572</v>
      </c>
      <c r="C18" s="1">
        <v>18</v>
      </c>
      <c r="D18" s="1" t="b">
        <v>0</v>
      </c>
      <c r="E18" s="1">
        <v>6</v>
      </c>
      <c r="F18" s="1">
        <v>1</v>
      </c>
      <c r="G18" s="1">
        <v>0.22</v>
      </c>
      <c r="H18" s="1">
        <v>0.2273</v>
      </c>
      <c r="I18" s="1">
        <v>0.69</v>
      </c>
      <c r="J18" s="1">
        <v>0.1343</v>
      </c>
      <c r="K18" s="1">
        <v>9</v>
      </c>
      <c r="L18" s="1">
        <v>59</v>
      </c>
      <c r="M18" s="1">
        <v>68</v>
      </c>
    </row>
    <row r="19" spans="1:13" x14ac:dyDescent="0.25">
      <c r="A19" s="1">
        <v>637</v>
      </c>
      <c r="B19" s="2">
        <v>40572</v>
      </c>
      <c r="C19" s="1">
        <v>19</v>
      </c>
      <c r="D19" s="1" t="b">
        <v>0</v>
      </c>
      <c r="E19" s="1">
        <v>6</v>
      </c>
      <c r="F19" s="1">
        <v>2</v>
      </c>
      <c r="G19" s="1">
        <v>0.22</v>
      </c>
      <c r="H19" s="1">
        <v>0.21210000000000001</v>
      </c>
      <c r="I19" s="1">
        <v>0.69</v>
      </c>
      <c r="J19" s="1">
        <v>0.25369999999999998</v>
      </c>
      <c r="K19" s="1">
        <v>6</v>
      </c>
      <c r="L19" s="1">
        <v>52</v>
      </c>
      <c r="M19" s="1">
        <v>58</v>
      </c>
    </row>
    <row r="20" spans="1:13" x14ac:dyDescent="0.25">
      <c r="A20" s="1">
        <v>638</v>
      </c>
      <c r="B20" s="2">
        <v>40572</v>
      </c>
      <c r="C20" s="1">
        <v>20</v>
      </c>
      <c r="D20" s="1" t="b">
        <v>0</v>
      </c>
      <c r="E20" s="1">
        <v>6</v>
      </c>
      <c r="F20" s="1">
        <v>1</v>
      </c>
      <c r="G20" s="1">
        <v>0.18</v>
      </c>
      <c r="H20" s="1">
        <v>0.21210000000000001</v>
      </c>
      <c r="I20" s="1">
        <v>0.74</v>
      </c>
      <c r="J20" s="1">
        <v>8.9599999999999999E-2</v>
      </c>
      <c r="K20" s="1">
        <v>1</v>
      </c>
      <c r="L20" s="1">
        <v>42</v>
      </c>
      <c r="M20" s="1">
        <v>43</v>
      </c>
    </row>
    <row r="21" spans="1:13" x14ac:dyDescent="0.25">
      <c r="A21" s="1">
        <v>639</v>
      </c>
      <c r="B21" s="2">
        <v>40572</v>
      </c>
      <c r="C21" s="1">
        <v>21</v>
      </c>
      <c r="D21" s="1" t="b">
        <v>0</v>
      </c>
      <c r="E21" s="1">
        <v>6</v>
      </c>
      <c r="F21" s="1">
        <v>1</v>
      </c>
      <c r="G21" s="1">
        <v>0.18</v>
      </c>
      <c r="H21" s="1">
        <v>0.21210000000000001</v>
      </c>
      <c r="I21" s="1">
        <v>0.74</v>
      </c>
      <c r="J21" s="1">
        <v>8.9599999999999999E-2</v>
      </c>
      <c r="K21" s="1">
        <v>1</v>
      </c>
      <c r="L21" s="1">
        <v>35</v>
      </c>
      <c r="M21" s="1">
        <v>36</v>
      </c>
    </row>
    <row r="22" spans="1:13" x14ac:dyDescent="0.25">
      <c r="A22" s="1">
        <v>640</v>
      </c>
      <c r="B22" s="2">
        <v>40572</v>
      </c>
      <c r="C22" s="1">
        <v>22</v>
      </c>
      <c r="D22" s="1" t="b">
        <v>0</v>
      </c>
      <c r="E22" s="1">
        <v>6</v>
      </c>
      <c r="F22" s="1">
        <v>1</v>
      </c>
      <c r="G22" s="1">
        <v>0.16</v>
      </c>
      <c r="H22" s="1">
        <v>0.19700000000000001</v>
      </c>
      <c r="I22" s="1">
        <v>0.8</v>
      </c>
      <c r="J22" s="1">
        <v>8.9599999999999999E-2</v>
      </c>
      <c r="K22" s="1">
        <v>4</v>
      </c>
      <c r="L22" s="1">
        <v>28</v>
      </c>
      <c r="M22" s="1">
        <v>32</v>
      </c>
    </row>
    <row r="23" spans="1:13" x14ac:dyDescent="0.25">
      <c r="A23" s="1">
        <v>641</v>
      </c>
      <c r="B23" s="2">
        <v>40572</v>
      </c>
      <c r="C23" s="1">
        <v>23</v>
      </c>
      <c r="D23" s="1" t="b">
        <v>0</v>
      </c>
      <c r="E23" s="1">
        <v>6</v>
      </c>
      <c r="F23" s="1">
        <v>1</v>
      </c>
      <c r="G23" s="1">
        <v>0.16</v>
      </c>
      <c r="H23" s="1">
        <v>0.19700000000000001</v>
      </c>
      <c r="I23" s="1">
        <v>0.8</v>
      </c>
      <c r="J23" s="1">
        <v>8.9599999999999999E-2</v>
      </c>
      <c r="K23" s="1">
        <v>3</v>
      </c>
      <c r="L23" s="1">
        <v>30</v>
      </c>
      <c r="M23" s="1">
        <v>33</v>
      </c>
    </row>
    <row r="24" spans="1:13" x14ac:dyDescent="0.25">
      <c r="A24" s="1">
        <v>642</v>
      </c>
      <c r="B24" s="2">
        <v>40573</v>
      </c>
      <c r="C24" s="1">
        <v>0</v>
      </c>
      <c r="D24" s="1" t="b">
        <v>0</v>
      </c>
      <c r="E24" s="1">
        <v>0</v>
      </c>
      <c r="F24" s="1">
        <v>1</v>
      </c>
      <c r="G24" s="1">
        <v>0.16</v>
      </c>
      <c r="H24" s="1">
        <v>0.18179999999999999</v>
      </c>
      <c r="I24" s="1">
        <v>0.8</v>
      </c>
      <c r="J24" s="1">
        <v>0.1045</v>
      </c>
      <c r="K24" s="1">
        <v>0</v>
      </c>
      <c r="L24" s="1">
        <v>33</v>
      </c>
      <c r="M24" s="1">
        <v>33</v>
      </c>
    </row>
    <row r="25" spans="1:13" x14ac:dyDescent="0.25">
      <c r="A25" s="1">
        <v>643</v>
      </c>
      <c r="B25" s="2">
        <v>40573</v>
      </c>
      <c r="C25" s="1">
        <v>1</v>
      </c>
      <c r="D25" s="1" t="b">
        <v>0</v>
      </c>
      <c r="E25" s="1">
        <v>0</v>
      </c>
      <c r="F25" s="1">
        <v>1</v>
      </c>
      <c r="G25" s="1">
        <v>0.14000000000000001</v>
      </c>
      <c r="H25" s="1">
        <v>0.21210000000000001</v>
      </c>
      <c r="I25" s="1">
        <v>0.8</v>
      </c>
      <c r="J25" s="1">
        <v>0</v>
      </c>
      <c r="K25" s="1">
        <v>7</v>
      </c>
      <c r="L25" s="1">
        <v>22</v>
      </c>
      <c r="M25" s="1">
        <v>29</v>
      </c>
    </row>
    <row r="26" spans="1:13" x14ac:dyDescent="0.25">
      <c r="A26" s="1">
        <v>644</v>
      </c>
      <c r="B26" s="2">
        <v>40573</v>
      </c>
      <c r="C26" s="1">
        <v>2</v>
      </c>
      <c r="D26" s="1" t="b">
        <v>0</v>
      </c>
      <c r="E26" s="1">
        <v>0</v>
      </c>
      <c r="F26" s="1">
        <v>1</v>
      </c>
      <c r="G26" s="1">
        <v>0.16</v>
      </c>
      <c r="H26" s="1">
        <v>0.2273</v>
      </c>
      <c r="I26" s="1">
        <v>0.8</v>
      </c>
      <c r="J26" s="1">
        <v>0</v>
      </c>
      <c r="K26" s="1">
        <v>1</v>
      </c>
      <c r="L26" s="1">
        <v>10</v>
      </c>
      <c r="M26" s="1">
        <v>11</v>
      </c>
    </row>
    <row r="27" spans="1:13" x14ac:dyDescent="0.25">
      <c r="A27" s="1">
        <v>645</v>
      </c>
      <c r="B27" s="2">
        <v>40573</v>
      </c>
      <c r="C27" s="1">
        <v>3</v>
      </c>
      <c r="D27" s="1" t="b">
        <v>0</v>
      </c>
      <c r="E27" s="1">
        <v>0</v>
      </c>
      <c r="F27" s="1">
        <v>1</v>
      </c>
      <c r="G27" s="1">
        <v>0.14000000000000001</v>
      </c>
      <c r="H27" s="1">
        <v>0.21210000000000001</v>
      </c>
      <c r="I27" s="1">
        <v>0.93</v>
      </c>
      <c r="J27" s="1">
        <v>0</v>
      </c>
      <c r="K27" s="1">
        <v>1</v>
      </c>
      <c r="L27" s="1">
        <v>7</v>
      </c>
      <c r="M27" s="1">
        <v>8</v>
      </c>
    </row>
    <row r="28" spans="1:13" x14ac:dyDescent="0.25">
      <c r="A28" s="1">
        <v>646</v>
      </c>
      <c r="B28" s="2">
        <v>40573</v>
      </c>
      <c r="C28" s="1">
        <v>4</v>
      </c>
      <c r="D28" s="1" t="b">
        <v>0</v>
      </c>
      <c r="E28" s="1">
        <v>0</v>
      </c>
      <c r="F28" s="1">
        <v>1</v>
      </c>
      <c r="G28" s="1">
        <v>0.14000000000000001</v>
      </c>
      <c r="H28" s="1">
        <v>0.21210000000000001</v>
      </c>
      <c r="I28" s="1">
        <v>0.93</v>
      </c>
      <c r="J28" s="1">
        <v>0</v>
      </c>
      <c r="K28" s="1">
        <v>0</v>
      </c>
      <c r="L28" s="1">
        <v>1</v>
      </c>
      <c r="M28" s="1">
        <v>1</v>
      </c>
    </row>
    <row r="29" spans="1:13" x14ac:dyDescent="0.25">
      <c r="A29" s="1">
        <v>647</v>
      </c>
      <c r="B29" s="2">
        <v>40573</v>
      </c>
      <c r="C29" s="1">
        <v>5</v>
      </c>
      <c r="D29" s="1" t="b">
        <v>0</v>
      </c>
      <c r="E29" s="1">
        <v>0</v>
      </c>
      <c r="F29" s="1">
        <v>1</v>
      </c>
      <c r="G29" s="1">
        <v>0.14000000000000001</v>
      </c>
      <c r="H29" s="1">
        <v>0.21210000000000001</v>
      </c>
      <c r="I29" s="1">
        <v>0.86</v>
      </c>
      <c r="J29" s="1">
        <v>0</v>
      </c>
      <c r="K29" s="1">
        <v>0</v>
      </c>
      <c r="L29" s="1">
        <v>3</v>
      </c>
      <c r="M29" s="1">
        <v>3</v>
      </c>
    </row>
    <row r="30" spans="1:13" x14ac:dyDescent="0.25">
      <c r="A30" s="1">
        <v>648</v>
      </c>
      <c r="B30" s="2">
        <v>40573</v>
      </c>
      <c r="C30" s="1">
        <v>7</v>
      </c>
      <c r="D30" s="1" t="b">
        <v>0</v>
      </c>
      <c r="E30" s="1">
        <v>0</v>
      </c>
      <c r="F30" s="1">
        <v>1</v>
      </c>
      <c r="G30" s="1">
        <v>0.14000000000000001</v>
      </c>
      <c r="H30" s="1">
        <v>0.21210000000000001</v>
      </c>
      <c r="I30" s="1">
        <v>0.86</v>
      </c>
      <c r="J30" s="1">
        <v>0</v>
      </c>
      <c r="K30" s="1">
        <v>0</v>
      </c>
      <c r="L30" s="1">
        <v>3</v>
      </c>
      <c r="M30" s="1">
        <v>3</v>
      </c>
    </row>
    <row r="31" spans="1:13" x14ac:dyDescent="0.25">
      <c r="A31" s="1">
        <v>649</v>
      </c>
      <c r="B31" s="2">
        <v>40573</v>
      </c>
      <c r="C31" s="1">
        <v>8</v>
      </c>
      <c r="D31" s="1" t="b">
        <v>0</v>
      </c>
      <c r="E31" s="1">
        <v>0</v>
      </c>
      <c r="F31" s="1">
        <v>2</v>
      </c>
      <c r="G31" s="1">
        <v>0.14000000000000001</v>
      </c>
      <c r="H31" s="1">
        <v>0.21210000000000001</v>
      </c>
      <c r="I31" s="1">
        <v>0.86</v>
      </c>
      <c r="J31" s="1">
        <v>0</v>
      </c>
      <c r="K31" s="1">
        <v>1</v>
      </c>
      <c r="L31" s="1">
        <v>11</v>
      </c>
      <c r="M31" s="1">
        <v>12</v>
      </c>
    </row>
    <row r="32" spans="1:13" x14ac:dyDescent="0.25">
      <c r="A32" s="1">
        <v>650</v>
      </c>
      <c r="B32" s="2">
        <v>40573</v>
      </c>
      <c r="C32" s="1">
        <v>9</v>
      </c>
      <c r="D32" s="1" t="b">
        <v>0</v>
      </c>
      <c r="E32" s="1">
        <v>0</v>
      </c>
      <c r="F32" s="1">
        <v>2</v>
      </c>
      <c r="G32" s="1">
        <v>0.16</v>
      </c>
      <c r="H32" s="1">
        <v>0.2273</v>
      </c>
      <c r="I32" s="1">
        <v>0.8</v>
      </c>
      <c r="J32" s="1">
        <v>0</v>
      </c>
      <c r="K32" s="1">
        <v>4</v>
      </c>
      <c r="L32" s="1">
        <v>34</v>
      </c>
      <c r="M32" s="1">
        <v>38</v>
      </c>
    </row>
    <row r="33" spans="1:13" x14ac:dyDescent="0.25">
      <c r="A33" s="1">
        <v>651</v>
      </c>
      <c r="B33" s="2">
        <v>40573</v>
      </c>
      <c r="C33" s="1">
        <v>10</v>
      </c>
      <c r="D33" s="1" t="b">
        <v>0</v>
      </c>
      <c r="E33" s="1">
        <v>0</v>
      </c>
      <c r="F33" s="1">
        <v>2</v>
      </c>
      <c r="G33" s="1">
        <v>0.18</v>
      </c>
      <c r="H33" s="1">
        <v>0.2424</v>
      </c>
      <c r="I33" s="1">
        <v>0.8</v>
      </c>
      <c r="J33" s="1">
        <v>0</v>
      </c>
      <c r="K33" s="1">
        <v>7</v>
      </c>
      <c r="L33" s="1">
        <v>57</v>
      </c>
      <c r="M33" s="1">
        <v>64</v>
      </c>
    </row>
    <row r="34" spans="1:13" x14ac:dyDescent="0.25">
      <c r="A34" s="1">
        <v>652</v>
      </c>
      <c r="B34" s="2">
        <v>40573</v>
      </c>
      <c r="C34" s="1">
        <v>11</v>
      </c>
      <c r="D34" s="1" t="b">
        <v>0</v>
      </c>
      <c r="E34" s="1">
        <v>0</v>
      </c>
      <c r="F34" s="1">
        <v>1</v>
      </c>
      <c r="G34" s="1">
        <v>0.22</v>
      </c>
      <c r="H34" s="1">
        <v>0.2727</v>
      </c>
      <c r="I34" s="1">
        <v>0.75</v>
      </c>
      <c r="J34" s="1">
        <v>0</v>
      </c>
      <c r="K34" s="1">
        <v>9</v>
      </c>
      <c r="L34" s="1">
        <v>50</v>
      </c>
      <c r="M34" s="1">
        <v>59</v>
      </c>
    </row>
    <row r="35" spans="1:13" x14ac:dyDescent="0.25">
      <c r="A35" s="1">
        <v>653</v>
      </c>
      <c r="B35" s="2">
        <v>40573</v>
      </c>
      <c r="C35" s="1">
        <v>12</v>
      </c>
      <c r="D35" s="1" t="b">
        <v>0</v>
      </c>
      <c r="E35" s="1">
        <v>0</v>
      </c>
      <c r="F35" s="1">
        <v>1</v>
      </c>
      <c r="G35" s="1">
        <v>0.3</v>
      </c>
      <c r="H35" s="1">
        <v>0.31819999999999998</v>
      </c>
      <c r="I35" s="1">
        <v>0.52</v>
      </c>
      <c r="J35" s="1">
        <v>0.1045</v>
      </c>
      <c r="K35" s="1">
        <v>10</v>
      </c>
      <c r="L35" s="1">
        <v>87</v>
      </c>
      <c r="M35" s="1">
        <v>97</v>
      </c>
    </row>
    <row r="36" spans="1:13" x14ac:dyDescent="0.25">
      <c r="A36" s="1">
        <v>654</v>
      </c>
      <c r="B36" s="2">
        <v>40573</v>
      </c>
      <c r="C36" s="1">
        <v>13</v>
      </c>
      <c r="D36" s="1" t="b">
        <v>0</v>
      </c>
      <c r="E36" s="1">
        <v>0</v>
      </c>
      <c r="F36" s="1">
        <v>1</v>
      </c>
      <c r="G36" s="1">
        <v>0.28000000000000003</v>
      </c>
      <c r="H36" s="1">
        <v>0.28789999999999999</v>
      </c>
      <c r="I36" s="1">
        <v>0.61</v>
      </c>
      <c r="J36" s="1">
        <v>0.1045</v>
      </c>
      <c r="K36" s="1">
        <v>13</v>
      </c>
      <c r="L36" s="1">
        <v>71</v>
      </c>
      <c r="M36" s="1">
        <v>84</v>
      </c>
    </row>
    <row r="37" spans="1:13" x14ac:dyDescent="0.25">
      <c r="A37" s="1">
        <v>655</v>
      </c>
      <c r="B37" s="2">
        <v>40573</v>
      </c>
      <c r="C37" s="1">
        <v>14</v>
      </c>
      <c r="D37" s="1" t="b">
        <v>0</v>
      </c>
      <c r="E37" s="1">
        <v>0</v>
      </c>
      <c r="F37" s="1">
        <v>1</v>
      </c>
      <c r="G37" s="1">
        <v>0.28000000000000003</v>
      </c>
      <c r="H37" s="1">
        <v>0.30299999999999999</v>
      </c>
      <c r="I37" s="1">
        <v>0.61</v>
      </c>
      <c r="J37" s="1">
        <v>8.9599999999999999E-2</v>
      </c>
      <c r="K37" s="1">
        <v>18</v>
      </c>
      <c r="L37" s="1">
        <v>104</v>
      </c>
      <c r="M37" s="1">
        <v>122</v>
      </c>
    </row>
    <row r="38" spans="1:13" x14ac:dyDescent="0.25">
      <c r="A38" s="1">
        <v>656</v>
      </c>
      <c r="B38" s="2">
        <v>40573</v>
      </c>
      <c r="C38" s="1">
        <v>15</v>
      </c>
      <c r="D38" s="1" t="b">
        <v>0</v>
      </c>
      <c r="E38" s="1">
        <v>0</v>
      </c>
      <c r="F38" s="1">
        <v>1</v>
      </c>
      <c r="G38" s="1">
        <v>0.3</v>
      </c>
      <c r="H38" s="1">
        <v>0.33329999999999999</v>
      </c>
      <c r="I38" s="1">
        <v>0.56000000000000005</v>
      </c>
      <c r="J38" s="1">
        <v>0</v>
      </c>
      <c r="K38" s="1">
        <v>14</v>
      </c>
      <c r="L38" s="1">
        <v>95</v>
      </c>
      <c r="M38" s="1">
        <v>109</v>
      </c>
    </row>
    <row r="39" spans="1:13" x14ac:dyDescent="0.25">
      <c r="A39" s="1">
        <v>657</v>
      </c>
      <c r="B39" s="2">
        <v>40573</v>
      </c>
      <c r="C39" s="1">
        <v>16</v>
      </c>
      <c r="D39" s="1" t="b">
        <v>0</v>
      </c>
      <c r="E39" s="1">
        <v>0</v>
      </c>
      <c r="F39" s="1">
        <v>1</v>
      </c>
      <c r="G39" s="1">
        <v>0.3</v>
      </c>
      <c r="H39" s="1">
        <v>0.33329999999999999</v>
      </c>
      <c r="I39" s="1">
        <v>0.56000000000000005</v>
      </c>
      <c r="J39" s="1">
        <v>0</v>
      </c>
      <c r="K39" s="1">
        <v>19</v>
      </c>
      <c r="L39" s="1">
        <v>104</v>
      </c>
      <c r="M39" s="1">
        <v>123</v>
      </c>
    </row>
    <row r="40" spans="1:13" x14ac:dyDescent="0.25">
      <c r="A40" s="1">
        <v>658</v>
      </c>
      <c r="B40" s="2">
        <v>40573</v>
      </c>
      <c r="C40" s="1">
        <v>17</v>
      </c>
      <c r="D40" s="1" t="b">
        <v>0</v>
      </c>
      <c r="E40" s="1">
        <v>0</v>
      </c>
      <c r="F40" s="1">
        <v>1</v>
      </c>
      <c r="G40" s="1">
        <v>0.3</v>
      </c>
      <c r="H40" s="1">
        <v>0.28789999999999999</v>
      </c>
      <c r="I40" s="1">
        <v>0.56000000000000005</v>
      </c>
      <c r="J40" s="1">
        <v>0.19400000000000001</v>
      </c>
      <c r="K40" s="1">
        <v>6</v>
      </c>
      <c r="L40" s="1">
        <v>71</v>
      </c>
      <c r="M40" s="1">
        <v>77</v>
      </c>
    </row>
    <row r="41" spans="1:13" x14ac:dyDescent="0.25">
      <c r="A41" s="1">
        <v>659</v>
      </c>
      <c r="B41" s="2">
        <v>40573</v>
      </c>
      <c r="C41" s="1">
        <v>18</v>
      </c>
      <c r="D41" s="1" t="b">
        <v>0</v>
      </c>
      <c r="E41" s="1">
        <v>0</v>
      </c>
      <c r="F41" s="1">
        <v>1</v>
      </c>
      <c r="G41" s="1">
        <v>0.26</v>
      </c>
      <c r="H41" s="1">
        <v>0.2576</v>
      </c>
      <c r="I41" s="1">
        <v>0.65</v>
      </c>
      <c r="J41" s="1">
        <v>0.16420000000000001</v>
      </c>
      <c r="K41" s="1">
        <v>8</v>
      </c>
      <c r="L41" s="1">
        <v>57</v>
      </c>
      <c r="M41" s="1">
        <v>65</v>
      </c>
    </row>
    <row r="42" spans="1:13" x14ac:dyDescent="0.25">
      <c r="A42" s="1">
        <v>660</v>
      </c>
      <c r="B42" s="2">
        <v>40573</v>
      </c>
      <c r="C42" s="1">
        <v>19</v>
      </c>
      <c r="D42" s="1" t="b">
        <v>0</v>
      </c>
      <c r="E42" s="1">
        <v>0</v>
      </c>
      <c r="F42" s="1">
        <v>1</v>
      </c>
      <c r="G42" s="1">
        <v>0.26</v>
      </c>
      <c r="H42" s="1">
        <v>0.2576</v>
      </c>
      <c r="I42" s="1">
        <v>0.65</v>
      </c>
      <c r="J42" s="1">
        <v>0.19400000000000001</v>
      </c>
      <c r="K42" s="1">
        <v>9</v>
      </c>
      <c r="L42" s="1">
        <v>46</v>
      </c>
      <c r="M42" s="1">
        <v>55</v>
      </c>
    </row>
    <row r="43" spans="1:13" x14ac:dyDescent="0.25">
      <c r="A43" s="1">
        <v>661</v>
      </c>
      <c r="B43" s="2">
        <v>40573</v>
      </c>
      <c r="C43" s="1">
        <v>20</v>
      </c>
      <c r="D43" s="1" t="b">
        <v>0</v>
      </c>
      <c r="E43" s="1">
        <v>0</v>
      </c>
      <c r="F43" s="1">
        <v>2</v>
      </c>
      <c r="G43" s="1">
        <v>0.26</v>
      </c>
      <c r="H43" s="1">
        <v>0.2727</v>
      </c>
      <c r="I43" s="1">
        <v>0.65</v>
      </c>
      <c r="J43" s="1">
        <v>0.1045</v>
      </c>
      <c r="K43" s="1">
        <v>3</v>
      </c>
      <c r="L43" s="1">
        <v>30</v>
      </c>
      <c r="M43" s="1">
        <v>33</v>
      </c>
    </row>
    <row r="44" spans="1:13" x14ac:dyDescent="0.25">
      <c r="A44" s="1">
        <v>662</v>
      </c>
      <c r="B44" s="2">
        <v>40573</v>
      </c>
      <c r="C44" s="1">
        <v>21</v>
      </c>
      <c r="D44" s="1" t="b">
        <v>0</v>
      </c>
      <c r="E44" s="1">
        <v>0</v>
      </c>
      <c r="F44" s="1">
        <v>2</v>
      </c>
      <c r="G44" s="1">
        <v>0.24</v>
      </c>
      <c r="H44" s="1">
        <v>0.2424</v>
      </c>
      <c r="I44" s="1">
        <v>0.7</v>
      </c>
      <c r="J44" s="1">
        <v>0.16420000000000001</v>
      </c>
      <c r="K44" s="1">
        <v>3</v>
      </c>
      <c r="L44" s="1">
        <v>25</v>
      </c>
      <c r="M44" s="1">
        <v>28</v>
      </c>
    </row>
    <row r="45" spans="1:13" x14ac:dyDescent="0.25">
      <c r="A45" s="1">
        <v>663</v>
      </c>
      <c r="B45" s="2">
        <v>40573</v>
      </c>
      <c r="C45" s="1">
        <v>22</v>
      </c>
      <c r="D45" s="1" t="b">
        <v>0</v>
      </c>
      <c r="E45" s="1">
        <v>0</v>
      </c>
      <c r="F45" s="1">
        <v>2</v>
      </c>
      <c r="G45" s="1">
        <v>0.24</v>
      </c>
      <c r="H45" s="1">
        <v>0.2273</v>
      </c>
      <c r="I45" s="1">
        <v>0.7</v>
      </c>
      <c r="J45" s="1">
        <v>0.19400000000000001</v>
      </c>
      <c r="K45" s="1">
        <v>2</v>
      </c>
      <c r="L45" s="1">
        <v>19</v>
      </c>
      <c r="M45" s="1">
        <v>21</v>
      </c>
    </row>
    <row r="46" spans="1:13" x14ac:dyDescent="0.25">
      <c r="A46" s="1">
        <v>664</v>
      </c>
      <c r="B46" s="2">
        <v>40573</v>
      </c>
      <c r="C46" s="1">
        <v>23</v>
      </c>
      <c r="D46" s="1" t="b">
        <v>0</v>
      </c>
      <c r="E46" s="1">
        <v>0</v>
      </c>
      <c r="F46" s="1">
        <v>2</v>
      </c>
      <c r="G46" s="1">
        <v>0.24</v>
      </c>
      <c r="H46" s="1">
        <v>0.21210000000000001</v>
      </c>
      <c r="I46" s="1">
        <v>0.65</v>
      </c>
      <c r="J46" s="1">
        <v>0.28360000000000002</v>
      </c>
      <c r="K46" s="1">
        <v>5</v>
      </c>
      <c r="L46" s="1">
        <v>16</v>
      </c>
      <c r="M46" s="1">
        <v>21</v>
      </c>
    </row>
    <row r="47" spans="1:13" x14ac:dyDescent="0.25">
      <c r="A47" s="1">
        <v>665</v>
      </c>
      <c r="B47" s="2">
        <v>40574</v>
      </c>
      <c r="C47" s="1">
        <v>0</v>
      </c>
      <c r="D47" s="1" t="b">
        <v>0</v>
      </c>
      <c r="E47" s="1">
        <v>1</v>
      </c>
      <c r="F47" s="1">
        <v>2</v>
      </c>
      <c r="G47" s="1">
        <v>0.24</v>
      </c>
      <c r="H47" s="1">
        <v>0.2273</v>
      </c>
      <c r="I47" s="1">
        <v>0.65</v>
      </c>
      <c r="J47" s="1">
        <v>0.22389999999999999</v>
      </c>
      <c r="K47" s="1">
        <v>1</v>
      </c>
      <c r="L47" s="1">
        <v>6</v>
      </c>
      <c r="M47" s="1">
        <v>7</v>
      </c>
    </row>
    <row r="48" spans="1:13" x14ac:dyDescent="0.25">
      <c r="A48" s="1">
        <v>666</v>
      </c>
      <c r="B48" s="2">
        <v>40574</v>
      </c>
      <c r="C48" s="1">
        <v>1</v>
      </c>
      <c r="D48" s="1" t="b">
        <v>0</v>
      </c>
      <c r="E48" s="1">
        <v>1</v>
      </c>
      <c r="F48" s="1">
        <v>1</v>
      </c>
      <c r="G48" s="1">
        <v>0.22</v>
      </c>
      <c r="H48" s="1">
        <v>0.21210000000000001</v>
      </c>
      <c r="I48" s="1">
        <v>0.64</v>
      </c>
      <c r="J48" s="1">
        <v>0.25369999999999998</v>
      </c>
      <c r="K48" s="1">
        <v>2</v>
      </c>
      <c r="L48" s="1">
        <v>5</v>
      </c>
      <c r="M48" s="1">
        <v>7</v>
      </c>
    </row>
    <row r="49" spans="1:13" x14ac:dyDescent="0.25">
      <c r="A49" s="1">
        <v>667</v>
      </c>
      <c r="B49" s="2">
        <v>40574</v>
      </c>
      <c r="C49" s="1">
        <v>2</v>
      </c>
      <c r="D49" s="1" t="b">
        <v>0</v>
      </c>
      <c r="E49" s="1">
        <v>1</v>
      </c>
      <c r="F49" s="1">
        <v>1</v>
      </c>
      <c r="G49" s="1">
        <v>0.22</v>
      </c>
      <c r="H49" s="1">
        <v>0.2273</v>
      </c>
      <c r="I49" s="1">
        <v>0.64</v>
      </c>
      <c r="J49" s="1">
        <v>0.19400000000000001</v>
      </c>
      <c r="K49" s="1">
        <v>0</v>
      </c>
      <c r="L49" s="1">
        <v>1</v>
      </c>
      <c r="M49" s="1">
        <v>1</v>
      </c>
    </row>
    <row r="50" spans="1:13" x14ac:dyDescent="0.25">
      <c r="A50" s="1">
        <v>668</v>
      </c>
      <c r="B50" s="2">
        <v>40574</v>
      </c>
      <c r="C50" s="1">
        <v>3</v>
      </c>
      <c r="D50" s="1" t="b">
        <v>0</v>
      </c>
      <c r="E50" s="1">
        <v>1</v>
      </c>
      <c r="F50" s="1">
        <v>1</v>
      </c>
      <c r="G50" s="1">
        <v>0.22</v>
      </c>
      <c r="H50" s="1">
        <v>0.2273</v>
      </c>
      <c r="I50" s="1">
        <v>0.64</v>
      </c>
      <c r="J50" s="1">
        <v>0.19400000000000001</v>
      </c>
      <c r="K50" s="1">
        <v>0</v>
      </c>
      <c r="L50" s="1">
        <v>2</v>
      </c>
      <c r="M50" s="1">
        <v>2</v>
      </c>
    </row>
    <row r="51" spans="1:13" x14ac:dyDescent="0.25">
      <c r="A51" s="1">
        <v>669</v>
      </c>
      <c r="B51" s="2">
        <v>40574</v>
      </c>
      <c r="C51" s="1">
        <v>4</v>
      </c>
      <c r="D51" s="1" t="b">
        <v>0</v>
      </c>
      <c r="E51" s="1">
        <v>1</v>
      </c>
      <c r="F51" s="1">
        <v>1</v>
      </c>
      <c r="G51" s="1">
        <v>0.2</v>
      </c>
      <c r="H51" s="1">
        <v>0.19700000000000001</v>
      </c>
      <c r="I51" s="1">
        <v>0.59</v>
      </c>
      <c r="J51" s="1">
        <v>0.22389999999999999</v>
      </c>
      <c r="K51" s="1">
        <v>0</v>
      </c>
      <c r="L51" s="1">
        <v>2</v>
      </c>
      <c r="M51" s="1">
        <v>2</v>
      </c>
    </row>
    <row r="52" spans="1:13" x14ac:dyDescent="0.25">
      <c r="A52" s="1">
        <v>670</v>
      </c>
      <c r="B52" s="2">
        <v>40574</v>
      </c>
      <c r="C52" s="1">
        <v>5</v>
      </c>
      <c r="D52" s="1" t="b">
        <v>0</v>
      </c>
      <c r="E52" s="1">
        <v>1</v>
      </c>
      <c r="F52" s="1">
        <v>1</v>
      </c>
      <c r="G52" s="1">
        <v>0.18</v>
      </c>
      <c r="H52" s="1">
        <v>0.16669999999999999</v>
      </c>
      <c r="I52" s="1">
        <v>0.64</v>
      </c>
      <c r="J52" s="1">
        <v>0.28360000000000002</v>
      </c>
      <c r="K52" s="1">
        <v>0</v>
      </c>
      <c r="L52" s="1">
        <v>8</v>
      </c>
      <c r="M52" s="1">
        <v>8</v>
      </c>
    </row>
    <row r="53" spans="1:13" x14ac:dyDescent="0.25">
      <c r="A53" s="1">
        <v>671</v>
      </c>
      <c r="B53" s="2">
        <v>40574</v>
      </c>
      <c r="C53" s="1">
        <v>6</v>
      </c>
      <c r="D53" s="1" t="b">
        <v>0</v>
      </c>
      <c r="E53" s="1">
        <v>1</v>
      </c>
      <c r="F53" s="1">
        <v>1</v>
      </c>
      <c r="G53" s="1">
        <v>0.16</v>
      </c>
      <c r="H53" s="1">
        <v>0.13639999999999999</v>
      </c>
      <c r="I53" s="1">
        <v>0.69</v>
      </c>
      <c r="J53" s="1">
        <v>0.32840000000000003</v>
      </c>
      <c r="K53" s="1">
        <v>0</v>
      </c>
      <c r="L53" s="1">
        <v>37</v>
      </c>
      <c r="M53" s="1">
        <v>37</v>
      </c>
    </row>
    <row r="54" spans="1:13" x14ac:dyDescent="0.25">
      <c r="A54" s="1">
        <v>672</v>
      </c>
      <c r="B54" s="2">
        <v>40574</v>
      </c>
      <c r="C54" s="1">
        <v>7</v>
      </c>
      <c r="D54" s="1" t="b">
        <v>0</v>
      </c>
      <c r="E54" s="1">
        <v>1</v>
      </c>
      <c r="F54" s="1">
        <v>2</v>
      </c>
      <c r="G54" s="1">
        <v>0.16</v>
      </c>
      <c r="H54" s="1">
        <v>0.13639999999999999</v>
      </c>
      <c r="I54" s="1">
        <v>0.64</v>
      </c>
      <c r="J54" s="1">
        <v>0.28360000000000002</v>
      </c>
      <c r="K54" s="1">
        <v>1</v>
      </c>
      <c r="L54" s="1">
        <v>71</v>
      </c>
      <c r="M54" s="1">
        <v>72</v>
      </c>
    </row>
    <row r="55" spans="1:13" x14ac:dyDescent="0.25">
      <c r="A55" s="1">
        <v>673</v>
      </c>
      <c r="B55" s="2">
        <v>40574</v>
      </c>
      <c r="C55" s="1">
        <v>8</v>
      </c>
      <c r="D55" s="1" t="b">
        <v>0</v>
      </c>
      <c r="E55" s="1">
        <v>1</v>
      </c>
      <c r="F55" s="1">
        <v>2</v>
      </c>
      <c r="G55" s="1">
        <v>0.16</v>
      </c>
      <c r="H55" s="1">
        <v>0.13639999999999999</v>
      </c>
      <c r="I55" s="1">
        <v>0.59</v>
      </c>
      <c r="J55" s="1">
        <v>0.28360000000000002</v>
      </c>
      <c r="K55" s="1">
        <v>3</v>
      </c>
      <c r="L55" s="1">
        <v>182</v>
      </c>
      <c r="M55" s="1">
        <v>185</v>
      </c>
    </row>
    <row r="56" spans="1:13" x14ac:dyDescent="0.25">
      <c r="A56" s="1">
        <v>674</v>
      </c>
      <c r="B56" s="2">
        <v>40574</v>
      </c>
      <c r="C56" s="1">
        <v>9</v>
      </c>
      <c r="D56" s="1" t="b">
        <v>0</v>
      </c>
      <c r="E56" s="1">
        <v>1</v>
      </c>
      <c r="F56" s="1">
        <v>2</v>
      </c>
      <c r="G56" s="1">
        <v>0.16</v>
      </c>
      <c r="H56" s="1">
        <v>0.13639999999999999</v>
      </c>
      <c r="I56" s="1">
        <v>0.59</v>
      </c>
      <c r="J56" s="1">
        <v>0.29849999999999999</v>
      </c>
      <c r="K56" s="1">
        <v>0</v>
      </c>
      <c r="L56" s="1">
        <v>112</v>
      </c>
      <c r="M56" s="1">
        <v>112</v>
      </c>
    </row>
    <row r="57" spans="1:13" x14ac:dyDescent="0.25">
      <c r="A57" s="1">
        <v>675</v>
      </c>
      <c r="B57" s="2">
        <v>40574</v>
      </c>
      <c r="C57" s="1">
        <v>10</v>
      </c>
      <c r="D57" s="1" t="b">
        <v>0</v>
      </c>
      <c r="E57" s="1">
        <v>1</v>
      </c>
      <c r="F57" s="1">
        <v>2</v>
      </c>
      <c r="G57" s="1">
        <v>0.16</v>
      </c>
      <c r="H57" s="1">
        <v>0.1515</v>
      </c>
      <c r="I57" s="1">
        <v>0.59</v>
      </c>
      <c r="J57" s="1">
        <v>0.19400000000000001</v>
      </c>
      <c r="K57" s="1">
        <v>1</v>
      </c>
      <c r="L57" s="1">
        <v>68</v>
      </c>
      <c r="M57" s="1">
        <v>69</v>
      </c>
    </row>
    <row r="58" spans="1:13" x14ac:dyDescent="0.25">
      <c r="A58" s="1">
        <v>676</v>
      </c>
      <c r="B58" s="2">
        <v>40574</v>
      </c>
      <c r="C58" s="1">
        <v>11</v>
      </c>
      <c r="D58" s="1" t="b">
        <v>0</v>
      </c>
      <c r="E58" s="1">
        <v>1</v>
      </c>
      <c r="F58" s="1">
        <v>2</v>
      </c>
      <c r="G58" s="1">
        <v>0.16</v>
      </c>
      <c r="H58" s="1">
        <v>0.1515</v>
      </c>
      <c r="I58" s="1">
        <v>0.59</v>
      </c>
      <c r="J58" s="1">
        <v>0.19400000000000001</v>
      </c>
      <c r="K58" s="1">
        <v>2</v>
      </c>
      <c r="L58" s="1">
        <v>46</v>
      </c>
      <c r="M58" s="1">
        <v>48</v>
      </c>
    </row>
    <row r="59" spans="1:13" x14ac:dyDescent="0.25">
      <c r="A59" s="1">
        <v>677</v>
      </c>
      <c r="B59" s="2">
        <v>40574</v>
      </c>
      <c r="C59" s="1">
        <v>12</v>
      </c>
      <c r="D59" s="1" t="b">
        <v>0</v>
      </c>
      <c r="E59" s="1">
        <v>1</v>
      </c>
      <c r="F59" s="1">
        <v>2</v>
      </c>
      <c r="G59" s="1">
        <v>0.18</v>
      </c>
      <c r="H59" s="1">
        <v>0.21210000000000001</v>
      </c>
      <c r="I59" s="1">
        <v>0.55000000000000004</v>
      </c>
      <c r="J59" s="1">
        <v>0.1045</v>
      </c>
      <c r="K59" s="1">
        <v>6</v>
      </c>
      <c r="L59" s="1">
        <v>62</v>
      </c>
      <c r="M59" s="1">
        <v>68</v>
      </c>
    </row>
    <row r="60" spans="1:13" x14ac:dyDescent="0.25">
      <c r="A60" s="1">
        <v>678</v>
      </c>
      <c r="B60" s="2">
        <v>40574</v>
      </c>
      <c r="C60" s="1">
        <v>13</v>
      </c>
      <c r="D60" s="1" t="b">
        <v>0</v>
      </c>
      <c r="E60" s="1">
        <v>1</v>
      </c>
      <c r="F60" s="1">
        <v>2</v>
      </c>
      <c r="G60" s="1">
        <v>0.16</v>
      </c>
      <c r="H60" s="1">
        <v>0.2273</v>
      </c>
      <c r="I60" s="1">
        <v>0.59</v>
      </c>
      <c r="J60" s="1">
        <v>0</v>
      </c>
      <c r="K60" s="1">
        <v>2</v>
      </c>
      <c r="L60" s="1">
        <v>52</v>
      </c>
      <c r="M60" s="1">
        <v>54</v>
      </c>
    </row>
    <row r="61" spans="1:13" x14ac:dyDescent="0.25">
      <c r="A61" s="1">
        <v>679</v>
      </c>
      <c r="B61" s="2">
        <v>40574</v>
      </c>
      <c r="C61" s="1">
        <v>14</v>
      </c>
      <c r="D61" s="1" t="b">
        <v>0</v>
      </c>
      <c r="E61" s="1">
        <v>1</v>
      </c>
      <c r="F61" s="1">
        <v>2</v>
      </c>
      <c r="G61" s="1">
        <v>0.18</v>
      </c>
      <c r="H61" s="1">
        <v>0.19700000000000001</v>
      </c>
      <c r="I61" s="1">
        <v>0.55000000000000004</v>
      </c>
      <c r="J61" s="1">
        <v>0.1343</v>
      </c>
      <c r="K61" s="1">
        <v>1</v>
      </c>
      <c r="L61" s="1">
        <v>85</v>
      </c>
      <c r="M61" s="1">
        <v>86</v>
      </c>
    </row>
    <row r="62" spans="1:13" x14ac:dyDescent="0.25">
      <c r="A62" s="1">
        <v>680</v>
      </c>
      <c r="B62" s="2">
        <v>40574</v>
      </c>
      <c r="C62" s="1">
        <v>15</v>
      </c>
      <c r="D62" s="1" t="b">
        <v>0</v>
      </c>
      <c r="E62" s="1">
        <v>1</v>
      </c>
      <c r="F62" s="1">
        <v>2</v>
      </c>
      <c r="G62" s="1">
        <v>0.16</v>
      </c>
      <c r="H62" s="1">
        <v>0.18179999999999999</v>
      </c>
      <c r="I62" s="1">
        <v>0.59</v>
      </c>
      <c r="J62" s="1">
        <v>0.1343</v>
      </c>
      <c r="K62" s="1">
        <v>3</v>
      </c>
      <c r="L62" s="1">
        <v>41</v>
      </c>
      <c r="M62" s="1">
        <v>44</v>
      </c>
    </row>
    <row r="63" spans="1:13" x14ac:dyDescent="0.25">
      <c r="A63" s="1">
        <v>681</v>
      </c>
      <c r="B63" s="2">
        <v>40574</v>
      </c>
      <c r="C63" s="1">
        <v>16</v>
      </c>
      <c r="D63" s="1" t="b">
        <v>0</v>
      </c>
      <c r="E63" s="1">
        <v>1</v>
      </c>
      <c r="F63" s="1">
        <v>2</v>
      </c>
      <c r="G63" s="1">
        <v>0.16</v>
      </c>
      <c r="H63" s="1">
        <v>0.18179999999999999</v>
      </c>
      <c r="I63" s="1">
        <v>0.56000000000000005</v>
      </c>
      <c r="J63" s="1">
        <v>0.19400000000000001</v>
      </c>
      <c r="K63" s="1">
        <v>3</v>
      </c>
      <c r="L63" s="1">
        <v>83</v>
      </c>
      <c r="M63" s="1">
        <v>86</v>
      </c>
    </row>
    <row r="64" spans="1:13" x14ac:dyDescent="0.25">
      <c r="A64" s="1">
        <v>682</v>
      </c>
      <c r="B64" s="2">
        <v>40574</v>
      </c>
      <c r="C64" s="1">
        <v>17</v>
      </c>
      <c r="D64" s="1" t="b">
        <v>0</v>
      </c>
      <c r="E64" s="1">
        <v>1</v>
      </c>
      <c r="F64" s="1">
        <v>2</v>
      </c>
      <c r="G64" s="1">
        <v>0.16</v>
      </c>
      <c r="H64" s="1">
        <v>0.1515</v>
      </c>
      <c r="I64" s="1">
        <v>0.59</v>
      </c>
      <c r="J64" s="1">
        <v>0.19400000000000001</v>
      </c>
      <c r="K64" s="1">
        <v>6</v>
      </c>
      <c r="L64" s="1">
        <v>155</v>
      </c>
      <c r="M64" s="1">
        <v>161</v>
      </c>
    </row>
    <row r="65" spans="1:13" x14ac:dyDescent="0.25">
      <c r="A65" s="1">
        <v>683</v>
      </c>
      <c r="B65" s="2">
        <v>40574</v>
      </c>
      <c r="C65" s="1">
        <v>18</v>
      </c>
      <c r="D65" s="1" t="b">
        <v>0</v>
      </c>
      <c r="E65" s="1">
        <v>1</v>
      </c>
      <c r="F65" s="1">
        <v>2</v>
      </c>
      <c r="G65" s="1">
        <v>0.16</v>
      </c>
      <c r="H65" s="1">
        <v>0.1515</v>
      </c>
      <c r="I65" s="1">
        <v>0.55000000000000004</v>
      </c>
      <c r="J65" s="1">
        <v>0.22389999999999999</v>
      </c>
      <c r="K65" s="1">
        <v>3</v>
      </c>
      <c r="L65" s="1">
        <v>153</v>
      </c>
      <c r="M65" s="1">
        <v>156</v>
      </c>
    </row>
    <row r="66" spans="1:13" x14ac:dyDescent="0.25">
      <c r="A66" s="1">
        <v>684</v>
      </c>
      <c r="B66" s="2">
        <v>40574</v>
      </c>
      <c r="C66" s="1">
        <v>19</v>
      </c>
      <c r="D66" s="1" t="b">
        <v>0</v>
      </c>
      <c r="E66" s="1">
        <v>1</v>
      </c>
      <c r="F66" s="1">
        <v>1</v>
      </c>
      <c r="G66" s="1">
        <v>0.3</v>
      </c>
      <c r="H66" s="1">
        <v>0.31819999999999998</v>
      </c>
      <c r="I66" s="1">
        <v>0.61</v>
      </c>
      <c r="J66" s="1">
        <v>0.1045</v>
      </c>
      <c r="K66" s="1">
        <v>3</v>
      </c>
      <c r="L66" s="1">
        <v>108</v>
      </c>
      <c r="M66" s="1">
        <v>111</v>
      </c>
    </row>
    <row r="67" spans="1:13" x14ac:dyDescent="0.25">
      <c r="A67" s="1">
        <v>685</v>
      </c>
      <c r="B67" s="2">
        <v>40574</v>
      </c>
      <c r="C67" s="1">
        <v>20</v>
      </c>
      <c r="D67" s="1" t="b">
        <v>0</v>
      </c>
      <c r="E67" s="1">
        <v>1</v>
      </c>
      <c r="F67" s="1">
        <v>3</v>
      </c>
      <c r="G67" s="1">
        <v>0.16</v>
      </c>
      <c r="H67" s="1">
        <v>0.16669999999999999</v>
      </c>
      <c r="I67" s="1">
        <v>0.59</v>
      </c>
      <c r="J67" s="1">
        <v>0.16420000000000001</v>
      </c>
      <c r="K67" s="1">
        <v>0</v>
      </c>
      <c r="L67" s="1">
        <v>78</v>
      </c>
      <c r="M67" s="1">
        <v>78</v>
      </c>
    </row>
    <row r="68" spans="1:13" x14ac:dyDescent="0.25">
      <c r="A68" s="1">
        <v>686</v>
      </c>
      <c r="B68" s="2">
        <v>40574</v>
      </c>
      <c r="C68" s="1">
        <v>21</v>
      </c>
      <c r="D68" s="1" t="b">
        <v>0</v>
      </c>
      <c r="E68" s="1">
        <v>1</v>
      </c>
      <c r="F68" s="1">
        <v>3</v>
      </c>
      <c r="G68" s="1">
        <v>0.16</v>
      </c>
      <c r="H68" s="1">
        <v>0.19700000000000001</v>
      </c>
      <c r="I68" s="1">
        <v>0.59</v>
      </c>
      <c r="J68" s="1">
        <v>8.9599999999999999E-2</v>
      </c>
      <c r="K68" s="1">
        <v>3</v>
      </c>
      <c r="L68" s="1">
        <v>53</v>
      </c>
      <c r="M68" s="1">
        <v>56</v>
      </c>
    </row>
    <row r="69" spans="1:13" x14ac:dyDescent="0.25">
      <c r="A69" s="1">
        <v>687</v>
      </c>
      <c r="B69" s="2">
        <v>40574</v>
      </c>
      <c r="C69" s="1">
        <v>22</v>
      </c>
      <c r="D69" s="1" t="b">
        <v>0</v>
      </c>
      <c r="E69" s="1">
        <v>1</v>
      </c>
      <c r="F69" s="1">
        <v>2</v>
      </c>
      <c r="G69" s="1">
        <v>0.16</v>
      </c>
      <c r="H69" s="1">
        <v>0.18179999999999999</v>
      </c>
      <c r="I69" s="1">
        <v>0.59</v>
      </c>
      <c r="J69" s="1">
        <v>0.1045</v>
      </c>
      <c r="K69" s="1">
        <v>0</v>
      </c>
      <c r="L69" s="1">
        <v>34</v>
      </c>
      <c r="M69" s="1">
        <v>34</v>
      </c>
    </row>
    <row r="70" spans="1:13" x14ac:dyDescent="0.25">
      <c r="A70" s="1">
        <v>688</v>
      </c>
      <c r="B70" s="2">
        <v>40574</v>
      </c>
      <c r="C70" s="1">
        <v>23</v>
      </c>
      <c r="D70" s="1" t="b">
        <v>0</v>
      </c>
      <c r="E70" s="1">
        <v>1</v>
      </c>
      <c r="F70" s="1">
        <v>2</v>
      </c>
      <c r="G70" s="1">
        <v>0.16</v>
      </c>
      <c r="H70" s="1">
        <v>0.19700000000000001</v>
      </c>
      <c r="I70" s="1">
        <v>0.64</v>
      </c>
      <c r="J70" s="1">
        <v>8.9599999999999999E-2</v>
      </c>
      <c r="K70" s="1">
        <v>2</v>
      </c>
      <c r="L70" s="1">
        <v>15</v>
      </c>
      <c r="M70" s="1">
        <v>17</v>
      </c>
    </row>
    <row r="71" spans="1:13" x14ac:dyDescent="0.25">
      <c r="A71" s="1">
        <v>689</v>
      </c>
      <c r="B71" s="2">
        <v>40575</v>
      </c>
      <c r="C71" s="1">
        <v>0</v>
      </c>
      <c r="D71" s="1" t="b">
        <v>0</v>
      </c>
      <c r="E71" s="1">
        <v>2</v>
      </c>
      <c r="F71" s="1">
        <v>2</v>
      </c>
      <c r="G71" s="1">
        <v>0.16</v>
      </c>
      <c r="H71" s="1">
        <v>0.18179999999999999</v>
      </c>
      <c r="I71" s="1">
        <v>0.64</v>
      </c>
      <c r="J71" s="1">
        <v>0.1045</v>
      </c>
      <c r="K71" s="1">
        <v>2</v>
      </c>
      <c r="L71" s="1">
        <v>6</v>
      </c>
      <c r="M71" s="1">
        <v>8</v>
      </c>
    </row>
    <row r="72" spans="1:13" x14ac:dyDescent="0.25">
      <c r="A72" s="1">
        <v>690</v>
      </c>
      <c r="B72" s="2">
        <v>40575</v>
      </c>
      <c r="C72" s="1">
        <v>1</v>
      </c>
      <c r="D72" s="1" t="b">
        <v>0</v>
      </c>
      <c r="E72" s="1">
        <v>2</v>
      </c>
      <c r="F72" s="1">
        <v>2</v>
      </c>
      <c r="G72" s="1">
        <v>0.16</v>
      </c>
      <c r="H72" s="1">
        <v>0.18179999999999999</v>
      </c>
      <c r="I72" s="1">
        <v>0.69</v>
      </c>
      <c r="J72" s="1">
        <v>0.1045</v>
      </c>
      <c r="K72" s="1">
        <v>0</v>
      </c>
      <c r="L72" s="1">
        <v>3</v>
      </c>
      <c r="M72" s="1">
        <v>3</v>
      </c>
    </row>
    <row r="73" spans="1:13" x14ac:dyDescent="0.25">
      <c r="A73" s="1">
        <v>691</v>
      </c>
      <c r="B73" s="2">
        <v>40575</v>
      </c>
      <c r="C73" s="1">
        <v>2</v>
      </c>
      <c r="D73" s="1" t="b">
        <v>0</v>
      </c>
      <c r="E73" s="1">
        <v>2</v>
      </c>
      <c r="F73" s="1">
        <v>2</v>
      </c>
      <c r="G73" s="1">
        <v>0.16</v>
      </c>
      <c r="H73" s="1">
        <v>0.2273</v>
      </c>
      <c r="I73" s="1">
        <v>0.69</v>
      </c>
      <c r="J73" s="1">
        <v>0</v>
      </c>
      <c r="K73" s="1">
        <v>0</v>
      </c>
      <c r="L73" s="1">
        <v>2</v>
      </c>
      <c r="M73" s="1">
        <v>2</v>
      </c>
    </row>
    <row r="74" spans="1:13" x14ac:dyDescent="0.25">
      <c r="A74" s="1">
        <v>692</v>
      </c>
      <c r="B74" s="2">
        <v>40575</v>
      </c>
      <c r="C74" s="1">
        <v>3</v>
      </c>
      <c r="D74" s="1" t="b">
        <v>0</v>
      </c>
      <c r="E74" s="1">
        <v>2</v>
      </c>
      <c r="F74" s="1">
        <v>2</v>
      </c>
      <c r="G74" s="1">
        <v>0.16</v>
      </c>
      <c r="H74" s="1">
        <v>0.2273</v>
      </c>
      <c r="I74" s="1">
        <v>0.69</v>
      </c>
      <c r="J74" s="1">
        <v>0</v>
      </c>
      <c r="K74" s="1">
        <v>0</v>
      </c>
      <c r="L74" s="1">
        <v>2</v>
      </c>
      <c r="M74" s="1">
        <v>2</v>
      </c>
    </row>
    <row r="75" spans="1:13" x14ac:dyDescent="0.25">
      <c r="A75" s="1">
        <v>693</v>
      </c>
      <c r="B75" s="2">
        <v>40575</v>
      </c>
      <c r="C75" s="1">
        <v>5</v>
      </c>
      <c r="D75" s="1" t="b">
        <v>0</v>
      </c>
      <c r="E75" s="1">
        <v>2</v>
      </c>
      <c r="F75" s="1">
        <v>3</v>
      </c>
      <c r="G75" s="1">
        <v>0.14000000000000001</v>
      </c>
      <c r="H75" s="1">
        <v>0.21210000000000001</v>
      </c>
      <c r="I75" s="1">
        <v>0.93</v>
      </c>
      <c r="J75" s="1">
        <v>0</v>
      </c>
      <c r="K75" s="1">
        <v>0</v>
      </c>
      <c r="L75" s="1">
        <v>3</v>
      </c>
      <c r="M75" s="1">
        <v>3</v>
      </c>
    </row>
    <row r="76" spans="1:13" x14ac:dyDescent="0.25">
      <c r="A76" s="1">
        <v>694</v>
      </c>
      <c r="B76" s="2">
        <v>40575</v>
      </c>
      <c r="C76" s="1">
        <v>6</v>
      </c>
      <c r="D76" s="1" t="b">
        <v>0</v>
      </c>
      <c r="E76" s="1">
        <v>2</v>
      </c>
      <c r="F76" s="1">
        <v>3</v>
      </c>
      <c r="G76" s="1">
        <v>0.14000000000000001</v>
      </c>
      <c r="H76" s="1">
        <v>0.21210000000000001</v>
      </c>
      <c r="I76" s="1">
        <v>0.93</v>
      </c>
      <c r="J76" s="1">
        <v>0</v>
      </c>
      <c r="K76" s="1">
        <v>0</v>
      </c>
      <c r="L76" s="1">
        <v>22</v>
      </c>
      <c r="M76" s="1">
        <v>22</v>
      </c>
    </row>
    <row r="77" spans="1:13" x14ac:dyDescent="0.25">
      <c r="A77" s="1">
        <v>695</v>
      </c>
      <c r="B77" s="2">
        <v>40575</v>
      </c>
      <c r="C77" s="1">
        <v>7</v>
      </c>
      <c r="D77" s="1" t="b">
        <v>0</v>
      </c>
      <c r="E77" s="1">
        <v>2</v>
      </c>
      <c r="F77" s="1">
        <v>3</v>
      </c>
      <c r="G77" s="1">
        <v>0.16</v>
      </c>
      <c r="H77" s="1">
        <v>0.2273</v>
      </c>
      <c r="I77" s="1">
        <v>0.93</v>
      </c>
      <c r="J77" s="1">
        <v>0</v>
      </c>
      <c r="K77" s="1">
        <v>0</v>
      </c>
      <c r="L77" s="1">
        <v>52</v>
      </c>
      <c r="M77" s="1">
        <v>52</v>
      </c>
    </row>
    <row r="78" spans="1:13" x14ac:dyDescent="0.25">
      <c r="A78" s="1">
        <v>696</v>
      </c>
      <c r="B78" s="2">
        <v>40575</v>
      </c>
      <c r="C78" s="1">
        <v>8</v>
      </c>
      <c r="D78" s="1" t="b">
        <v>0</v>
      </c>
      <c r="E78" s="1">
        <v>2</v>
      </c>
      <c r="F78" s="1">
        <v>3</v>
      </c>
      <c r="G78" s="1">
        <v>0.16</v>
      </c>
      <c r="H78" s="1">
        <v>0.2273</v>
      </c>
      <c r="I78" s="1">
        <v>0.93</v>
      </c>
      <c r="J78" s="1">
        <v>0</v>
      </c>
      <c r="K78" s="1">
        <v>3</v>
      </c>
      <c r="L78" s="1">
        <v>132</v>
      </c>
      <c r="M78" s="1">
        <v>135</v>
      </c>
    </row>
    <row r="79" spans="1:13" x14ac:dyDescent="0.25">
      <c r="A79" s="1">
        <v>697</v>
      </c>
      <c r="B79" s="2">
        <v>40575</v>
      </c>
      <c r="C79" s="1">
        <v>9</v>
      </c>
      <c r="D79" s="1" t="b">
        <v>0</v>
      </c>
      <c r="E79" s="1">
        <v>2</v>
      </c>
      <c r="F79" s="1">
        <v>2</v>
      </c>
      <c r="G79" s="1">
        <v>0.16</v>
      </c>
      <c r="H79" s="1">
        <v>0.2273</v>
      </c>
      <c r="I79" s="1">
        <v>0.93</v>
      </c>
      <c r="J79" s="1">
        <v>0</v>
      </c>
      <c r="K79" s="1">
        <v>2</v>
      </c>
      <c r="L79" s="1">
        <v>114</v>
      </c>
      <c r="M79" s="1">
        <v>116</v>
      </c>
    </row>
    <row r="80" spans="1:13" x14ac:dyDescent="0.25">
      <c r="A80" s="1">
        <v>698</v>
      </c>
      <c r="B80" s="2">
        <v>40575</v>
      </c>
      <c r="C80" s="1">
        <v>10</v>
      </c>
      <c r="D80" s="1" t="b">
        <v>0</v>
      </c>
      <c r="E80" s="1">
        <v>2</v>
      </c>
      <c r="F80" s="1">
        <v>2</v>
      </c>
      <c r="G80" s="1">
        <v>0.16</v>
      </c>
      <c r="H80" s="1">
        <v>0.2273</v>
      </c>
      <c r="I80" s="1">
        <v>0.93</v>
      </c>
      <c r="J80" s="1">
        <v>0</v>
      </c>
      <c r="K80" s="1">
        <v>0</v>
      </c>
      <c r="L80" s="1">
        <v>47</v>
      </c>
      <c r="M80" s="1">
        <v>47</v>
      </c>
    </row>
    <row r="81" spans="1:13" x14ac:dyDescent="0.25">
      <c r="A81" s="1">
        <v>699</v>
      </c>
      <c r="B81" s="2">
        <v>40575</v>
      </c>
      <c r="C81" s="1">
        <v>11</v>
      </c>
      <c r="D81" s="1" t="b">
        <v>0</v>
      </c>
      <c r="E81" s="1">
        <v>2</v>
      </c>
      <c r="F81" s="1">
        <v>2</v>
      </c>
      <c r="G81" s="1">
        <v>0.18</v>
      </c>
      <c r="H81" s="1">
        <v>0.2424</v>
      </c>
      <c r="I81" s="1">
        <v>0.86</v>
      </c>
      <c r="J81" s="1">
        <v>0</v>
      </c>
      <c r="K81" s="1">
        <v>2</v>
      </c>
      <c r="L81" s="1">
        <v>49</v>
      </c>
      <c r="M81" s="1">
        <v>51</v>
      </c>
    </row>
    <row r="82" spans="1:13" x14ac:dyDescent="0.25">
      <c r="A82" s="1">
        <v>700</v>
      </c>
      <c r="B82" s="2">
        <v>40575</v>
      </c>
      <c r="C82" s="1">
        <v>12</v>
      </c>
      <c r="D82" s="1" t="b">
        <v>0</v>
      </c>
      <c r="E82" s="1">
        <v>2</v>
      </c>
      <c r="F82" s="1">
        <v>2</v>
      </c>
      <c r="G82" s="1">
        <v>0.2</v>
      </c>
      <c r="H82" s="1">
        <v>0.2576</v>
      </c>
      <c r="I82" s="1">
        <v>0.86</v>
      </c>
      <c r="J82" s="1">
        <v>0</v>
      </c>
      <c r="K82" s="1">
        <v>2</v>
      </c>
      <c r="L82" s="1">
        <v>53</v>
      </c>
      <c r="M82" s="1">
        <v>55</v>
      </c>
    </row>
    <row r="83" spans="1:13" x14ac:dyDescent="0.25">
      <c r="A83" s="1">
        <v>701</v>
      </c>
      <c r="B83" s="2">
        <v>40575</v>
      </c>
      <c r="C83" s="1">
        <v>13</v>
      </c>
      <c r="D83" s="1" t="b">
        <v>0</v>
      </c>
      <c r="E83" s="1">
        <v>2</v>
      </c>
      <c r="F83" s="1">
        <v>2</v>
      </c>
      <c r="G83" s="1">
        <v>0.2</v>
      </c>
      <c r="H83" s="1">
        <v>0.2576</v>
      </c>
      <c r="I83" s="1">
        <v>0.86</v>
      </c>
      <c r="J83" s="1">
        <v>0</v>
      </c>
      <c r="K83" s="1">
        <v>3</v>
      </c>
      <c r="L83" s="1">
        <v>49</v>
      </c>
      <c r="M83" s="1">
        <v>52</v>
      </c>
    </row>
    <row r="84" spans="1:13" x14ac:dyDescent="0.25">
      <c r="A84" s="1">
        <v>702</v>
      </c>
      <c r="B84" s="2">
        <v>40575</v>
      </c>
      <c r="C84" s="1">
        <v>14</v>
      </c>
      <c r="D84" s="1" t="b">
        <v>0</v>
      </c>
      <c r="E84" s="1">
        <v>2</v>
      </c>
      <c r="F84" s="1">
        <v>2</v>
      </c>
      <c r="G84" s="1">
        <v>0.22</v>
      </c>
      <c r="H84" s="1">
        <v>0.2576</v>
      </c>
      <c r="I84" s="1">
        <v>0.8</v>
      </c>
      <c r="J84" s="1">
        <v>8.9599999999999999E-2</v>
      </c>
      <c r="K84" s="1">
        <v>5</v>
      </c>
      <c r="L84" s="1">
        <v>49</v>
      </c>
      <c r="M84" s="1">
        <v>54</v>
      </c>
    </row>
    <row r="85" spans="1:13" x14ac:dyDescent="0.25">
      <c r="A85" s="1">
        <v>703</v>
      </c>
      <c r="B85" s="2">
        <v>40575</v>
      </c>
      <c r="C85" s="1">
        <v>15</v>
      </c>
      <c r="D85" s="1" t="b">
        <v>0</v>
      </c>
      <c r="E85" s="1">
        <v>2</v>
      </c>
      <c r="F85" s="1">
        <v>2</v>
      </c>
      <c r="G85" s="1">
        <v>0.24</v>
      </c>
      <c r="H85" s="1">
        <v>0.28789999999999999</v>
      </c>
      <c r="I85" s="1">
        <v>0.75</v>
      </c>
      <c r="J85" s="1">
        <v>0</v>
      </c>
      <c r="K85" s="1">
        <v>7</v>
      </c>
      <c r="L85" s="1">
        <v>45</v>
      </c>
      <c r="M85" s="1">
        <v>52</v>
      </c>
    </row>
    <row r="86" spans="1:13" x14ac:dyDescent="0.25">
      <c r="A86" s="1">
        <v>704</v>
      </c>
      <c r="B86" s="2">
        <v>40575</v>
      </c>
      <c r="C86" s="1">
        <v>16</v>
      </c>
      <c r="D86" s="1" t="b">
        <v>0</v>
      </c>
      <c r="E86" s="1">
        <v>2</v>
      </c>
      <c r="F86" s="1">
        <v>2</v>
      </c>
      <c r="G86" s="1">
        <v>0.24</v>
      </c>
      <c r="H86" s="1">
        <v>0.2424</v>
      </c>
      <c r="I86" s="1">
        <v>0.75</v>
      </c>
      <c r="J86" s="1">
        <v>0.1343</v>
      </c>
      <c r="K86" s="1">
        <v>3</v>
      </c>
      <c r="L86" s="1">
        <v>61</v>
      </c>
      <c r="M86" s="1">
        <v>64</v>
      </c>
    </row>
    <row r="87" spans="1:13" x14ac:dyDescent="0.25">
      <c r="A87" s="1">
        <v>705</v>
      </c>
      <c r="B87" s="2">
        <v>40575</v>
      </c>
      <c r="C87" s="1">
        <v>17</v>
      </c>
      <c r="D87" s="1" t="b">
        <v>0</v>
      </c>
      <c r="E87" s="1">
        <v>2</v>
      </c>
      <c r="F87" s="1">
        <v>2</v>
      </c>
      <c r="G87" s="1">
        <v>0.24</v>
      </c>
      <c r="H87" s="1">
        <v>0.28789999999999999</v>
      </c>
      <c r="I87" s="1">
        <v>0.75</v>
      </c>
      <c r="J87" s="1">
        <v>0</v>
      </c>
      <c r="K87" s="1">
        <v>4</v>
      </c>
      <c r="L87" s="1">
        <v>172</v>
      </c>
      <c r="M87" s="1">
        <v>176</v>
      </c>
    </row>
    <row r="88" spans="1:13" x14ac:dyDescent="0.25">
      <c r="A88" s="1">
        <v>706</v>
      </c>
      <c r="B88" s="2">
        <v>40575</v>
      </c>
      <c r="C88" s="1">
        <v>18</v>
      </c>
      <c r="D88" s="1" t="b">
        <v>0</v>
      </c>
      <c r="E88" s="1">
        <v>2</v>
      </c>
      <c r="F88" s="1">
        <v>2</v>
      </c>
      <c r="G88" s="1">
        <v>0.24</v>
      </c>
      <c r="H88" s="1">
        <v>0.2576</v>
      </c>
      <c r="I88" s="1">
        <v>0.81</v>
      </c>
      <c r="J88" s="1">
        <v>0.1045</v>
      </c>
      <c r="K88" s="1">
        <v>3</v>
      </c>
      <c r="L88" s="1">
        <v>165</v>
      </c>
      <c r="M88" s="1">
        <v>168</v>
      </c>
    </row>
    <row r="89" spans="1:13" x14ac:dyDescent="0.25">
      <c r="A89" s="1">
        <v>707</v>
      </c>
      <c r="B89" s="2">
        <v>40575</v>
      </c>
      <c r="C89" s="1">
        <v>19</v>
      </c>
      <c r="D89" s="1" t="b">
        <v>0</v>
      </c>
      <c r="E89" s="1">
        <v>2</v>
      </c>
      <c r="F89" s="1">
        <v>2</v>
      </c>
      <c r="G89" s="1">
        <v>0.24</v>
      </c>
      <c r="H89" s="1">
        <v>0.2424</v>
      </c>
      <c r="I89" s="1">
        <v>0.81</v>
      </c>
      <c r="J89" s="1">
        <v>0.1343</v>
      </c>
      <c r="K89" s="1">
        <v>3</v>
      </c>
      <c r="L89" s="1">
        <v>105</v>
      </c>
      <c r="M89" s="1">
        <v>108</v>
      </c>
    </row>
    <row r="90" spans="1:13" x14ac:dyDescent="0.25">
      <c r="A90" s="1">
        <v>708</v>
      </c>
      <c r="B90" s="2">
        <v>40575</v>
      </c>
      <c r="C90" s="1">
        <v>20</v>
      </c>
      <c r="D90" s="1" t="b">
        <v>0</v>
      </c>
      <c r="E90" s="1">
        <v>2</v>
      </c>
      <c r="F90" s="1">
        <v>2</v>
      </c>
      <c r="G90" s="1">
        <v>0.22</v>
      </c>
      <c r="H90" s="1">
        <v>0.2273</v>
      </c>
      <c r="I90" s="1">
        <v>0.87</v>
      </c>
      <c r="J90" s="1">
        <v>0.1343</v>
      </c>
      <c r="K90" s="1">
        <v>5</v>
      </c>
      <c r="L90" s="1">
        <v>69</v>
      </c>
      <c r="M90" s="1">
        <v>74</v>
      </c>
    </row>
    <row r="91" spans="1:13" x14ac:dyDescent="0.25">
      <c r="A91" s="1">
        <v>709</v>
      </c>
      <c r="B91" s="2">
        <v>40575</v>
      </c>
      <c r="C91" s="1">
        <v>21</v>
      </c>
      <c r="D91" s="1" t="b">
        <v>0</v>
      </c>
      <c r="E91" s="1">
        <v>2</v>
      </c>
      <c r="F91" s="1">
        <v>2</v>
      </c>
      <c r="G91" s="1">
        <v>0.22</v>
      </c>
      <c r="H91" s="1">
        <v>0.2273</v>
      </c>
      <c r="I91" s="1">
        <v>0.87</v>
      </c>
      <c r="J91" s="1">
        <v>0.1343</v>
      </c>
      <c r="K91" s="1">
        <v>0</v>
      </c>
      <c r="L91" s="1">
        <v>64</v>
      </c>
      <c r="M91" s="1">
        <v>64</v>
      </c>
    </row>
    <row r="92" spans="1:13" x14ac:dyDescent="0.25">
      <c r="A92" s="1">
        <v>710</v>
      </c>
      <c r="B92" s="2">
        <v>40575</v>
      </c>
      <c r="C92" s="1">
        <v>22</v>
      </c>
      <c r="D92" s="1" t="b">
        <v>0</v>
      </c>
      <c r="E92" s="1">
        <v>2</v>
      </c>
      <c r="F92" s="1">
        <v>2</v>
      </c>
      <c r="G92" s="1">
        <v>0.22</v>
      </c>
      <c r="H92" s="1">
        <v>0.2576</v>
      </c>
      <c r="I92" s="1">
        <v>0.87</v>
      </c>
      <c r="J92" s="1">
        <v>8.9599999999999999E-2</v>
      </c>
      <c r="K92" s="1">
        <v>2</v>
      </c>
      <c r="L92" s="1">
        <v>34</v>
      </c>
      <c r="M92" s="1">
        <v>36</v>
      </c>
    </row>
    <row r="93" spans="1:13" x14ac:dyDescent="0.25">
      <c r="A93" s="1">
        <v>711</v>
      </c>
      <c r="B93" s="2">
        <v>40575</v>
      </c>
      <c r="C93" s="1">
        <v>23</v>
      </c>
      <c r="D93" s="1" t="b">
        <v>0</v>
      </c>
      <c r="E93" s="1">
        <v>2</v>
      </c>
      <c r="F93" s="1">
        <v>3</v>
      </c>
      <c r="G93" s="1">
        <v>0.2</v>
      </c>
      <c r="H93" s="1">
        <v>0.19700000000000001</v>
      </c>
      <c r="I93" s="1">
        <v>0.93</v>
      </c>
      <c r="J93" s="1">
        <v>0.19400000000000001</v>
      </c>
      <c r="K93" s="1">
        <v>1</v>
      </c>
      <c r="L93" s="1">
        <v>15</v>
      </c>
      <c r="M93" s="1">
        <v>16</v>
      </c>
    </row>
    <row r="94" spans="1:13" x14ac:dyDescent="0.25">
      <c r="A94" s="1">
        <v>712</v>
      </c>
      <c r="B94" s="2">
        <v>40576</v>
      </c>
      <c r="C94" s="1">
        <v>0</v>
      </c>
      <c r="D94" s="1" t="b">
        <v>0</v>
      </c>
      <c r="E94" s="1">
        <v>3</v>
      </c>
      <c r="F94" s="1">
        <v>3</v>
      </c>
      <c r="G94" s="1">
        <v>0.22</v>
      </c>
      <c r="H94" s="1">
        <v>0.2424</v>
      </c>
      <c r="I94" s="1">
        <v>0.93</v>
      </c>
      <c r="J94" s="1">
        <v>0.1045</v>
      </c>
      <c r="K94" s="1">
        <v>0</v>
      </c>
      <c r="L94" s="1">
        <v>2</v>
      </c>
      <c r="M94" s="1">
        <v>2</v>
      </c>
    </row>
    <row r="95" spans="1:13" x14ac:dyDescent="0.25">
      <c r="A95" s="1">
        <v>713</v>
      </c>
      <c r="B95" s="2">
        <v>40576</v>
      </c>
      <c r="C95" s="1">
        <v>1</v>
      </c>
      <c r="D95" s="1" t="b">
        <v>0</v>
      </c>
      <c r="E95" s="1">
        <v>3</v>
      </c>
      <c r="F95" s="1">
        <v>3</v>
      </c>
      <c r="G95" s="1">
        <v>0.22</v>
      </c>
      <c r="H95" s="1">
        <v>0.2273</v>
      </c>
      <c r="I95" s="1">
        <v>0.93</v>
      </c>
      <c r="J95" s="1">
        <v>0.19400000000000001</v>
      </c>
      <c r="K95" s="1">
        <v>0</v>
      </c>
      <c r="L95" s="1">
        <v>3</v>
      </c>
      <c r="M95" s="1">
        <v>3</v>
      </c>
    </row>
    <row r="96" spans="1:13" x14ac:dyDescent="0.25">
      <c r="A96" s="1">
        <v>714</v>
      </c>
      <c r="B96" s="2">
        <v>40576</v>
      </c>
      <c r="C96" s="1">
        <v>2</v>
      </c>
      <c r="D96" s="1" t="b">
        <v>0</v>
      </c>
      <c r="E96" s="1">
        <v>3</v>
      </c>
      <c r="F96" s="1">
        <v>3</v>
      </c>
      <c r="G96" s="1">
        <v>0.22</v>
      </c>
      <c r="H96" s="1">
        <v>0.2273</v>
      </c>
      <c r="I96" s="1">
        <v>0.93</v>
      </c>
      <c r="J96" s="1">
        <v>0.1343</v>
      </c>
      <c r="K96" s="1">
        <v>4</v>
      </c>
      <c r="L96" s="1">
        <v>0</v>
      </c>
      <c r="M96" s="1">
        <v>4</v>
      </c>
    </row>
    <row r="97" spans="1:13" x14ac:dyDescent="0.25">
      <c r="A97" s="1">
        <v>715</v>
      </c>
      <c r="B97" s="2">
        <v>40576</v>
      </c>
      <c r="C97" s="1">
        <v>3</v>
      </c>
      <c r="D97" s="1" t="b">
        <v>0</v>
      </c>
      <c r="E97" s="1">
        <v>3</v>
      </c>
      <c r="F97" s="1">
        <v>3</v>
      </c>
      <c r="G97" s="1">
        <v>0.22</v>
      </c>
      <c r="H97" s="1">
        <v>0.2273</v>
      </c>
      <c r="I97" s="1">
        <v>0.93</v>
      </c>
      <c r="J97" s="1">
        <v>0.1343</v>
      </c>
      <c r="K97" s="1">
        <v>0</v>
      </c>
      <c r="L97" s="1">
        <v>1</v>
      </c>
      <c r="M97" s="1">
        <v>1</v>
      </c>
    </row>
    <row r="98" spans="1:13" x14ac:dyDescent="0.25">
      <c r="A98" s="1">
        <v>716</v>
      </c>
      <c r="B98" s="2">
        <v>40576</v>
      </c>
      <c r="C98" s="1">
        <v>4</v>
      </c>
      <c r="D98" s="1" t="b">
        <v>0</v>
      </c>
      <c r="E98" s="1">
        <v>3</v>
      </c>
      <c r="F98" s="1">
        <v>3</v>
      </c>
      <c r="G98" s="1">
        <v>0.22</v>
      </c>
      <c r="H98" s="1">
        <v>0.21210000000000001</v>
      </c>
      <c r="I98" s="1">
        <v>0.93</v>
      </c>
      <c r="J98" s="1">
        <v>0.28360000000000002</v>
      </c>
      <c r="K98" s="1">
        <v>0</v>
      </c>
      <c r="L98" s="1">
        <v>1</v>
      </c>
      <c r="M98" s="1">
        <v>1</v>
      </c>
    </row>
    <row r="99" spans="1:13" x14ac:dyDescent="0.25">
      <c r="A99" s="1">
        <v>717</v>
      </c>
      <c r="B99" s="2">
        <v>40576</v>
      </c>
      <c r="C99" s="1">
        <v>5</v>
      </c>
      <c r="D99" s="1" t="b">
        <v>0</v>
      </c>
      <c r="E99" s="1">
        <v>3</v>
      </c>
      <c r="F99" s="1">
        <v>3</v>
      </c>
      <c r="G99" s="1">
        <v>0.22</v>
      </c>
      <c r="H99" s="1">
        <v>0.2424</v>
      </c>
      <c r="I99" s="1">
        <v>0.93</v>
      </c>
      <c r="J99" s="1">
        <v>0.1045</v>
      </c>
      <c r="K99" s="1">
        <v>0</v>
      </c>
      <c r="L99" s="1">
        <v>3</v>
      </c>
      <c r="M99" s="1">
        <v>3</v>
      </c>
    </row>
    <row r="100" spans="1:13" x14ac:dyDescent="0.25">
      <c r="A100" s="1">
        <v>718</v>
      </c>
      <c r="B100" s="2">
        <v>40576</v>
      </c>
      <c r="C100" s="1">
        <v>6</v>
      </c>
      <c r="D100" s="1" t="b">
        <v>0</v>
      </c>
      <c r="E100" s="1">
        <v>3</v>
      </c>
      <c r="F100" s="1">
        <v>3</v>
      </c>
      <c r="G100" s="1">
        <v>0.22</v>
      </c>
      <c r="H100" s="1">
        <v>0.2424</v>
      </c>
      <c r="I100" s="1">
        <v>0.93</v>
      </c>
      <c r="J100" s="1">
        <v>0.1045</v>
      </c>
      <c r="K100" s="1">
        <v>1</v>
      </c>
      <c r="L100" s="1">
        <v>17</v>
      </c>
      <c r="M100" s="1">
        <v>18</v>
      </c>
    </row>
    <row r="101" spans="1:13" x14ac:dyDescent="0.25">
      <c r="A101" s="1">
        <v>719</v>
      </c>
      <c r="B101" s="2">
        <v>40576</v>
      </c>
      <c r="C101" s="1">
        <v>7</v>
      </c>
      <c r="D101" s="1" t="b">
        <v>0</v>
      </c>
      <c r="E101" s="1">
        <v>3</v>
      </c>
      <c r="F101" s="1">
        <v>3</v>
      </c>
      <c r="G101" s="1">
        <v>0.22</v>
      </c>
      <c r="H101" s="1">
        <v>0.21210000000000001</v>
      </c>
      <c r="I101" s="1">
        <v>0.93</v>
      </c>
      <c r="J101" s="1">
        <v>0.22389999999999999</v>
      </c>
      <c r="K101" s="1">
        <v>1</v>
      </c>
      <c r="L101" s="1">
        <v>48</v>
      </c>
      <c r="M101" s="1">
        <v>49</v>
      </c>
    </row>
    <row r="102" spans="1:13" x14ac:dyDescent="0.25">
      <c r="A102" s="1">
        <v>720</v>
      </c>
      <c r="B102" s="2">
        <v>40576</v>
      </c>
      <c r="C102" s="1">
        <v>8</v>
      </c>
      <c r="D102" s="1" t="b">
        <v>0</v>
      </c>
      <c r="E102" s="1">
        <v>3</v>
      </c>
      <c r="F102" s="1">
        <v>3</v>
      </c>
      <c r="G102" s="1">
        <v>0.22</v>
      </c>
      <c r="H102" s="1">
        <v>0.21210000000000001</v>
      </c>
      <c r="I102" s="1">
        <v>0.93</v>
      </c>
      <c r="J102" s="1">
        <v>0.22389999999999999</v>
      </c>
      <c r="K102" s="1">
        <v>1</v>
      </c>
      <c r="L102" s="1">
        <v>154</v>
      </c>
      <c r="M102" s="1">
        <v>155</v>
      </c>
    </row>
    <row r="103" spans="1:13" x14ac:dyDescent="0.25">
      <c r="A103" s="1">
        <v>721</v>
      </c>
      <c r="B103" s="2">
        <v>40576</v>
      </c>
      <c r="C103" s="1">
        <v>9</v>
      </c>
      <c r="D103" s="1" t="b">
        <v>0</v>
      </c>
      <c r="E103" s="1">
        <v>3</v>
      </c>
      <c r="F103" s="1">
        <v>2</v>
      </c>
      <c r="G103" s="1">
        <v>0.24</v>
      </c>
      <c r="H103" s="1">
        <v>0.2576</v>
      </c>
      <c r="I103" s="1">
        <v>0.93</v>
      </c>
      <c r="J103" s="1">
        <v>8.9599999999999999E-2</v>
      </c>
      <c r="K103" s="1">
        <v>4</v>
      </c>
      <c r="L103" s="1">
        <v>119</v>
      </c>
      <c r="M103" s="1">
        <v>123</v>
      </c>
    </row>
    <row r="104" spans="1:13" x14ac:dyDescent="0.25">
      <c r="A104" s="1">
        <v>722</v>
      </c>
      <c r="B104" s="2">
        <v>40576</v>
      </c>
      <c r="C104" s="1">
        <v>10</v>
      </c>
      <c r="D104" s="1" t="b">
        <v>0</v>
      </c>
      <c r="E104" s="1">
        <v>3</v>
      </c>
      <c r="F104" s="1">
        <v>2</v>
      </c>
      <c r="G104" s="1">
        <v>0.22</v>
      </c>
      <c r="H104" s="1">
        <v>0.2727</v>
      </c>
      <c r="I104" s="1">
        <v>1</v>
      </c>
      <c r="J104" s="1">
        <v>0</v>
      </c>
      <c r="K104" s="1">
        <v>2</v>
      </c>
      <c r="L104" s="1">
        <v>59</v>
      </c>
      <c r="M104" s="1">
        <v>61</v>
      </c>
    </row>
    <row r="105" spans="1:13" x14ac:dyDescent="0.25">
      <c r="A105" s="1">
        <v>723</v>
      </c>
      <c r="B105" s="2">
        <v>40576</v>
      </c>
      <c r="C105" s="1">
        <v>11</v>
      </c>
      <c r="D105" s="1" t="b">
        <v>0</v>
      </c>
      <c r="E105" s="1">
        <v>3</v>
      </c>
      <c r="F105" s="1">
        <v>2</v>
      </c>
      <c r="G105" s="1">
        <v>0.24</v>
      </c>
      <c r="H105" s="1">
        <v>0.2273</v>
      </c>
      <c r="I105" s="1">
        <v>0.93</v>
      </c>
      <c r="J105" s="1">
        <v>0.19400000000000001</v>
      </c>
      <c r="K105" s="1">
        <v>5</v>
      </c>
      <c r="L105" s="1">
        <v>47</v>
      </c>
      <c r="M105" s="1">
        <v>52</v>
      </c>
    </row>
    <row r="106" spans="1:13" x14ac:dyDescent="0.25">
      <c r="A106" s="1">
        <v>724</v>
      </c>
      <c r="B106" s="2">
        <v>40576</v>
      </c>
      <c r="C106" s="1">
        <v>12</v>
      </c>
      <c r="D106" s="1" t="b">
        <v>0</v>
      </c>
      <c r="E106" s="1">
        <v>3</v>
      </c>
      <c r="F106" s="1">
        <v>2</v>
      </c>
      <c r="G106" s="1">
        <v>0.24</v>
      </c>
      <c r="H106" s="1">
        <v>0.2273</v>
      </c>
      <c r="I106" s="1">
        <v>0.93</v>
      </c>
      <c r="J106" s="1">
        <v>0.22389999999999999</v>
      </c>
      <c r="K106" s="1">
        <v>3</v>
      </c>
      <c r="L106" s="1">
        <v>61</v>
      </c>
      <c r="M106" s="1">
        <v>64</v>
      </c>
    </row>
    <row r="107" spans="1:13" x14ac:dyDescent="0.25">
      <c r="A107" s="1">
        <v>725</v>
      </c>
      <c r="B107" s="2">
        <v>40576</v>
      </c>
      <c r="C107" s="1">
        <v>13</v>
      </c>
      <c r="D107" s="1" t="b">
        <v>0</v>
      </c>
      <c r="E107" s="1">
        <v>3</v>
      </c>
      <c r="F107" s="1">
        <v>1</v>
      </c>
      <c r="G107" s="1">
        <v>0.34</v>
      </c>
      <c r="H107" s="1">
        <v>0.33329999999999999</v>
      </c>
      <c r="I107" s="1">
        <v>0.93</v>
      </c>
      <c r="J107" s="1">
        <v>0.16420000000000001</v>
      </c>
      <c r="K107" s="1">
        <v>1</v>
      </c>
      <c r="L107" s="1">
        <v>74</v>
      </c>
      <c r="M107" s="1">
        <v>75</v>
      </c>
    </row>
    <row r="108" spans="1:13" x14ac:dyDescent="0.25">
      <c r="A108" s="1">
        <v>726</v>
      </c>
      <c r="B108" s="2">
        <v>40576</v>
      </c>
      <c r="C108" s="1">
        <v>14</v>
      </c>
      <c r="D108" s="1" t="b">
        <v>0</v>
      </c>
      <c r="E108" s="1">
        <v>3</v>
      </c>
      <c r="F108" s="1">
        <v>1</v>
      </c>
      <c r="G108" s="1">
        <v>0.38</v>
      </c>
      <c r="H108" s="1">
        <v>0.39389999999999997</v>
      </c>
      <c r="I108" s="1">
        <v>0.82</v>
      </c>
      <c r="J108" s="1">
        <v>0.3881</v>
      </c>
      <c r="K108" s="1">
        <v>2</v>
      </c>
      <c r="L108" s="1">
        <v>61</v>
      </c>
      <c r="M108" s="1">
        <v>63</v>
      </c>
    </row>
    <row r="109" spans="1:13" x14ac:dyDescent="0.25">
      <c r="A109" s="1">
        <v>727</v>
      </c>
      <c r="B109" s="2">
        <v>40576</v>
      </c>
      <c r="C109" s="1">
        <v>15</v>
      </c>
      <c r="D109" s="1" t="b">
        <v>0</v>
      </c>
      <c r="E109" s="1">
        <v>3</v>
      </c>
      <c r="F109" s="1">
        <v>1</v>
      </c>
      <c r="G109" s="1">
        <v>0.38</v>
      </c>
      <c r="H109" s="1">
        <v>0.39389999999999997</v>
      </c>
      <c r="I109" s="1">
        <v>0.76</v>
      </c>
      <c r="J109" s="1">
        <v>0.32840000000000003</v>
      </c>
      <c r="K109" s="1">
        <v>10</v>
      </c>
      <c r="L109" s="1">
        <v>66</v>
      </c>
      <c r="M109" s="1">
        <v>76</v>
      </c>
    </row>
    <row r="110" spans="1:13" x14ac:dyDescent="0.25">
      <c r="A110" s="1">
        <v>728</v>
      </c>
      <c r="B110" s="2">
        <v>40576</v>
      </c>
      <c r="C110" s="1">
        <v>16</v>
      </c>
      <c r="D110" s="1" t="b">
        <v>0</v>
      </c>
      <c r="E110" s="1">
        <v>3</v>
      </c>
      <c r="F110" s="1">
        <v>1</v>
      </c>
      <c r="G110" s="1">
        <v>0.36</v>
      </c>
      <c r="H110" s="1">
        <v>0.33329999999999999</v>
      </c>
      <c r="I110" s="1">
        <v>0.71</v>
      </c>
      <c r="J110" s="1">
        <v>0.29849999999999999</v>
      </c>
      <c r="K110" s="1">
        <v>8</v>
      </c>
      <c r="L110" s="1">
        <v>95</v>
      </c>
      <c r="M110" s="1">
        <v>103</v>
      </c>
    </row>
    <row r="111" spans="1:13" x14ac:dyDescent="0.25">
      <c r="A111" s="1">
        <v>729</v>
      </c>
      <c r="B111" s="2">
        <v>40576</v>
      </c>
      <c r="C111" s="1">
        <v>17</v>
      </c>
      <c r="D111" s="1" t="b">
        <v>0</v>
      </c>
      <c r="E111" s="1">
        <v>3</v>
      </c>
      <c r="F111" s="1">
        <v>1</v>
      </c>
      <c r="G111" s="1">
        <v>0.36</v>
      </c>
      <c r="H111" s="1">
        <v>0.31819999999999998</v>
      </c>
      <c r="I111" s="1">
        <v>0.53</v>
      </c>
      <c r="J111" s="1">
        <v>0.52239999999999998</v>
      </c>
      <c r="K111" s="1">
        <v>7</v>
      </c>
      <c r="L111" s="1">
        <v>183</v>
      </c>
      <c r="M111" s="1">
        <v>190</v>
      </c>
    </row>
    <row r="112" spans="1:13" x14ac:dyDescent="0.25">
      <c r="A112" s="1">
        <v>730</v>
      </c>
      <c r="B112" s="2">
        <v>40576</v>
      </c>
      <c r="C112" s="1">
        <v>18</v>
      </c>
      <c r="D112" s="1" t="b">
        <v>0</v>
      </c>
      <c r="E112" s="1">
        <v>3</v>
      </c>
      <c r="F112" s="1">
        <v>1</v>
      </c>
      <c r="G112" s="1">
        <v>0.34</v>
      </c>
      <c r="H112" s="1">
        <v>0.28789999999999999</v>
      </c>
      <c r="I112" s="1">
        <v>0.42</v>
      </c>
      <c r="J112" s="1">
        <v>0.55220000000000002</v>
      </c>
      <c r="K112" s="1">
        <v>7</v>
      </c>
      <c r="L112" s="1">
        <v>175</v>
      </c>
      <c r="M112" s="1">
        <v>182</v>
      </c>
    </row>
    <row r="113" spans="1:13" x14ac:dyDescent="0.25">
      <c r="A113" s="1">
        <v>731</v>
      </c>
      <c r="B113" s="2">
        <v>40576</v>
      </c>
      <c r="C113" s="1">
        <v>19</v>
      </c>
      <c r="D113" s="1" t="b">
        <v>0</v>
      </c>
      <c r="E113" s="1">
        <v>3</v>
      </c>
      <c r="F113" s="1">
        <v>1</v>
      </c>
      <c r="G113" s="1">
        <v>0.28000000000000003</v>
      </c>
      <c r="H113" s="1">
        <v>0.2424</v>
      </c>
      <c r="I113" s="1">
        <v>0.45</v>
      </c>
      <c r="J113" s="1">
        <v>0.49249999999999999</v>
      </c>
      <c r="K113" s="1">
        <v>3</v>
      </c>
      <c r="L113" s="1">
        <v>88</v>
      </c>
      <c r="M113" s="1">
        <v>91</v>
      </c>
    </row>
    <row r="114" spans="1:13" x14ac:dyDescent="0.25">
      <c r="A114" s="1">
        <v>732</v>
      </c>
      <c r="B114" s="2">
        <v>40576</v>
      </c>
      <c r="C114" s="1">
        <v>20</v>
      </c>
      <c r="D114" s="1" t="b">
        <v>0</v>
      </c>
      <c r="E114" s="1">
        <v>3</v>
      </c>
      <c r="F114" s="1">
        <v>1</v>
      </c>
      <c r="G114" s="1">
        <v>0.24</v>
      </c>
      <c r="H114" s="1">
        <v>0.19700000000000001</v>
      </c>
      <c r="I114" s="1">
        <v>0.48</v>
      </c>
      <c r="J114" s="1">
        <v>0.55220000000000002</v>
      </c>
      <c r="K114" s="1">
        <v>4</v>
      </c>
      <c r="L114" s="1">
        <v>71</v>
      </c>
      <c r="M114" s="1">
        <v>75</v>
      </c>
    </row>
    <row r="115" spans="1:13" x14ac:dyDescent="0.25">
      <c r="A115" s="1">
        <v>733</v>
      </c>
      <c r="B115" s="2">
        <v>40576</v>
      </c>
      <c r="C115" s="1">
        <v>21</v>
      </c>
      <c r="D115" s="1" t="b">
        <v>0</v>
      </c>
      <c r="E115" s="1">
        <v>3</v>
      </c>
      <c r="F115" s="1">
        <v>1</v>
      </c>
      <c r="G115" s="1">
        <v>0.22</v>
      </c>
      <c r="H115" s="1">
        <v>0.19700000000000001</v>
      </c>
      <c r="I115" s="1">
        <v>0.47</v>
      </c>
      <c r="J115" s="1">
        <v>0.32840000000000003</v>
      </c>
      <c r="K115" s="1">
        <v>1</v>
      </c>
      <c r="L115" s="1">
        <v>62</v>
      </c>
      <c r="M115" s="1">
        <v>63</v>
      </c>
    </row>
    <row r="116" spans="1:13" x14ac:dyDescent="0.25">
      <c r="A116" s="1">
        <v>734</v>
      </c>
      <c r="B116" s="2">
        <v>40576</v>
      </c>
      <c r="C116" s="1">
        <v>22</v>
      </c>
      <c r="D116" s="1" t="b">
        <v>0</v>
      </c>
      <c r="E116" s="1">
        <v>3</v>
      </c>
      <c r="F116" s="1">
        <v>1</v>
      </c>
      <c r="G116" s="1">
        <v>0.22</v>
      </c>
      <c r="H116" s="1">
        <v>0.21210000000000001</v>
      </c>
      <c r="I116" s="1">
        <v>0.44</v>
      </c>
      <c r="J116" s="1">
        <v>0.25369999999999998</v>
      </c>
      <c r="K116" s="1">
        <v>5</v>
      </c>
      <c r="L116" s="1">
        <v>35</v>
      </c>
      <c r="M116" s="1">
        <v>40</v>
      </c>
    </row>
    <row r="117" spans="1:13" x14ac:dyDescent="0.25">
      <c r="A117" s="1">
        <v>735</v>
      </c>
      <c r="B117" s="2">
        <v>40576</v>
      </c>
      <c r="C117" s="1">
        <v>23</v>
      </c>
      <c r="D117" s="1" t="b">
        <v>0</v>
      </c>
      <c r="E117" s="1">
        <v>3</v>
      </c>
      <c r="F117" s="1">
        <v>1</v>
      </c>
      <c r="G117" s="1">
        <v>0.2</v>
      </c>
      <c r="H117" s="1">
        <v>0.16669999999999999</v>
      </c>
      <c r="I117" s="1">
        <v>0.44</v>
      </c>
      <c r="J117" s="1">
        <v>0.44779999999999998</v>
      </c>
      <c r="K117" s="1">
        <v>3</v>
      </c>
      <c r="L117" s="1">
        <v>29</v>
      </c>
      <c r="M117" s="1">
        <v>32</v>
      </c>
    </row>
    <row r="118" spans="1:13" x14ac:dyDescent="0.25">
      <c r="A118" s="1">
        <v>736</v>
      </c>
      <c r="B118" s="2">
        <v>40577</v>
      </c>
      <c r="C118" s="1">
        <v>0</v>
      </c>
      <c r="D118" s="1" t="b">
        <v>0</v>
      </c>
      <c r="E118" s="1">
        <v>4</v>
      </c>
      <c r="F118" s="1">
        <v>1</v>
      </c>
      <c r="G118" s="1">
        <v>0.2</v>
      </c>
      <c r="H118" s="1">
        <v>0.16669999999999999</v>
      </c>
      <c r="I118" s="1">
        <v>0.4</v>
      </c>
      <c r="J118" s="1">
        <v>0.44779999999999998</v>
      </c>
      <c r="K118" s="1">
        <v>1</v>
      </c>
      <c r="L118" s="1">
        <v>11</v>
      </c>
      <c r="M118" s="1">
        <v>12</v>
      </c>
    </row>
    <row r="119" spans="1:13" x14ac:dyDescent="0.25">
      <c r="A119" s="1">
        <v>737</v>
      </c>
      <c r="B119" s="2">
        <v>40577</v>
      </c>
      <c r="C119" s="1">
        <v>1</v>
      </c>
      <c r="D119" s="1" t="b">
        <v>0</v>
      </c>
      <c r="E119" s="1">
        <v>4</v>
      </c>
      <c r="F119" s="1">
        <v>1</v>
      </c>
      <c r="G119" s="1">
        <v>0.2</v>
      </c>
      <c r="H119" s="1">
        <v>0.1515</v>
      </c>
      <c r="I119" s="1">
        <v>0.44</v>
      </c>
      <c r="J119" s="1">
        <v>0.52239999999999998</v>
      </c>
      <c r="K119" s="1">
        <v>0</v>
      </c>
      <c r="L119" s="1">
        <v>5</v>
      </c>
      <c r="M119" s="1">
        <v>5</v>
      </c>
    </row>
    <row r="120" spans="1:13" x14ac:dyDescent="0.25">
      <c r="A120" s="1">
        <v>738</v>
      </c>
      <c r="B120" s="2">
        <v>40577</v>
      </c>
      <c r="C120" s="1">
        <v>2</v>
      </c>
      <c r="D120" s="1" t="b">
        <v>0</v>
      </c>
      <c r="E120" s="1">
        <v>4</v>
      </c>
      <c r="F120" s="1">
        <v>1</v>
      </c>
      <c r="G120" s="1">
        <v>0.18</v>
      </c>
      <c r="H120" s="1">
        <v>0.16669999999999999</v>
      </c>
      <c r="I120" s="1">
        <v>0.43</v>
      </c>
      <c r="J120" s="1">
        <v>0.25369999999999998</v>
      </c>
      <c r="K120" s="1">
        <v>0</v>
      </c>
      <c r="L120" s="1">
        <v>2</v>
      </c>
      <c r="M120" s="1">
        <v>2</v>
      </c>
    </row>
    <row r="121" spans="1:13" x14ac:dyDescent="0.25">
      <c r="A121" s="1">
        <v>739</v>
      </c>
      <c r="B121" s="2">
        <v>40577</v>
      </c>
      <c r="C121" s="1">
        <v>3</v>
      </c>
      <c r="D121" s="1" t="b">
        <v>0</v>
      </c>
      <c r="E121" s="1">
        <v>4</v>
      </c>
      <c r="F121" s="1">
        <v>1</v>
      </c>
      <c r="G121" s="1">
        <v>0.18</v>
      </c>
      <c r="H121" s="1">
        <v>0.16669999999999999</v>
      </c>
      <c r="I121" s="1">
        <v>0.43</v>
      </c>
      <c r="J121" s="1">
        <v>0.25369999999999998</v>
      </c>
      <c r="K121" s="1">
        <v>0</v>
      </c>
      <c r="L121" s="1">
        <v>1</v>
      </c>
      <c r="M121" s="1">
        <v>1</v>
      </c>
    </row>
    <row r="122" spans="1:13" x14ac:dyDescent="0.25">
      <c r="A122" s="1">
        <v>740</v>
      </c>
      <c r="B122" s="2">
        <v>40577</v>
      </c>
      <c r="C122" s="1">
        <v>5</v>
      </c>
      <c r="D122" s="1" t="b">
        <v>0</v>
      </c>
      <c r="E122" s="1">
        <v>4</v>
      </c>
      <c r="F122" s="1">
        <v>1</v>
      </c>
      <c r="G122" s="1">
        <v>0.16</v>
      </c>
      <c r="H122" s="1">
        <v>0.13639999999999999</v>
      </c>
      <c r="I122" s="1">
        <v>0.5</v>
      </c>
      <c r="J122" s="1">
        <v>0.29849999999999999</v>
      </c>
      <c r="K122" s="1">
        <v>0</v>
      </c>
      <c r="L122" s="1">
        <v>2</v>
      </c>
      <c r="M122" s="1">
        <v>2</v>
      </c>
    </row>
    <row r="123" spans="1:13" x14ac:dyDescent="0.25">
      <c r="A123" s="1">
        <v>741</v>
      </c>
      <c r="B123" s="2">
        <v>40577</v>
      </c>
      <c r="C123" s="1">
        <v>6</v>
      </c>
      <c r="D123" s="1" t="b">
        <v>0</v>
      </c>
      <c r="E123" s="1">
        <v>4</v>
      </c>
      <c r="F123" s="1">
        <v>1</v>
      </c>
      <c r="G123" s="1">
        <v>0.16</v>
      </c>
      <c r="H123" s="1">
        <v>0.13639999999999999</v>
      </c>
      <c r="I123" s="1">
        <v>0.43</v>
      </c>
      <c r="J123" s="1">
        <v>0.35820000000000002</v>
      </c>
      <c r="K123" s="1">
        <v>0</v>
      </c>
      <c r="L123" s="1">
        <v>39</v>
      </c>
      <c r="M123" s="1">
        <v>39</v>
      </c>
    </row>
    <row r="124" spans="1:13" x14ac:dyDescent="0.25">
      <c r="A124" s="1">
        <v>742</v>
      </c>
      <c r="B124" s="2">
        <v>40577</v>
      </c>
      <c r="C124" s="1">
        <v>7</v>
      </c>
      <c r="D124" s="1" t="b">
        <v>0</v>
      </c>
      <c r="E124" s="1">
        <v>4</v>
      </c>
      <c r="F124" s="1">
        <v>1</v>
      </c>
      <c r="G124" s="1">
        <v>0.14000000000000001</v>
      </c>
      <c r="H124" s="1">
        <v>0.1212</v>
      </c>
      <c r="I124" s="1">
        <v>0.5</v>
      </c>
      <c r="J124" s="1">
        <v>0.32840000000000003</v>
      </c>
      <c r="K124" s="1">
        <v>1</v>
      </c>
      <c r="L124" s="1">
        <v>86</v>
      </c>
      <c r="M124" s="1">
        <v>87</v>
      </c>
    </row>
    <row r="125" spans="1:13" x14ac:dyDescent="0.25">
      <c r="A125" s="1">
        <v>743</v>
      </c>
      <c r="B125" s="2">
        <v>40577</v>
      </c>
      <c r="C125" s="1">
        <v>8</v>
      </c>
      <c r="D125" s="1" t="b">
        <v>0</v>
      </c>
      <c r="E125" s="1">
        <v>4</v>
      </c>
      <c r="F125" s="1">
        <v>1</v>
      </c>
      <c r="G125" s="1">
        <v>0.14000000000000001</v>
      </c>
      <c r="H125" s="1">
        <v>0.1212</v>
      </c>
      <c r="I125" s="1">
        <v>0.5</v>
      </c>
      <c r="J125" s="1">
        <v>0.35820000000000002</v>
      </c>
      <c r="K125" s="1">
        <v>4</v>
      </c>
      <c r="L125" s="1">
        <v>184</v>
      </c>
      <c r="M125" s="1">
        <v>188</v>
      </c>
    </row>
    <row r="126" spans="1:13" x14ac:dyDescent="0.25">
      <c r="A126" s="1">
        <v>744</v>
      </c>
      <c r="B126" s="2">
        <v>40577</v>
      </c>
      <c r="C126" s="1">
        <v>9</v>
      </c>
      <c r="D126" s="1" t="b">
        <v>0</v>
      </c>
      <c r="E126" s="1">
        <v>4</v>
      </c>
      <c r="F126" s="1">
        <v>1</v>
      </c>
      <c r="G126" s="1">
        <v>0.16</v>
      </c>
      <c r="H126" s="1">
        <v>0.13639999999999999</v>
      </c>
      <c r="I126" s="1">
        <v>0.47</v>
      </c>
      <c r="J126" s="1">
        <v>0.29849999999999999</v>
      </c>
      <c r="K126" s="1">
        <v>6</v>
      </c>
      <c r="L126" s="1">
        <v>127</v>
      </c>
      <c r="M126" s="1">
        <v>133</v>
      </c>
    </row>
    <row r="127" spans="1:13" x14ac:dyDescent="0.25">
      <c r="A127" s="1">
        <v>745</v>
      </c>
      <c r="B127" s="2">
        <v>40577</v>
      </c>
      <c r="C127" s="1">
        <v>10</v>
      </c>
      <c r="D127" s="1" t="b">
        <v>0</v>
      </c>
      <c r="E127" s="1">
        <v>4</v>
      </c>
      <c r="F127" s="1">
        <v>1</v>
      </c>
      <c r="G127" s="1">
        <v>0.18</v>
      </c>
      <c r="H127" s="1">
        <v>0.1515</v>
      </c>
      <c r="I127" s="1">
        <v>0.43</v>
      </c>
      <c r="J127" s="1">
        <v>0.32840000000000003</v>
      </c>
      <c r="K127" s="1">
        <v>2</v>
      </c>
      <c r="L127" s="1">
        <v>50</v>
      </c>
      <c r="M127" s="1">
        <v>52</v>
      </c>
    </row>
    <row r="128" spans="1:13" x14ac:dyDescent="0.25">
      <c r="A128" s="1">
        <v>746</v>
      </c>
      <c r="B128" s="2">
        <v>40577</v>
      </c>
      <c r="C128" s="1">
        <v>11</v>
      </c>
      <c r="D128" s="1" t="b">
        <v>0</v>
      </c>
      <c r="E128" s="1">
        <v>4</v>
      </c>
      <c r="F128" s="1">
        <v>1</v>
      </c>
      <c r="G128" s="1">
        <v>0.18</v>
      </c>
      <c r="H128" s="1">
        <v>0.13639999999999999</v>
      </c>
      <c r="I128" s="1">
        <v>0.43</v>
      </c>
      <c r="J128" s="1">
        <v>0.44779999999999998</v>
      </c>
      <c r="K128" s="1">
        <v>9</v>
      </c>
      <c r="L128" s="1">
        <v>55</v>
      </c>
      <c r="M128" s="1">
        <v>64</v>
      </c>
    </row>
    <row r="129" spans="1:13" x14ac:dyDescent="0.25">
      <c r="A129" s="1">
        <v>747</v>
      </c>
      <c r="B129" s="2">
        <v>40577</v>
      </c>
      <c r="C129" s="1">
        <v>12</v>
      </c>
      <c r="D129" s="1" t="b">
        <v>0</v>
      </c>
      <c r="E129" s="1">
        <v>4</v>
      </c>
      <c r="F129" s="1">
        <v>1</v>
      </c>
      <c r="G129" s="1">
        <v>0.2</v>
      </c>
      <c r="H129" s="1">
        <v>0.18179999999999999</v>
      </c>
      <c r="I129" s="1">
        <v>0.4</v>
      </c>
      <c r="J129" s="1">
        <v>0.35820000000000002</v>
      </c>
      <c r="K129" s="1">
        <v>2</v>
      </c>
      <c r="L129" s="1">
        <v>67</v>
      </c>
      <c r="M129" s="1">
        <v>69</v>
      </c>
    </row>
    <row r="130" spans="1:13" x14ac:dyDescent="0.25">
      <c r="A130" s="1">
        <v>748</v>
      </c>
      <c r="B130" s="2">
        <v>40577</v>
      </c>
      <c r="C130" s="1">
        <v>13</v>
      </c>
      <c r="D130" s="1" t="b">
        <v>0</v>
      </c>
      <c r="E130" s="1">
        <v>4</v>
      </c>
      <c r="F130" s="1">
        <v>1</v>
      </c>
      <c r="G130" s="1">
        <v>0.2</v>
      </c>
      <c r="H130" s="1">
        <v>0.16669999999999999</v>
      </c>
      <c r="I130" s="1">
        <v>0.4</v>
      </c>
      <c r="J130" s="1">
        <v>0.41789999999999999</v>
      </c>
      <c r="K130" s="1">
        <v>4</v>
      </c>
      <c r="L130" s="1">
        <v>47</v>
      </c>
      <c r="M130" s="1">
        <v>51</v>
      </c>
    </row>
    <row r="131" spans="1:13" x14ac:dyDescent="0.25">
      <c r="A131" s="1">
        <v>749</v>
      </c>
      <c r="B131" s="2">
        <v>40577</v>
      </c>
      <c r="C131" s="1">
        <v>14</v>
      </c>
      <c r="D131" s="1" t="b">
        <v>0</v>
      </c>
      <c r="E131" s="1">
        <v>4</v>
      </c>
      <c r="F131" s="1">
        <v>1</v>
      </c>
      <c r="G131" s="1">
        <v>0.22</v>
      </c>
      <c r="H131" s="1">
        <v>0.19700000000000001</v>
      </c>
      <c r="I131" s="1">
        <v>0.37</v>
      </c>
      <c r="J131" s="1">
        <v>0.3881</v>
      </c>
      <c r="K131" s="1">
        <v>4</v>
      </c>
      <c r="L131" s="1">
        <v>43</v>
      </c>
      <c r="M131" s="1">
        <v>47</v>
      </c>
    </row>
    <row r="132" spans="1:13" x14ac:dyDescent="0.25">
      <c r="A132" s="1">
        <v>750</v>
      </c>
      <c r="B132" s="2">
        <v>40577</v>
      </c>
      <c r="C132" s="1">
        <v>15</v>
      </c>
      <c r="D132" s="1" t="b">
        <v>0</v>
      </c>
      <c r="E132" s="1">
        <v>4</v>
      </c>
      <c r="F132" s="1">
        <v>1</v>
      </c>
      <c r="G132" s="1">
        <v>0.22</v>
      </c>
      <c r="H132" s="1">
        <v>0.19700000000000001</v>
      </c>
      <c r="I132" s="1">
        <v>0.37</v>
      </c>
      <c r="J132" s="1">
        <v>0.32840000000000003</v>
      </c>
      <c r="K132" s="1">
        <v>4</v>
      </c>
      <c r="L132" s="1">
        <v>56</v>
      </c>
      <c r="M132" s="1">
        <v>60</v>
      </c>
    </row>
    <row r="133" spans="1:13" x14ac:dyDescent="0.25">
      <c r="A133" s="1">
        <v>751</v>
      </c>
      <c r="B133" s="2">
        <v>40577</v>
      </c>
      <c r="C133" s="1">
        <v>16</v>
      </c>
      <c r="D133" s="1" t="b">
        <v>0</v>
      </c>
      <c r="E133" s="1">
        <v>4</v>
      </c>
      <c r="F133" s="1">
        <v>1</v>
      </c>
      <c r="G133" s="1">
        <v>0.22</v>
      </c>
      <c r="H133" s="1">
        <v>0.21210000000000001</v>
      </c>
      <c r="I133" s="1">
        <v>0.37</v>
      </c>
      <c r="J133" s="1">
        <v>0.25369999999999998</v>
      </c>
      <c r="K133" s="1">
        <v>5</v>
      </c>
      <c r="L133" s="1">
        <v>73</v>
      </c>
      <c r="M133" s="1">
        <v>78</v>
      </c>
    </row>
    <row r="134" spans="1:13" x14ac:dyDescent="0.25">
      <c r="A134" s="1">
        <v>752</v>
      </c>
      <c r="B134" s="2">
        <v>40577</v>
      </c>
      <c r="C134" s="1">
        <v>17</v>
      </c>
      <c r="D134" s="1" t="b">
        <v>0</v>
      </c>
      <c r="E134" s="1">
        <v>4</v>
      </c>
      <c r="F134" s="1">
        <v>1</v>
      </c>
      <c r="G134" s="1">
        <v>0.2</v>
      </c>
      <c r="H134" s="1">
        <v>0.19700000000000001</v>
      </c>
      <c r="I134" s="1">
        <v>0.4</v>
      </c>
      <c r="J134" s="1">
        <v>0.19400000000000001</v>
      </c>
      <c r="K134" s="1">
        <v>5</v>
      </c>
      <c r="L134" s="1">
        <v>170</v>
      </c>
      <c r="M134" s="1">
        <v>175</v>
      </c>
    </row>
    <row r="135" spans="1:13" x14ac:dyDescent="0.25">
      <c r="A135" s="1">
        <v>753</v>
      </c>
      <c r="B135" s="2">
        <v>40577</v>
      </c>
      <c r="C135" s="1">
        <v>18</v>
      </c>
      <c r="D135" s="1" t="b">
        <v>0</v>
      </c>
      <c r="E135" s="1">
        <v>4</v>
      </c>
      <c r="F135" s="1">
        <v>1</v>
      </c>
      <c r="G135" s="1">
        <v>0.2</v>
      </c>
      <c r="H135" s="1">
        <v>0.21210000000000001</v>
      </c>
      <c r="I135" s="1">
        <v>0.4</v>
      </c>
      <c r="J135" s="1">
        <v>0.16420000000000001</v>
      </c>
      <c r="K135" s="1">
        <v>2</v>
      </c>
      <c r="L135" s="1">
        <v>145</v>
      </c>
      <c r="M135" s="1">
        <v>147</v>
      </c>
    </row>
    <row r="136" spans="1:13" x14ac:dyDescent="0.25">
      <c r="A136" s="1">
        <v>754</v>
      </c>
      <c r="B136" s="2">
        <v>40577</v>
      </c>
      <c r="C136" s="1">
        <v>19</v>
      </c>
      <c r="D136" s="1" t="b">
        <v>0</v>
      </c>
      <c r="E136" s="1">
        <v>4</v>
      </c>
      <c r="F136" s="1">
        <v>1</v>
      </c>
      <c r="G136" s="1">
        <v>0.2</v>
      </c>
      <c r="H136" s="1">
        <v>0.2576</v>
      </c>
      <c r="I136" s="1">
        <v>0.4</v>
      </c>
      <c r="J136" s="1">
        <v>0</v>
      </c>
      <c r="K136" s="1">
        <v>4</v>
      </c>
      <c r="L136" s="1">
        <v>92</v>
      </c>
      <c r="M136" s="1">
        <v>96</v>
      </c>
    </row>
    <row r="137" spans="1:13" x14ac:dyDescent="0.25">
      <c r="A137" s="1">
        <v>755</v>
      </c>
      <c r="B137" s="2">
        <v>40577</v>
      </c>
      <c r="C137" s="1">
        <v>20</v>
      </c>
      <c r="D137" s="1" t="b">
        <v>0</v>
      </c>
      <c r="E137" s="1">
        <v>4</v>
      </c>
      <c r="F137" s="1">
        <v>1</v>
      </c>
      <c r="G137" s="1">
        <v>0.2</v>
      </c>
      <c r="H137" s="1">
        <v>0.2273</v>
      </c>
      <c r="I137" s="1">
        <v>0.47</v>
      </c>
      <c r="J137" s="1">
        <v>8.9599999999999999E-2</v>
      </c>
      <c r="K137" s="1">
        <v>1</v>
      </c>
      <c r="L137" s="1">
        <v>108</v>
      </c>
      <c r="M137" s="1">
        <v>109</v>
      </c>
    </row>
    <row r="138" spans="1:13" x14ac:dyDescent="0.25">
      <c r="A138" s="1">
        <v>756</v>
      </c>
      <c r="B138" s="2">
        <v>40577</v>
      </c>
      <c r="C138" s="1">
        <v>21</v>
      </c>
      <c r="D138" s="1" t="b">
        <v>0</v>
      </c>
      <c r="E138" s="1">
        <v>4</v>
      </c>
      <c r="F138" s="1">
        <v>1</v>
      </c>
      <c r="G138" s="1">
        <v>0.18</v>
      </c>
      <c r="H138" s="1">
        <v>0.21210000000000001</v>
      </c>
      <c r="I138" s="1">
        <v>0.55000000000000004</v>
      </c>
      <c r="J138" s="1">
        <v>0.1045</v>
      </c>
      <c r="K138" s="1">
        <v>1</v>
      </c>
      <c r="L138" s="1">
        <v>53</v>
      </c>
      <c r="M138" s="1">
        <v>54</v>
      </c>
    </row>
    <row r="139" spans="1:13" x14ac:dyDescent="0.25">
      <c r="A139" s="1">
        <v>757</v>
      </c>
      <c r="B139" s="2">
        <v>40577</v>
      </c>
      <c r="C139" s="1">
        <v>22</v>
      </c>
      <c r="D139" s="1" t="b">
        <v>0</v>
      </c>
      <c r="E139" s="1">
        <v>4</v>
      </c>
      <c r="F139" s="1">
        <v>1</v>
      </c>
      <c r="G139" s="1">
        <v>0.18</v>
      </c>
      <c r="H139" s="1">
        <v>0.21210000000000001</v>
      </c>
      <c r="I139" s="1">
        <v>0.51</v>
      </c>
      <c r="J139" s="1">
        <v>8.9599999999999999E-2</v>
      </c>
      <c r="K139" s="1">
        <v>2</v>
      </c>
      <c r="L139" s="1">
        <v>39</v>
      </c>
      <c r="M139" s="1">
        <v>41</v>
      </c>
    </row>
    <row r="140" spans="1:13" x14ac:dyDescent="0.25">
      <c r="A140" s="1">
        <v>758</v>
      </c>
      <c r="B140" s="2">
        <v>40577</v>
      </c>
      <c r="C140" s="1">
        <v>23</v>
      </c>
      <c r="D140" s="1" t="b">
        <v>0</v>
      </c>
      <c r="E140" s="1">
        <v>4</v>
      </c>
      <c r="F140" s="1">
        <v>1</v>
      </c>
      <c r="G140" s="1">
        <v>0.2</v>
      </c>
      <c r="H140" s="1">
        <v>0.2273</v>
      </c>
      <c r="I140" s="1">
        <v>0.47</v>
      </c>
      <c r="J140" s="1">
        <v>0.1045</v>
      </c>
      <c r="K140" s="1">
        <v>4</v>
      </c>
      <c r="L140" s="1">
        <v>34</v>
      </c>
      <c r="M140" s="1">
        <v>38</v>
      </c>
    </row>
    <row r="141" spans="1:13" x14ac:dyDescent="0.25">
      <c r="A141" s="1">
        <v>759</v>
      </c>
      <c r="B141" s="2">
        <v>40578</v>
      </c>
      <c r="C141" s="1">
        <v>0</v>
      </c>
      <c r="D141" s="1" t="b">
        <v>0</v>
      </c>
      <c r="E141" s="1">
        <v>5</v>
      </c>
      <c r="F141" s="1">
        <v>2</v>
      </c>
      <c r="G141" s="1">
        <v>0.2</v>
      </c>
      <c r="H141" s="1">
        <v>0.2576</v>
      </c>
      <c r="I141" s="1">
        <v>0.44</v>
      </c>
      <c r="J141" s="1">
        <v>0</v>
      </c>
      <c r="K141" s="1">
        <v>3</v>
      </c>
      <c r="L141" s="1">
        <v>10</v>
      </c>
      <c r="M141" s="1">
        <v>13</v>
      </c>
    </row>
    <row r="142" spans="1:13" x14ac:dyDescent="0.25">
      <c r="A142" s="1">
        <v>760</v>
      </c>
      <c r="B142" s="2">
        <v>40578</v>
      </c>
      <c r="C142" s="1">
        <v>1</v>
      </c>
      <c r="D142" s="1" t="b">
        <v>0</v>
      </c>
      <c r="E142" s="1">
        <v>5</v>
      </c>
      <c r="F142" s="1">
        <v>2</v>
      </c>
      <c r="G142" s="1">
        <v>0.16</v>
      </c>
      <c r="H142" s="1">
        <v>0.2273</v>
      </c>
      <c r="I142" s="1">
        <v>0.59</v>
      </c>
      <c r="J142" s="1">
        <v>0</v>
      </c>
      <c r="K142" s="1">
        <v>0</v>
      </c>
      <c r="L142" s="1">
        <v>7</v>
      </c>
      <c r="M142" s="1">
        <v>7</v>
      </c>
    </row>
    <row r="143" spans="1:13" x14ac:dyDescent="0.25">
      <c r="A143" s="1">
        <v>761</v>
      </c>
      <c r="B143" s="2">
        <v>40578</v>
      </c>
      <c r="C143" s="1">
        <v>2</v>
      </c>
      <c r="D143" s="1" t="b">
        <v>0</v>
      </c>
      <c r="E143" s="1">
        <v>5</v>
      </c>
      <c r="F143" s="1">
        <v>2</v>
      </c>
      <c r="G143" s="1">
        <v>0.14000000000000001</v>
      </c>
      <c r="H143" s="1">
        <v>0.16669999999999999</v>
      </c>
      <c r="I143" s="1">
        <v>0.63</v>
      </c>
      <c r="J143" s="1">
        <v>0.1045</v>
      </c>
      <c r="K143" s="1">
        <v>0</v>
      </c>
      <c r="L143" s="1">
        <v>1</v>
      </c>
      <c r="M143" s="1">
        <v>1</v>
      </c>
    </row>
    <row r="144" spans="1:13" x14ac:dyDescent="0.25">
      <c r="A144" s="1">
        <v>762</v>
      </c>
      <c r="B144" s="2">
        <v>40578</v>
      </c>
      <c r="C144" s="1">
        <v>3</v>
      </c>
      <c r="D144" s="1" t="b">
        <v>0</v>
      </c>
      <c r="E144" s="1">
        <v>5</v>
      </c>
      <c r="F144" s="1">
        <v>2</v>
      </c>
      <c r="G144" s="1">
        <v>0.14000000000000001</v>
      </c>
      <c r="H144" s="1">
        <v>0.16669999999999999</v>
      </c>
      <c r="I144" s="1">
        <v>0.63</v>
      </c>
      <c r="J144" s="1">
        <v>0.1045</v>
      </c>
      <c r="K144" s="1">
        <v>0</v>
      </c>
      <c r="L144" s="1">
        <v>1</v>
      </c>
      <c r="M144" s="1">
        <v>1</v>
      </c>
    </row>
    <row r="145" spans="1:13" x14ac:dyDescent="0.25">
      <c r="A145" s="1">
        <v>763</v>
      </c>
      <c r="B145" s="2">
        <v>40578</v>
      </c>
      <c r="C145" s="1">
        <v>5</v>
      </c>
      <c r="D145" s="1" t="b">
        <v>0</v>
      </c>
      <c r="E145" s="1">
        <v>5</v>
      </c>
      <c r="F145" s="1">
        <v>2</v>
      </c>
      <c r="G145" s="1">
        <v>0.14000000000000001</v>
      </c>
      <c r="H145" s="1">
        <v>0.1515</v>
      </c>
      <c r="I145" s="1">
        <v>0.63</v>
      </c>
      <c r="J145" s="1">
        <v>0.1343</v>
      </c>
      <c r="K145" s="1">
        <v>0</v>
      </c>
      <c r="L145" s="1">
        <v>7</v>
      </c>
      <c r="M145" s="1">
        <v>7</v>
      </c>
    </row>
    <row r="146" spans="1:13" x14ac:dyDescent="0.25">
      <c r="A146" s="1">
        <v>764</v>
      </c>
      <c r="B146" s="2">
        <v>40578</v>
      </c>
      <c r="C146" s="1">
        <v>6</v>
      </c>
      <c r="D146" s="1" t="b">
        <v>0</v>
      </c>
      <c r="E146" s="1">
        <v>5</v>
      </c>
      <c r="F146" s="1">
        <v>2</v>
      </c>
      <c r="G146" s="1">
        <v>0.16</v>
      </c>
      <c r="H146" s="1">
        <v>0.2273</v>
      </c>
      <c r="I146" s="1">
        <v>0.55000000000000004</v>
      </c>
      <c r="J146" s="1">
        <v>0</v>
      </c>
      <c r="K146" s="1">
        <v>2</v>
      </c>
      <c r="L146" s="1">
        <v>26</v>
      </c>
      <c r="M146" s="1">
        <v>28</v>
      </c>
    </row>
    <row r="147" spans="1:13" x14ac:dyDescent="0.25">
      <c r="A147" s="1">
        <v>765</v>
      </c>
      <c r="B147" s="2">
        <v>40578</v>
      </c>
      <c r="C147" s="1">
        <v>7</v>
      </c>
      <c r="D147" s="1" t="b">
        <v>0</v>
      </c>
      <c r="E147" s="1">
        <v>5</v>
      </c>
      <c r="F147" s="1">
        <v>1</v>
      </c>
      <c r="G147" s="1">
        <v>0.14000000000000001</v>
      </c>
      <c r="H147" s="1">
        <v>0.21210000000000001</v>
      </c>
      <c r="I147" s="1">
        <v>0.59</v>
      </c>
      <c r="J147" s="1">
        <v>0</v>
      </c>
      <c r="K147" s="1">
        <v>0</v>
      </c>
      <c r="L147" s="1">
        <v>87</v>
      </c>
      <c r="M147" s="1">
        <v>87</v>
      </c>
    </row>
    <row r="148" spans="1:13" x14ac:dyDescent="0.25">
      <c r="A148" s="1">
        <v>766</v>
      </c>
      <c r="B148" s="2">
        <v>40578</v>
      </c>
      <c r="C148" s="1">
        <v>8</v>
      </c>
      <c r="D148" s="1" t="b">
        <v>0</v>
      </c>
      <c r="E148" s="1">
        <v>5</v>
      </c>
      <c r="F148" s="1">
        <v>1</v>
      </c>
      <c r="G148" s="1">
        <v>0.14000000000000001</v>
      </c>
      <c r="H148" s="1">
        <v>0.1515</v>
      </c>
      <c r="I148" s="1">
        <v>0.74</v>
      </c>
      <c r="J148" s="1">
        <v>0.1343</v>
      </c>
      <c r="K148" s="1">
        <v>3</v>
      </c>
      <c r="L148" s="1">
        <v>217</v>
      </c>
      <c r="M148" s="1">
        <v>220</v>
      </c>
    </row>
    <row r="149" spans="1:13" x14ac:dyDescent="0.25">
      <c r="A149" s="1">
        <v>767</v>
      </c>
      <c r="B149" s="2">
        <v>40578</v>
      </c>
      <c r="C149" s="1">
        <v>9</v>
      </c>
      <c r="D149" s="1" t="b">
        <v>0</v>
      </c>
      <c r="E149" s="1">
        <v>5</v>
      </c>
      <c r="F149" s="1">
        <v>2</v>
      </c>
      <c r="G149" s="1">
        <v>0.16</v>
      </c>
      <c r="H149" s="1">
        <v>0.18179999999999999</v>
      </c>
      <c r="I149" s="1">
        <v>0.8</v>
      </c>
      <c r="J149" s="1">
        <v>0.1343</v>
      </c>
      <c r="K149" s="1">
        <v>3</v>
      </c>
      <c r="L149" s="1">
        <v>124</v>
      </c>
      <c r="M149" s="1">
        <v>127</v>
      </c>
    </row>
    <row r="150" spans="1:13" x14ac:dyDescent="0.25">
      <c r="A150" s="1">
        <v>768</v>
      </c>
      <c r="B150" s="2">
        <v>40578</v>
      </c>
      <c r="C150" s="1">
        <v>10</v>
      </c>
      <c r="D150" s="1" t="b">
        <v>0</v>
      </c>
      <c r="E150" s="1">
        <v>5</v>
      </c>
      <c r="F150" s="1">
        <v>2</v>
      </c>
      <c r="G150" s="1">
        <v>0.2</v>
      </c>
      <c r="H150" s="1">
        <v>0.21210000000000001</v>
      </c>
      <c r="I150" s="1">
        <v>0.51</v>
      </c>
      <c r="J150" s="1">
        <v>0.1343</v>
      </c>
      <c r="K150" s="1">
        <v>5</v>
      </c>
      <c r="L150" s="1">
        <v>46</v>
      </c>
      <c r="M150" s="1">
        <v>51</v>
      </c>
    </row>
    <row r="151" spans="1:13" x14ac:dyDescent="0.25">
      <c r="A151" s="1">
        <v>769</v>
      </c>
      <c r="B151" s="2">
        <v>40578</v>
      </c>
      <c r="C151" s="1">
        <v>11</v>
      </c>
      <c r="D151" s="1" t="b">
        <v>0</v>
      </c>
      <c r="E151" s="1">
        <v>5</v>
      </c>
      <c r="F151" s="1">
        <v>1</v>
      </c>
      <c r="G151" s="1">
        <v>0.22</v>
      </c>
      <c r="H151" s="1">
        <v>0.2273</v>
      </c>
      <c r="I151" s="1">
        <v>0.51</v>
      </c>
      <c r="J151" s="1">
        <v>0.16420000000000001</v>
      </c>
      <c r="K151" s="1">
        <v>3</v>
      </c>
      <c r="L151" s="1">
        <v>61</v>
      </c>
      <c r="M151" s="1">
        <v>64</v>
      </c>
    </row>
    <row r="152" spans="1:13" x14ac:dyDescent="0.25">
      <c r="A152" s="1">
        <v>770</v>
      </c>
      <c r="B152" s="2">
        <v>40578</v>
      </c>
      <c r="C152" s="1">
        <v>12</v>
      </c>
      <c r="D152" s="1" t="b">
        <v>0</v>
      </c>
      <c r="E152" s="1">
        <v>5</v>
      </c>
      <c r="F152" s="1">
        <v>2</v>
      </c>
      <c r="G152" s="1">
        <v>0.24</v>
      </c>
      <c r="H152" s="1">
        <v>0.2424</v>
      </c>
      <c r="I152" s="1">
        <v>0.48</v>
      </c>
      <c r="J152" s="1">
        <v>0.16420000000000001</v>
      </c>
      <c r="K152" s="1">
        <v>8</v>
      </c>
      <c r="L152" s="1">
        <v>78</v>
      </c>
      <c r="M152" s="1">
        <v>86</v>
      </c>
    </row>
    <row r="153" spans="1:13" x14ac:dyDescent="0.25">
      <c r="A153" s="1">
        <v>771</v>
      </c>
      <c r="B153" s="2">
        <v>40578</v>
      </c>
      <c r="C153" s="1">
        <v>13</v>
      </c>
      <c r="D153" s="1" t="b">
        <v>0</v>
      </c>
      <c r="E153" s="1">
        <v>5</v>
      </c>
      <c r="F153" s="1">
        <v>2</v>
      </c>
      <c r="G153" s="1">
        <v>0.26</v>
      </c>
      <c r="H153" s="1">
        <v>0.2576</v>
      </c>
      <c r="I153" s="1">
        <v>0.5</v>
      </c>
      <c r="J153" s="1">
        <v>0.22389999999999999</v>
      </c>
      <c r="K153" s="1">
        <v>9</v>
      </c>
      <c r="L153" s="1">
        <v>73</v>
      </c>
      <c r="M153" s="1">
        <v>82</v>
      </c>
    </row>
    <row r="154" spans="1:13" x14ac:dyDescent="0.25">
      <c r="A154" s="1">
        <v>772</v>
      </c>
      <c r="B154" s="2">
        <v>40578</v>
      </c>
      <c r="C154" s="1">
        <v>14</v>
      </c>
      <c r="D154" s="1" t="b">
        <v>0</v>
      </c>
      <c r="E154" s="1">
        <v>5</v>
      </c>
      <c r="F154" s="1">
        <v>2</v>
      </c>
      <c r="G154" s="1">
        <v>0.28000000000000003</v>
      </c>
      <c r="H154" s="1">
        <v>0.2727</v>
      </c>
      <c r="I154" s="1">
        <v>0.45</v>
      </c>
      <c r="J154" s="1">
        <v>0.16420000000000001</v>
      </c>
      <c r="K154" s="1">
        <v>15</v>
      </c>
      <c r="L154" s="1">
        <v>76</v>
      </c>
      <c r="M154" s="1">
        <v>91</v>
      </c>
    </row>
    <row r="155" spans="1:13" x14ac:dyDescent="0.25">
      <c r="A155" s="1">
        <v>773</v>
      </c>
      <c r="B155" s="2">
        <v>40578</v>
      </c>
      <c r="C155" s="1">
        <v>15</v>
      </c>
      <c r="D155" s="1" t="b">
        <v>0</v>
      </c>
      <c r="E155" s="1">
        <v>5</v>
      </c>
      <c r="F155" s="1">
        <v>2</v>
      </c>
      <c r="G155" s="1">
        <v>0.28000000000000003</v>
      </c>
      <c r="H155" s="1">
        <v>0.2727</v>
      </c>
      <c r="I155" s="1">
        <v>0.48</v>
      </c>
      <c r="J155" s="1">
        <v>0.25369999999999998</v>
      </c>
      <c r="K155" s="1">
        <v>9</v>
      </c>
      <c r="L155" s="1">
        <v>81</v>
      </c>
      <c r="M155" s="1">
        <v>90</v>
      </c>
    </row>
    <row r="156" spans="1:13" x14ac:dyDescent="0.25">
      <c r="A156" s="1">
        <v>774</v>
      </c>
      <c r="B156" s="2">
        <v>40578</v>
      </c>
      <c r="C156" s="1">
        <v>16</v>
      </c>
      <c r="D156" s="1" t="b">
        <v>0</v>
      </c>
      <c r="E156" s="1">
        <v>5</v>
      </c>
      <c r="F156" s="1">
        <v>2</v>
      </c>
      <c r="G156" s="1">
        <v>0.3</v>
      </c>
      <c r="H156" s="1">
        <v>0.28789999999999999</v>
      </c>
      <c r="I156" s="1">
        <v>0.42</v>
      </c>
      <c r="J156" s="1">
        <v>0.22389999999999999</v>
      </c>
      <c r="K156" s="1">
        <v>8</v>
      </c>
      <c r="L156" s="1">
        <v>91</v>
      </c>
      <c r="M156" s="1">
        <v>99</v>
      </c>
    </row>
    <row r="157" spans="1:13" x14ac:dyDescent="0.25">
      <c r="A157" s="1">
        <v>775</v>
      </c>
      <c r="B157" s="2">
        <v>40578</v>
      </c>
      <c r="C157" s="1">
        <v>17</v>
      </c>
      <c r="D157" s="1" t="b">
        <v>0</v>
      </c>
      <c r="E157" s="1">
        <v>5</v>
      </c>
      <c r="F157" s="1">
        <v>2</v>
      </c>
      <c r="G157" s="1">
        <v>0.26</v>
      </c>
      <c r="H157" s="1">
        <v>0.2727</v>
      </c>
      <c r="I157" s="1">
        <v>0.56000000000000005</v>
      </c>
      <c r="J157" s="1">
        <v>0.1343</v>
      </c>
      <c r="K157" s="1">
        <v>10</v>
      </c>
      <c r="L157" s="1">
        <v>195</v>
      </c>
      <c r="M157" s="1">
        <v>205</v>
      </c>
    </row>
    <row r="158" spans="1:13" x14ac:dyDescent="0.25">
      <c r="A158" s="1">
        <v>776</v>
      </c>
      <c r="B158" s="2">
        <v>40578</v>
      </c>
      <c r="C158" s="1">
        <v>18</v>
      </c>
      <c r="D158" s="1" t="b">
        <v>0</v>
      </c>
      <c r="E158" s="1">
        <v>5</v>
      </c>
      <c r="F158" s="1">
        <v>2</v>
      </c>
      <c r="G158" s="1">
        <v>0.24</v>
      </c>
      <c r="H158" s="1">
        <v>0.2576</v>
      </c>
      <c r="I158" s="1">
        <v>0.6</v>
      </c>
      <c r="J158" s="1">
        <v>0.1045</v>
      </c>
      <c r="K158" s="1">
        <v>3</v>
      </c>
      <c r="L158" s="1">
        <v>152</v>
      </c>
      <c r="M158" s="1">
        <v>155</v>
      </c>
    </row>
    <row r="159" spans="1:13" x14ac:dyDescent="0.25">
      <c r="A159" s="1">
        <v>777</v>
      </c>
      <c r="B159" s="2">
        <v>40578</v>
      </c>
      <c r="C159" s="1">
        <v>19</v>
      </c>
      <c r="D159" s="1" t="b">
        <v>0</v>
      </c>
      <c r="E159" s="1">
        <v>5</v>
      </c>
      <c r="F159" s="1">
        <v>2</v>
      </c>
      <c r="G159" s="1">
        <v>0.24</v>
      </c>
      <c r="H159" s="1">
        <v>0.2424</v>
      </c>
      <c r="I159" s="1">
        <v>0.65</v>
      </c>
      <c r="J159" s="1">
        <v>0.1343</v>
      </c>
      <c r="K159" s="1">
        <v>1</v>
      </c>
      <c r="L159" s="1">
        <v>102</v>
      </c>
      <c r="M159" s="1">
        <v>103</v>
      </c>
    </row>
    <row r="160" spans="1:13" x14ac:dyDescent="0.25">
      <c r="A160" s="1">
        <v>778</v>
      </c>
      <c r="B160" s="2">
        <v>40578</v>
      </c>
      <c r="C160" s="1">
        <v>20</v>
      </c>
      <c r="D160" s="1" t="b">
        <v>0</v>
      </c>
      <c r="E160" s="1">
        <v>5</v>
      </c>
      <c r="F160" s="1">
        <v>2</v>
      </c>
      <c r="G160" s="1">
        <v>0.24</v>
      </c>
      <c r="H160" s="1">
        <v>0.2424</v>
      </c>
      <c r="I160" s="1">
        <v>0.65</v>
      </c>
      <c r="J160" s="1">
        <v>0.16420000000000001</v>
      </c>
      <c r="K160" s="1">
        <v>2</v>
      </c>
      <c r="L160" s="1">
        <v>69</v>
      </c>
      <c r="M160" s="1">
        <v>71</v>
      </c>
    </row>
    <row r="161" spans="1:13" x14ac:dyDescent="0.25">
      <c r="A161" s="1">
        <v>779</v>
      </c>
      <c r="B161" s="2">
        <v>40578</v>
      </c>
      <c r="C161" s="1">
        <v>21</v>
      </c>
      <c r="D161" s="1" t="b">
        <v>0</v>
      </c>
      <c r="E161" s="1">
        <v>5</v>
      </c>
      <c r="F161" s="1">
        <v>2</v>
      </c>
      <c r="G161" s="1">
        <v>0.24</v>
      </c>
      <c r="H161" s="1">
        <v>0.2424</v>
      </c>
      <c r="I161" s="1">
        <v>0.7</v>
      </c>
      <c r="J161" s="1">
        <v>0.16420000000000001</v>
      </c>
      <c r="K161" s="1">
        <v>2</v>
      </c>
      <c r="L161" s="1">
        <v>41</v>
      </c>
      <c r="M161" s="1">
        <v>43</v>
      </c>
    </row>
    <row r="162" spans="1:13" x14ac:dyDescent="0.25">
      <c r="A162" s="1">
        <v>780</v>
      </c>
      <c r="B162" s="2">
        <v>40578</v>
      </c>
      <c r="C162" s="1">
        <v>22</v>
      </c>
      <c r="D162" s="1" t="b">
        <v>0</v>
      </c>
      <c r="E162" s="1">
        <v>5</v>
      </c>
      <c r="F162" s="1">
        <v>2</v>
      </c>
      <c r="G162" s="1">
        <v>0.24</v>
      </c>
      <c r="H162" s="1">
        <v>0.2424</v>
      </c>
      <c r="I162" s="1">
        <v>0.65</v>
      </c>
      <c r="J162" s="1">
        <v>0.16420000000000001</v>
      </c>
      <c r="K162" s="1">
        <v>1</v>
      </c>
      <c r="L162" s="1">
        <v>45</v>
      </c>
      <c r="M162" s="1">
        <v>46</v>
      </c>
    </row>
    <row r="163" spans="1:13" x14ac:dyDescent="0.25">
      <c r="A163" s="1">
        <v>781</v>
      </c>
      <c r="B163" s="2">
        <v>40578</v>
      </c>
      <c r="C163" s="1">
        <v>23</v>
      </c>
      <c r="D163" s="1" t="b">
        <v>0</v>
      </c>
      <c r="E163" s="1">
        <v>5</v>
      </c>
      <c r="F163" s="1">
        <v>2</v>
      </c>
      <c r="G163" s="1">
        <v>0.24</v>
      </c>
      <c r="H163" s="1">
        <v>0.2424</v>
      </c>
      <c r="I163" s="1">
        <v>0.7</v>
      </c>
      <c r="J163" s="1">
        <v>0.1343</v>
      </c>
      <c r="K163" s="1">
        <v>1</v>
      </c>
      <c r="L163" s="1">
        <v>30</v>
      </c>
      <c r="M163" s="1">
        <v>31</v>
      </c>
    </row>
    <row r="164" spans="1:13" x14ac:dyDescent="0.25">
      <c r="A164" s="1">
        <v>782</v>
      </c>
      <c r="B164" s="2">
        <v>40579</v>
      </c>
      <c r="C164" s="1">
        <v>0</v>
      </c>
      <c r="D164" s="1" t="b">
        <v>0</v>
      </c>
      <c r="E164" s="1">
        <v>6</v>
      </c>
      <c r="F164" s="1">
        <v>2</v>
      </c>
      <c r="G164" s="1">
        <v>0.24</v>
      </c>
      <c r="H164" s="1">
        <v>0.2424</v>
      </c>
      <c r="I164" s="1">
        <v>0.7</v>
      </c>
      <c r="J164" s="1">
        <v>0.16420000000000001</v>
      </c>
      <c r="K164" s="1">
        <v>3</v>
      </c>
      <c r="L164" s="1">
        <v>36</v>
      </c>
      <c r="M164" s="1">
        <v>39</v>
      </c>
    </row>
    <row r="165" spans="1:13" x14ac:dyDescent="0.25">
      <c r="A165" s="1">
        <v>783</v>
      </c>
      <c r="B165" s="2">
        <v>40579</v>
      </c>
      <c r="C165" s="1">
        <v>1</v>
      </c>
      <c r="D165" s="1" t="b">
        <v>0</v>
      </c>
      <c r="E165" s="1">
        <v>6</v>
      </c>
      <c r="F165" s="1">
        <v>2</v>
      </c>
      <c r="G165" s="1">
        <v>0.24</v>
      </c>
      <c r="H165" s="1">
        <v>0.2424</v>
      </c>
      <c r="I165" s="1">
        <v>0.65</v>
      </c>
      <c r="J165" s="1">
        <v>0.16420000000000001</v>
      </c>
      <c r="K165" s="1">
        <v>1</v>
      </c>
      <c r="L165" s="1">
        <v>17</v>
      </c>
      <c r="M165" s="1">
        <v>18</v>
      </c>
    </row>
    <row r="166" spans="1:13" x14ac:dyDescent="0.25">
      <c r="A166" s="1">
        <v>784</v>
      </c>
      <c r="B166" s="2">
        <v>40579</v>
      </c>
      <c r="C166" s="1">
        <v>2</v>
      </c>
      <c r="D166" s="1" t="b">
        <v>0</v>
      </c>
      <c r="E166" s="1">
        <v>6</v>
      </c>
      <c r="F166" s="1">
        <v>2</v>
      </c>
      <c r="G166" s="1">
        <v>0.24</v>
      </c>
      <c r="H166" s="1">
        <v>0.2424</v>
      </c>
      <c r="I166" s="1">
        <v>0.75</v>
      </c>
      <c r="J166" s="1">
        <v>0.16420000000000001</v>
      </c>
      <c r="K166" s="1">
        <v>5</v>
      </c>
      <c r="L166" s="1">
        <v>12</v>
      </c>
      <c r="M166" s="1">
        <v>17</v>
      </c>
    </row>
    <row r="167" spans="1:13" x14ac:dyDescent="0.25">
      <c r="A167" s="1">
        <v>785</v>
      </c>
      <c r="B167" s="2">
        <v>40579</v>
      </c>
      <c r="C167" s="1">
        <v>3</v>
      </c>
      <c r="D167" s="1" t="b">
        <v>0</v>
      </c>
      <c r="E167" s="1">
        <v>6</v>
      </c>
      <c r="F167" s="1">
        <v>2</v>
      </c>
      <c r="G167" s="1">
        <v>0.24</v>
      </c>
      <c r="H167" s="1">
        <v>0.2424</v>
      </c>
      <c r="I167" s="1">
        <v>0.75</v>
      </c>
      <c r="J167" s="1">
        <v>0.16420000000000001</v>
      </c>
      <c r="K167" s="1">
        <v>1</v>
      </c>
      <c r="L167" s="1">
        <v>10</v>
      </c>
      <c r="M167" s="1">
        <v>11</v>
      </c>
    </row>
    <row r="168" spans="1:13" x14ac:dyDescent="0.25">
      <c r="A168" s="1">
        <v>786</v>
      </c>
      <c r="B168" s="2">
        <v>40579</v>
      </c>
      <c r="C168" s="1">
        <v>4</v>
      </c>
      <c r="D168" s="1" t="b">
        <v>0</v>
      </c>
      <c r="E168" s="1">
        <v>6</v>
      </c>
      <c r="F168" s="1">
        <v>3</v>
      </c>
      <c r="G168" s="1">
        <v>0.22</v>
      </c>
      <c r="H168" s="1">
        <v>0.2273</v>
      </c>
      <c r="I168" s="1">
        <v>0.93</v>
      </c>
      <c r="J168" s="1">
        <v>0.1343</v>
      </c>
      <c r="K168" s="1">
        <v>0</v>
      </c>
      <c r="L168" s="1">
        <v>8</v>
      </c>
      <c r="M168" s="1">
        <v>8</v>
      </c>
    </row>
    <row r="169" spans="1:13" x14ac:dyDescent="0.25">
      <c r="A169" s="1">
        <v>787</v>
      </c>
      <c r="B169" s="2">
        <v>40579</v>
      </c>
      <c r="C169" s="1">
        <v>5</v>
      </c>
      <c r="D169" s="1" t="b">
        <v>0</v>
      </c>
      <c r="E169" s="1">
        <v>6</v>
      </c>
      <c r="F169" s="1">
        <v>3</v>
      </c>
      <c r="G169" s="1">
        <v>0.2</v>
      </c>
      <c r="H169" s="1">
        <v>0.2273</v>
      </c>
      <c r="I169" s="1">
        <v>1</v>
      </c>
      <c r="J169" s="1">
        <v>8.9599999999999999E-2</v>
      </c>
      <c r="K169" s="1">
        <v>0</v>
      </c>
      <c r="L169" s="1">
        <v>9</v>
      </c>
      <c r="M169" s="1">
        <v>9</v>
      </c>
    </row>
    <row r="170" spans="1:13" x14ac:dyDescent="0.25">
      <c r="A170" s="1">
        <v>788</v>
      </c>
      <c r="B170" s="2">
        <v>40579</v>
      </c>
      <c r="C170" s="1">
        <v>6</v>
      </c>
      <c r="D170" s="1" t="b">
        <v>0</v>
      </c>
      <c r="E170" s="1">
        <v>6</v>
      </c>
      <c r="F170" s="1">
        <v>3</v>
      </c>
      <c r="G170" s="1">
        <v>0.2</v>
      </c>
      <c r="H170" s="1">
        <v>0.2576</v>
      </c>
      <c r="I170" s="1">
        <v>1</v>
      </c>
      <c r="J170" s="1">
        <v>0</v>
      </c>
      <c r="K170" s="1">
        <v>0</v>
      </c>
      <c r="L170" s="1">
        <v>4</v>
      </c>
      <c r="M170" s="1">
        <v>4</v>
      </c>
    </row>
    <row r="171" spans="1:13" x14ac:dyDescent="0.25">
      <c r="A171" s="1">
        <v>789</v>
      </c>
      <c r="B171" s="2">
        <v>40579</v>
      </c>
      <c r="C171" s="1">
        <v>7</v>
      </c>
      <c r="D171" s="1" t="b">
        <v>0</v>
      </c>
      <c r="E171" s="1">
        <v>6</v>
      </c>
      <c r="F171" s="1">
        <v>3</v>
      </c>
      <c r="G171" s="1">
        <v>0.22</v>
      </c>
      <c r="H171" s="1">
        <v>0.2576</v>
      </c>
      <c r="I171" s="1">
        <v>0.93</v>
      </c>
      <c r="J171" s="1">
        <v>8.9599999999999999E-2</v>
      </c>
      <c r="K171" s="1">
        <v>0</v>
      </c>
      <c r="L171" s="1">
        <v>4</v>
      </c>
      <c r="M171" s="1">
        <v>4</v>
      </c>
    </row>
    <row r="172" spans="1:13" x14ac:dyDescent="0.25">
      <c r="A172" s="1">
        <v>790</v>
      </c>
      <c r="B172" s="2">
        <v>40579</v>
      </c>
      <c r="C172" s="1">
        <v>8</v>
      </c>
      <c r="D172" s="1" t="b">
        <v>0</v>
      </c>
      <c r="E172" s="1">
        <v>6</v>
      </c>
      <c r="F172" s="1">
        <v>3</v>
      </c>
      <c r="G172" s="1">
        <v>0.2</v>
      </c>
      <c r="H172" s="1">
        <v>0.2273</v>
      </c>
      <c r="I172" s="1">
        <v>1</v>
      </c>
      <c r="J172" s="1">
        <v>8.9599999999999999E-2</v>
      </c>
      <c r="K172" s="1">
        <v>0</v>
      </c>
      <c r="L172" s="1">
        <v>10</v>
      </c>
      <c r="M172" s="1">
        <v>10</v>
      </c>
    </row>
    <row r="173" spans="1:13" x14ac:dyDescent="0.25">
      <c r="A173" s="1">
        <v>791</v>
      </c>
      <c r="B173" s="2">
        <v>40579</v>
      </c>
      <c r="C173" s="1">
        <v>9</v>
      </c>
      <c r="D173" s="1" t="b">
        <v>0</v>
      </c>
      <c r="E173" s="1">
        <v>6</v>
      </c>
      <c r="F173" s="1">
        <v>3</v>
      </c>
      <c r="G173" s="1">
        <v>0.2</v>
      </c>
      <c r="H173" s="1">
        <v>0.2273</v>
      </c>
      <c r="I173" s="1">
        <v>1</v>
      </c>
      <c r="J173" s="1">
        <v>8.9599999999999999E-2</v>
      </c>
      <c r="K173" s="1">
        <v>3</v>
      </c>
      <c r="L173" s="1">
        <v>17</v>
      </c>
      <c r="M173" s="1">
        <v>20</v>
      </c>
    </row>
    <row r="174" spans="1:13" x14ac:dyDescent="0.25">
      <c r="A174" s="1">
        <v>792</v>
      </c>
      <c r="B174" s="2">
        <v>40579</v>
      </c>
      <c r="C174" s="1">
        <v>10</v>
      </c>
      <c r="D174" s="1" t="b">
        <v>0</v>
      </c>
      <c r="E174" s="1">
        <v>6</v>
      </c>
      <c r="F174" s="1">
        <v>3</v>
      </c>
      <c r="G174" s="1">
        <v>0.2</v>
      </c>
      <c r="H174" s="1">
        <v>0.21210000000000001</v>
      </c>
      <c r="I174" s="1">
        <v>1</v>
      </c>
      <c r="J174" s="1">
        <v>0.1343</v>
      </c>
      <c r="K174" s="1">
        <v>3</v>
      </c>
      <c r="L174" s="1">
        <v>31</v>
      </c>
      <c r="M174" s="1">
        <v>34</v>
      </c>
    </row>
    <row r="175" spans="1:13" x14ac:dyDescent="0.25">
      <c r="A175" s="1">
        <v>793</v>
      </c>
      <c r="B175" s="2">
        <v>40579</v>
      </c>
      <c r="C175" s="1">
        <v>11</v>
      </c>
      <c r="D175" s="1" t="b">
        <v>0</v>
      </c>
      <c r="E175" s="1">
        <v>6</v>
      </c>
      <c r="F175" s="1">
        <v>3</v>
      </c>
      <c r="G175" s="1">
        <v>0.22</v>
      </c>
      <c r="H175" s="1">
        <v>0.2273</v>
      </c>
      <c r="I175" s="1">
        <v>1</v>
      </c>
      <c r="J175" s="1">
        <v>0.1343</v>
      </c>
      <c r="K175" s="1">
        <v>1</v>
      </c>
      <c r="L175" s="1">
        <v>46</v>
      </c>
      <c r="M175" s="1">
        <v>47</v>
      </c>
    </row>
    <row r="176" spans="1:13" x14ac:dyDescent="0.25">
      <c r="A176" s="1">
        <v>794</v>
      </c>
      <c r="B176" s="2">
        <v>40579</v>
      </c>
      <c r="C176" s="1">
        <v>12</v>
      </c>
      <c r="D176" s="1" t="b">
        <v>0</v>
      </c>
      <c r="E176" s="1">
        <v>6</v>
      </c>
      <c r="F176" s="1">
        <v>3</v>
      </c>
      <c r="G176" s="1">
        <v>0.22</v>
      </c>
      <c r="H176" s="1">
        <v>0.2273</v>
      </c>
      <c r="I176" s="1">
        <v>1</v>
      </c>
      <c r="J176" s="1">
        <v>0.16420000000000001</v>
      </c>
      <c r="K176" s="1">
        <v>10</v>
      </c>
      <c r="L176" s="1">
        <v>42</v>
      </c>
      <c r="M176" s="1">
        <v>52</v>
      </c>
    </row>
    <row r="177" spans="1:13" x14ac:dyDescent="0.25">
      <c r="A177" s="1">
        <v>795</v>
      </c>
      <c r="B177" s="2">
        <v>40579</v>
      </c>
      <c r="C177" s="1">
        <v>13</v>
      </c>
      <c r="D177" s="1" t="b">
        <v>0</v>
      </c>
      <c r="E177" s="1">
        <v>6</v>
      </c>
      <c r="F177" s="1">
        <v>3</v>
      </c>
      <c r="G177" s="1">
        <v>0.22</v>
      </c>
      <c r="H177" s="1">
        <v>0.2273</v>
      </c>
      <c r="I177" s="1">
        <v>1</v>
      </c>
      <c r="J177" s="1">
        <v>0.16420000000000001</v>
      </c>
      <c r="K177" s="1">
        <v>10</v>
      </c>
      <c r="L177" s="1">
        <v>62</v>
      </c>
      <c r="M177" s="1">
        <v>72</v>
      </c>
    </row>
    <row r="178" spans="1:13" x14ac:dyDescent="0.25">
      <c r="A178" s="1">
        <v>796</v>
      </c>
      <c r="B178" s="2">
        <v>40579</v>
      </c>
      <c r="C178" s="1">
        <v>14</v>
      </c>
      <c r="D178" s="1" t="b">
        <v>0</v>
      </c>
      <c r="E178" s="1">
        <v>6</v>
      </c>
      <c r="F178" s="1">
        <v>3</v>
      </c>
      <c r="G178" s="1">
        <v>0.22</v>
      </c>
      <c r="H178" s="1">
        <v>0.2727</v>
      </c>
      <c r="I178" s="1">
        <v>1</v>
      </c>
      <c r="J178" s="1">
        <v>0</v>
      </c>
      <c r="K178" s="1">
        <v>5</v>
      </c>
      <c r="L178" s="1">
        <v>50</v>
      </c>
      <c r="M178" s="1">
        <v>55</v>
      </c>
    </row>
    <row r="179" spans="1:13" x14ac:dyDescent="0.25">
      <c r="A179" s="1">
        <v>797</v>
      </c>
      <c r="B179" s="2">
        <v>40579</v>
      </c>
      <c r="C179" s="1">
        <v>15</v>
      </c>
      <c r="D179" s="1" t="b">
        <v>0</v>
      </c>
      <c r="E179" s="1">
        <v>6</v>
      </c>
      <c r="F179" s="1">
        <v>3</v>
      </c>
      <c r="G179" s="1">
        <v>0.22</v>
      </c>
      <c r="H179" s="1">
        <v>0.2727</v>
      </c>
      <c r="I179" s="1">
        <v>1</v>
      </c>
      <c r="J179" s="1">
        <v>0</v>
      </c>
      <c r="K179" s="1">
        <v>11</v>
      </c>
      <c r="L179" s="1">
        <v>49</v>
      </c>
      <c r="M179" s="1">
        <v>60</v>
      </c>
    </row>
    <row r="180" spans="1:13" x14ac:dyDescent="0.25">
      <c r="A180" s="1">
        <v>798</v>
      </c>
      <c r="B180" s="2">
        <v>40579</v>
      </c>
      <c r="C180" s="1">
        <v>16</v>
      </c>
      <c r="D180" s="1" t="b">
        <v>0</v>
      </c>
      <c r="E180" s="1">
        <v>6</v>
      </c>
      <c r="F180" s="1">
        <v>3</v>
      </c>
      <c r="G180" s="1">
        <v>0.22</v>
      </c>
      <c r="H180" s="1">
        <v>0.2273</v>
      </c>
      <c r="I180" s="1">
        <v>1</v>
      </c>
      <c r="J180" s="1">
        <v>0.1343</v>
      </c>
      <c r="K180" s="1">
        <v>8</v>
      </c>
      <c r="L180" s="1">
        <v>63</v>
      </c>
      <c r="M180" s="1">
        <v>71</v>
      </c>
    </row>
    <row r="181" spans="1:13" x14ac:dyDescent="0.25">
      <c r="A181" s="1">
        <v>799</v>
      </c>
      <c r="B181" s="2">
        <v>40579</v>
      </c>
      <c r="C181" s="1">
        <v>17</v>
      </c>
      <c r="D181" s="1" t="b">
        <v>0</v>
      </c>
      <c r="E181" s="1">
        <v>6</v>
      </c>
      <c r="F181" s="1">
        <v>2</v>
      </c>
      <c r="G181" s="1">
        <v>0.24</v>
      </c>
      <c r="H181" s="1">
        <v>0.21210000000000001</v>
      </c>
      <c r="I181" s="1">
        <v>1</v>
      </c>
      <c r="J181" s="1">
        <v>0.28360000000000002</v>
      </c>
      <c r="K181" s="1">
        <v>14</v>
      </c>
      <c r="L181" s="1">
        <v>64</v>
      </c>
      <c r="M181" s="1">
        <v>78</v>
      </c>
    </row>
    <row r="182" spans="1:13" x14ac:dyDescent="0.25">
      <c r="A182" s="1">
        <v>800</v>
      </c>
      <c r="B182" s="2">
        <v>40579</v>
      </c>
      <c r="C182" s="1">
        <v>18</v>
      </c>
      <c r="D182" s="1" t="b">
        <v>0</v>
      </c>
      <c r="E182" s="1">
        <v>6</v>
      </c>
      <c r="F182" s="1">
        <v>2</v>
      </c>
      <c r="G182" s="1">
        <v>0.28000000000000003</v>
      </c>
      <c r="H182" s="1">
        <v>0.2424</v>
      </c>
      <c r="I182" s="1">
        <v>0.93</v>
      </c>
      <c r="J182" s="1">
        <v>0.44779999999999998</v>
      </c>
      <c r="K182" s="1">
        <v>2</v>
      </c>
      <c r="L182" s="1">
        <v>81</v>
      </c>
      <c r="M182" s="1">
        <v>83</v>
      </c>
    </row>
    <row r="183" spans="1:13" x14ac:dyDescent="0.25">
      <c r="A183" s="1">
        <v>801</v>
      </c>
      <c r="B183" s="2">
        <v>40579</v>
      </c>
      <c r="C183" s="1">
        <v>19</v>
      </c>
      <c r="D183" s="1" t="b">
        <v>0</v>
      </c>
      <c r="E183" s="1">
        <v>6</v>
      </c>
      <c r="F183" s="1">
        <v>2</v>
      </c>
      <c r="G183" s="1">
        <v>0.28000000000000003</v>
      </c>
      <c r="H183" s="1">
        <v>0.2424</v>
      </c>
      <c r="I183" s="1">
        <v>0.93</v>
      </c>
      <c r="J183" s="1">
        <v>0.44779999999999998</v>
      </c>
      <c r="K183" s="1">
        <v>6</v>
      </c>
      <c r="L183" s="1">
        <v>78</v>
      </c>
      <c r="M183" s="1">
        <v>84</v>
      </c>
    </row>
    <row r="184" spans="1:13" x14ac:dyDescent="0.25">
      <c r="A184" s="1">
        <v>802</v>
      </c>
      <c r="B184" s="2">
        <v>40579</v>
      </c>
      <c r="C184" s="1">
        <v>20</v>
      </c>
      <c r="D184" s="1" t="b">
        <v>0</v>
      </c>
      <c r="E184" s="1">
        <v>6</v>
      </c>
      <c r="F184" s="1">
        <v>1</v>
      </c>
      <c r="G184" s="1">
        <v>0.3</v>
      </c>
      <c r="H184" s="1">
        <v>0.28789999999999999</v>
      </c>
      <c r="I184" s="1">
        <v>0.87</v>
      </c>
      <c r="J184" s="1">
        <v>0.25369999999999998</v>
      </c>
      <c r="K184" s="1">
        <v>5</v>
      </c>
      <c r="L184" s="1">
        <v>64</v>
      </c>
      <c r="M184" s="1">
        <v>69</v>
      </c>
    </row>
    <row r="185" spans="1:13" x14ac:dyDescent="0.25">
      <c r="A185" s="1">
        <v>803</v>
      </c>
      <c r="B185" s="2">
        <v>40579</v>
      </c>
      <c r="C185" s="1">
        <v>21</v>
      </c>
      <c r="D185" s="1" t="b">
        <v>0</v>
      </c>
      <c r="E185" s="1">
        <v>6</v>
      </c>
      <c r="F185" s="1">
        <v>1</v>
      </c>
      <c r="G185" s="1">
        <v>0.26</v>
      </c>
      <c r="H185" s="1">
        <v>0.2576</v>
      </c>
      <c r="I185" s="1">
        <v>1</v>
      </c>
      <c r="J185" s="1">
        <v>0.19400000000000001</v>
      </c>
      <c r="K185" s="1">
        <v>3</v>
      </c>
      <c r="L185" s="1">
        <v>53</v>
      </c>
      <c r="M185" s="1">
        <v>56</v>
      </c>
    </row>
    <row r="186" spans="1:13" x14ac:dyDescent="0.25">
      <c r="A186" s="1">
        <v>804</v>
      </c>
      <c r="B186" s="2">
        <v>40579</v>
      </c>
      <c r="C186" s="1">
        <v>22</v>
      </c>
      <c r="D186" s="1" t="b">
        <v>0</v>
      </c>
      <c r="E186" s="1">
        <v>6</v>
      </c>
      <c r="F186" s="1">
        <v>1</v>
      </c>
      <c r="G186" s="1">
        <v>0.26</v>
      </c>
      <c r="H186" s="1">
        <v>0.2727</v>
      </c>
      <c r="I186" s="1">
        <v>0.93</v>
      </c>
      <c r="J186" s="1">
        <v>0.1343</v>
      </c>
      <c r="K186" s="1">
        <v>2</v>
      </c>
      <c r="L186" s="1">
        <v>43</v>
      </c>
      <c r="M186" s="1">
        <v>45</v>
      </c>
    </row>
    <row r="187" spans="1:13" x14ac:dyDescent="0.25">
      <c r="A187" s="1">
        <v>805</v>
      </c>
      <c r="B187" s="2">
        <v>40579</v>
      </c>
      <c r="C187" s="1">
        <v>23</v>
      </c>
      <c r="D187" s="1" t="b">
        <v>0</v>
      </c>
      <c r="E187" s="1">
        <v>6</v>
      </c>
      <c r="F187" s="1">
        <v>1</v>
      </c>
      <c r="G187" s="1">
        <v>0.26</v>
      </c>
      <c r="H187" s="1">
        <v>0.2576</v>
      </c>
      <c r="I187" s="1">
        <v>0.93</v>
      </c>
      <c r="J187" s="1">
        <v>0.22389999999999999</v>
      </c>
      <c r="K187" s="1">
        <v>7</v>
      </c>
      <c r="L187" s="1">
        <v>52</v>
      </c>
      <c r="M187" s="1">
        <v>59</v>
      </c>
    </row>
    <row r="188" spans="1:13" x14ac:dyDescent="0.25">
      <c r="A188" s="1">
        <v>806</v>
      </c>
      <c r="B188" s="2">
        <v>40580</v>
      </c>
      <c r="C188" s="1">
        <v>0</v>
      </c>
      <c r="D188" s="1" t="b">
        <v>0</v>
      </c>
      <c r="E188" s="1">
        <v>0</v>
      </c>
      <c r="F188" s="1">
        <v>1</v>
      </c>
      <c r="G188" s="1">
        <v>0.26</v>
      </c>
      <c r="H188" s="1">
        <v>0.2576</v>
      </c>
      <c r="I188" s="1">
        <v>0.7</v>
      </c>
      <c r="J188" s="1">
        <v>0.19400000000000001</v>
      </c>
      <c r="K188" s="1">
        <v>2</v>
      </c>
      <c r="L188" s="1">
        <v>37</v>
      </c>
      <c r="M188" s="1">
        <v>39</v>
      </c>
    </row>
    <row r="189" spans="1:13" x14ac:dyDescent="0.25">
      <c r="A189" s="1">
        <v>807</v>
      </c>
      <c r="B189" s="2">
        <v>40580</v>
      </c>
      <c r="C189" s="1">
        <v>1</v>
      </c>
      <c r="D189" s="1" t="b">
        <v>0</v>
      </c>
      <c r="E189" s="1">
        <v>0</v>
      </c>
      <c r="F189" s="1">
        <v>1</v>
      </c>
      <c r="G189" s="1">
        <v>0.26</v>
      </c>
      <c r="H189" s="1">
        <v>0.2273</v>
      </c>
      <c r="I189" s="1">
        <v>0.65</v>
      </c>
      <c r="J189" s="1">
        <v>0.41789999999999999</v>
      </c>
      <c r="K189" s="1">
        <v>4</v>
      </c>
      <c r="L189" s="1">
        <v>40</v>
      </c>
      <c r="M189" s="1">
        <v>44</v>
      </c>
    </row>
    <row r="190" spans="1:13" x14ac:dyDescent="0.25">
      <c r="A190" s="1">
        <v>808</v>
      </c>
      <c r="B190" s="2">
        <v>40580</v>
      </c>
      <c r="C190" s="1">
        <v>2</v>
      </c>
      <c r="D190" s="1" t="b">
        <v>0</v>
      </c>
      <c r="E190" s="1">
        <v>0</v>
      </c>
      <c r="F190" s="1">
        <v>1</v>
      </c>
      <c r="G190" s="1">
        <v>0.26</v>
      </c>
      <c r="H190" s="1">
        <v>0.2273</v>
      </c>
      <c r="I190" s="1">
        <v>0.6</v>
      </c>
      <c r="J190" s="1">
        <v>0.32840000000000003</v>
      </c>
      <c r="K190" s="1">
        <v>0</v>
      </c>
      <c r="L190" s="1">
        <v>20</v>
      </c>
      <c r="M190" s="1">
        <v>20</v>
      </c>
    </row>
    <row r="191" spans="1:13" x14ac:dyDescent="0.25">
      <c r="A191" s="1">
        <v>809</v>
      </c>
      <c r="B191" s="2">
        <v>40580</v>
      </c>
      <c r="C191" s="1">
        <v>3</v>
      </c>
      <c r="D191" s="1" t="b">
        <v>0</v>
      </c>
      <c r="E191" s="1">
        <v>0</v>
      </c>
      <c r="F191" s="1">
        <v>1</v>
      </c>
      <c r="G191" s="1">
        <v>0.26</v>
      </c>
      <c r="H191" s="1">
        <v>0.28789999999999999</v>
      </c>
      <c r="I191" s="1">
        <v>0.6</v>
      </c>
      <c r="J191" s="1">
        <v>8.9599999999999999E-2</v>
      </c>
      <c r="K191" s="1">
        <v>3</v>
      </c>
      <c r="L191" s="1">
        <v>10</v>
      </c>
      <c r="M191" s="1">
        <v>13</v>
      </c>
    </row>
    <row r="192" spans="1:13" x14ac:dyDescent="0.25">
      <c r="A192" s="1">
        <v>810</v>
      </c>
      <c r="B192" s="2">
        <v>40580</v>
      </c>
      <c r="C192" s="1">
        <v>4</v>
      </c>
      <c r="D192" s="1" t="b">
        <v>0</v>
      </c>
      <c r="E192" s="1">
        <v>0</v>
      </c>
      <c r="F192" s="1">
        <v>1</v>
      </c>
      <c r="G192" s="1">
        <v>0.26</v>
      </c>
      <c r="H192" s="1">
        <v>0.2273</v>
      </c>
      <c r="I192" s="1">
        <v>0.6</v>
      </c>
      <c r="J192" s="1">
        <v>0.35820000000000002</v>
      </c>
      <c r="K192" s="1">
        <v>0</v>
      </c>
      <c r="L192" s="1">
        <v>2</v>
      </c>
      <c r="M192" s="1">
        <v>2</v>
      </c>
    </row>
    <row r="193" spans="1:13" x14ac:dyDescent="0.25">
      <c r="A193" s="1">
        <v>811</v>
      </c>
      <c r="B193" s="2">
        <v>40580</v>
      </c>
      <c r="C193" s="1">
        <v>5</v>
      </c>
      <c r="D193" s="1" t="b">
        <v>0</v>
      </c>
      <c r="E193" s="1">
        <v>0</v>
      </c>
      <c r="F193" s="1">
        <v>1</v>
      </c>
      <c r="G193" s="1">
        <v>0.26</v>
      </c>
      <c r="H193" s="1">
        <v>0.2576</v>
      </c>
      <c r="I193" s="1">
        <v>0.6</v>
      </c>
      <c r="J193" s="1">
        <v>0.22389999999999999</v>
      </c>
      <c r="K193" s="1">
        <v>0</v>
      </c>
      <c r="L193" s="1">
        <v>1</v>
      </c>
      <c r="M193" s="1">
        <v>1</v>
      </c>
    </row>
    <row r="194" spans="1:13" x14ac:dyDescent="0.25">
      <c r="A194" s="1">
        <v>812</v>
      </c>
      <c r="B194" s="2">
        <v>40580</v>
      </c>
      <c r="C194" s="1">
        <v>6</v>
      </c>
      <c r="D194" s="1" t="b">
        <v>0</v>
      </c>
      <c r="E194" s="1">
        <v>0</v>
      </c>
      <c r="F194" s="1">
        <v>1</v>
      </c>
      <c r="G194" s="1">
        <v>0.26</v>
      </c>
      <c r="H194" s="1">
        <v>0.2576</v>
      </c>
      <c r="I194" s="1">
        <v>0.6</v>
      </c>
      <c r="J194" s="1">
        <v>0.22389999999999999</v>
      </c>
      <c r="K194" s="1">
        <v>0</v>
      </c>
      <c r="L194" s="1">
        <v>1</v>
      </c>
      <c r="M194" s="1">
        <v>1</v>
      </c>
    </row>
    <row r="195" spans="1:13" x14ac:dyDescent="0.25">
      <c r="A195" s="1">
        <v>813</v>
      </c>
      <c r="B195" s="2">
        <v>40580</v>
      </c>
      <c r="C195" s="1">
        <v>7</v>
      </c>
      <c r="D195" s="1" t="b">
        <v>0</v>
      </c>
      <c r="E195" s="1">
        <v>0</v>
      </c>
      <c r="F195" s="1">
        <v>1</v>
      </c>
      <c r="G195" s="1">
        <v>0.24</v>
      </c>
      <c r="H195" s="1">
        <v>0.2424</v>
      </c>
      <c r="I195" s="1">
        <v>0.65</v>
      </c>
      <c r="J195" s="1">
        <v>0.16420000000000001</v>
      </c>
      <c r="K195" s="1">
        <v>0</v>
      </c>
      <c r="L195" s="1">
        <v>8</v>
      </c>
      <c r="M195" s="1">
        <v>8</v>
      </c>
    </row>
    <row r="196" spans="1:13" x14ac:dyDescent="0.25">
      <c r="A196" s="1">
        <v>814</v>
      </c>
      <c r="B196" s="2">
        <v>40580</v>
      </c>
      <c r="C196" s="1">
        <v>8</v>
      </c>
      <c r="D196" s="1" t="b">
        <v>0</v>
      </c>
      <c r="E196" s="1">
        <v>0</v>
      </c>
      <c r="F196" s="1">
        <v>1</v>
      </c>
      <c r="G196" s="1">
        <v>0.24</v>
      </c>
      <c r="H196" s="1">
        <v>0.2576</v>
      </c>
      <c r="I196" s="1">
        <v>0.65</v>
      </c>
      <c r="J196" s="1">
        <v>0.1045</v>
      </c>
      <c r="K196" s="1">
        <v>2</v>
      </c>
      <c r="L196" s="1">
        <v>21</v>
      </c>
      <c r="M196" s="1">
        <v>23</v>
      </c>
    </row>
    <row r="197" spans="1:13" x14ac:dyDescent="0.25">
      <c r="A197" s="1">
        <v>815</v>
      </c>
      <c r="B197" s="2">
        <v>40580</v>
      </c>
      <c r="C197" s="1">
        <v>9</v>
      </c>
      <c r="D197" s="1" t="b">
        <v>0</v>
      </c>
      <c r="E197" s="1">
        <v>0</v>
      </c>
      <c r="F197" s="1">
        <v>1</v>
      </c>
      <c r="G197" s="1">
        <v>0.28000000000000003</v>
      </c>
      <c r="H197" s="1">
        <v>0.28789999999999999</v>
      </c>
      <c r="I197" s="1">
        <v>0.56000000000000005</v>
      </c>
      <c r="J197" s="1">
        <v>0.1045</v>
      </c>
      <c r="K197" s="1">
        <v>7</v>
      </c>
      <c r="L197" s="1">
        <v>38</v>
      </c>
      <c r="M197" s="1">
        <v>45</v>
      </c>
    </row>
    <row r="198" spans="1:13" x14ac:dyDescent="0.25">
      <c r="A198" s="1">
        <v>816</v>
      </c>
      <c r="B198" s="2">
        <v>40580</v>
      </c>
      <c r="C198" s="1">
        <v>10</v>
      </c>
      <c r="D198" s="1" t="b">
        <v>0</v>
      </c>
      <c r="E198" s="1">
        <v>0</v>
      </c>
      <c r="F198" s="1">
        <v>1</v>
      </c>
      <c r="G198" s="1">
        <v>0.3</v>
      </c>
      <c r="H198" s="1">
        <v>0.28789999999999999</v>
      </c>
      <c r="I198" s="1">
        <v>0.52</v>
      </c>
      <c r="J198" s="1">
        <v>0.25369999999999998</v>
      </c>
      <c r="K198" s="1">
        <v>15</v>
      </c>
      <c r="L198" s="1">
        <v>74</v>
      </c>
      <c r="M198" s="1">
        <v>89</v>
      </c>
    </row>
    <row r="199" spans="1:13" x14ac:dyDescent="0.25">
      <c r="A199" s="1">
        <v>817</v>
      </c>
      <c r="B199" s="2">
        <v>40580</v>
      </c>
      <c r="C199" s="1">
        <v>11</v>
      </c>
      <c r="D199" s="1" t="b">
        <v>0</v>
      </c>
      <c r="E199" s="1">
        <v>0</v>
      </c>
      <c r="F199" s="1">
        <v>1</v>
      </c>
      <c r="G199" s="1">
        <v>0.32</v>
      </c>
      <c r="H199" s="1">
        <v>0.30299999999999999</v>
      </c>
      <c r="I199" s="1">
        <v>0.49</v>
      </c>
      <c r="J199" s="1">
        <v>0.25369999999999998</v>
      </c>
      <c r="K199" s="1">
        <v>28</v>
      </c>
      <c r="L199" s="1">
        <v>89</v>
      </c>
      <c r="M199" s="1">
        <v>117</v>
      </c>
    </row>
    <row r="200" spans="1:13" x14ac:dyDescent="0.25">
      <c r="A200" s="1">
        <v>818</v>
      </c>
      <c r="B200" s="2">
        <v>40580</v>
      </c>
      <c r="C200" s="1">
        <v>12</v>
      </c>
      <c r="D200" s="1" t="b">
        <v>0</v>
      </c>
      <c r="E200" s="1">
        <v>0</v>
      </c>
      <c r="F200" s="1">
        <v>1</v>
      </c>
      <c r="G200" s="1">
        <v>0.34</v>
      </c>
      <c r="H200" s="1">
        <v>0.33329999999999999</v>
      </c>
      <c r="I200" s="1">
        <v>0.46</v>
      </c>
      <c r="J200" s="1">
        <v>0</v>
      </c>
      <c r="K200" s="1">
        <v>48</v>
      </c>
      <c r="L200" s="1">
        <v>126</v>
      </c>
      <c r="M200" s="1">
        <v>174</v>
      </c>
    </row>
    <row r="201" spans="1:13" x14ac:dyDescent="0.25">
      <c r="A201" s="1">
        <v>819</v>
      </c>
      <c r="B201" s="2">
        <v>40580</v>
      </c>
      <c r="C201" s="1">
        <v>13</v>
      </c>
      <c r="D201" s="1" t="b">
        <v>0</v>
      </c>
      <c r="E201" s="1">
        <v>0</v>
      </c>
      <c r="F201" s="1">
        <v>1</v>
      </c>
      <c r="G201" s="1">
        <v>0.34</v>
      </c>
      <c r="H201" s="1">
        <v>0.36359999999999998</v>
      </c>
      <c r="I201" s="1">
        <v>0.46</v>
      </c>
      <c r="J201" s="1">
        <v>0</v>
      </c>
      <c r="K201" s="1">
        <v>47</v>
      </c>
      <c r="L201" s="1">
        <v>135</v>
      </c>
      <c r="M201" s="1">
        <v>182</v>
      </c>
    </row>
    <row r="202" spans="1:13" x14ac:dyDescent="0.25">
      <c r="A202" s="1">
        <v>820</v>
      </c>
      <c r="B202" s="2">
        <v>40580</v>
      </c>
      <c r="C202" s="1">
        <v>14</v>
      </c>
      <c r="D202" s="1" t="b">
        <v>0</v>
      </c>
      <c r="E202" s="1">
        <v>0</v>
      </c>
      <c r="F202" s="1">
        <v>1</v>
      </c>
      <c r="G202" s="1">
        <v>0.34</v>
      </c>
      <c r="H202" s="1">
        <v>0.34849999999999998</v>
      </c>
      <c r="I202" s="1">
        <v>0.46</v>
      </c>
      <c r="J202" s="1">
        <v>8.9599999999999999E-2</v>
      </c>
      <c r="K202" s="1">
        <v>47</v>
      </c>
      <c r="L202" s="1">
        <v>114</v>
      </c>
      <c r="M202" s="1">
        <v>161</v>
      </c>
    </row>
    <row r="203" spans="1:13" x14ac:dyDescent="0.25">
      <c r="A203" s="1">
        <v>821</v>
      </c>
      <c r="B203" s="2">
        <v>40580</v>
      </c>
      <c r="C203" s="1">
        <v>15</v>
      </c>
      <c r="D203" s="1" t="b">
        <v>0</v>
      </c>
      <c r="E203" s="1">
        <v>0</v>
      </c>
      <c r="F203" s="1">
        <v>1</v>
      </c>
      <c r="G203" s="1">
        <v>0.34</v>
      </c>
      <c r="H203" s="1">
        <v>0.34849999999999998</v>
      </c>
      <c r="I203" s="1">
        <v>0.46</v>
      </c>
      <c r="J203" s="1">
        <v>8.9599999999999999E-2</v>
      </c>
      <c r="K203" s="1">
        <v>52</v>
      </c>
      <c r="L203" s="1">
        <v>130</v>
      </c>
      <c r="M203" s="1">
        <v>182</v>
      </c>
    </row>
    <row r="204" spans="1:13" x14ac:dyDescent="0.25">
      <c r="A204" s="1">
        <v>822</v>
      </c>
      <c r="B204" s="2">
        <v>40580</v>
      </c>
      <c r="C204" s="1">
        <v>16</v>
      </c>
      <c r="D204" s="1" t="b">
        <v>0</v>
      </c>
      <c r="E204" s="1">
        <v>0</v>
      </c>
      <c r="F204" s="1">
        <v>1</v>
      </c>
      <c r="G204" s="1">
        <v>0.34</v>
      </c>
      <c r="H204" s="1">
        <v>0.34849999999999998</v>
      </c>
      <c r="I204" s="1">
        <v>0.49</v>
      </c>
      <c r="J204" s="1">
        <v>0.1045</v>
      </c>
      <c r="K204" s="1">
        <v>42</v>
      </c>
      <c r="L204" s="1">
        <v>115</v>
      </c>
      <c r="M204" s="1">
        <v>157</v>
      </c>
    </row>
    <row r="205" spans="1:13" x14ac:dyDescent="0.25">
      <c r="A205" s="1">
        <v>823</v>
      </c>
      <c r="B205" s="2">
        <v>40580</v>
      </c>
      <c r="C205" s="1">
        <v>17</v>
      </c>
      <c r="D205" s="1" t="b">
        <v>0</v>
      </c>
      <c r="E205" s="1">
        <v>0</v>
      </c>
      <c r="F205" s="1">
        <v>1</v>
      </c>
      <c r="G205" s="1">
        <v>0.34</v>
      </c>
      <c r="H205" s="1">
        <v>0.36359999999999998</v>
      </c>
      <c r="I205" s="1">
        <v>0.46</v>
      </c>
      <c r="J205" s="1">
        <v>0</v>
      </c>
      <c r="K205" s="1">
        <v>24</v>
      </c>
      <c r="L205" s="1">
        <v>97</v>
      </c>
      <c r="M205" s="1">
        <v>121</v>
      </c>
    </row>
    <row r="206" spans="1:13" x14ac:dyDescent="0.25">
      <c r="A206" s="1">
        <v>824</v>
      </c>
      <c r="B206" s="2">
        <v>40580</v>
      </c>
      <c r="C206" s="1">
        <v>18</v>
      </c>
      <c r="D206" s="1" t="b">
        <v>0</v>
      </c>
      <c r="E206" s="1">
        <v>0</v>
      </c>
      <c r="F206" s="1">
        <v>1</v>
      </c>
      <c r="G206" s="1">
        <v>0.3</v>
      </c>
      <c r="H206" s="1">
        <v>0.30299999999999999</v>
      </c>
      <c r="I206" s="1">
        <v>0.56000000000000005</v>
      </c>
      <c r="J206" s="1">
        <v>0.16420000000000001</v>
      </c>
      <c r="K206" s="1">
        <v>13</v>
      </c>
      <c r="L206" s="1">
        <v>65</v>
      </c>
      <c r="M206" s="1">
        <v>78</v>
      </c>
    </row>
    <row r="207" spans="1:13" x14ac:dyDescent="0.25">
      <c r="A207" s="1">
        <v>825</v>
      </c>
      <c r="B207" s="2">
        <v>40580</v>
      </c>
      <c r="C207" s="1">
        <v>19</v>
      </c>
      <c r="D207" s="1" t="b">
        <v>0</v>
      </c>
      <c r="E207" s="1">
        <v>0</v>
      </c>
      <c r="F207" s="1">
        <v>1</v>
      </c>
      <c r="G207" s="1">
        <v>0.28000000000000003</v>
      </c>
      <c r="H207" s="1">
        <v>0.28789999999999999</v>
      </c>
      <c r="I207" s="1">
        <v>0.61</v>
      </c>
      <c r="J207" s="1">
        <v>0.1343</v>
      </c>
      <c r="K207" s="1">
        <v>1</v>
      </c>
      <c r="L207" s="1">
        <v>20</v>
      </c>
      <c r="M207" s="1">
        <v>21</v>
      </c>
    </row>
    <row r="208" spans="1:13" x14ac:dyDescent="0.25">
      <c r="A208" s="1">
        <v>826</v>
      </c>
      <c r="B208" s="2">
        <v>40580</v>
      </c>
      <c r="C208" s="1">
        <v>20</v>
      </c>
      <c r="D208" s="1" t="b">
        <v>0</v>
      </c>
      <c r="E208" s="1">
        <v>0</v>
      </c>
      <c r="F208" s="1">
        <v>1</v>
      </c>
      <c r="G208" s="1">
        <v>0.28000000000000003</v>
      </c>
      <c r="H208" s="1">
        <v>0.28789999999999999</v>
      </c>
      <c r="I208" s="1">
        <v>0.61</v>
      </c>
      <c r="J208" s="1">
        <v>0.1045</v>
      </c>
      <c r="K208" s="1">
        <v>5</v>
      </c>
      <c r="L208" s="1">
        <v>21</v>
      </c>
      <c r="M208" s="1">
        <v>26</v>
      </c>
    </row>
    <row r="209" spans="1:13" x14ac:dyDescent="0.25">
      <c r="A209" s="1">
        <v>827</v>
      </c>
      <c r="B209" s="2">
        <v>40580</v>
      </c>
      <c r="C209" s="1">
        <v>21</v>
      </c>
      <c r="D209" s="1" t="b">
        <v>0</v>
      </c>
      <c r="E209" s="1">
        <v>0</v>
      </c>
      <c r="F209" s="1">
        <v>1</v>
      </c>
      <c r="G209" s="1">
        <v>0.26</v>
      </c>
      <c r="H209" s="1">
        <v>0.30299999999999999</v>
      </c>
      <c r="I209" s="1">
        <v>0.6</v>
      </c>
      <c r="J209" s="1">
        <v>0</v>
      </c>
      <c r="K209" s="1">
        <v>5</v>
      </c>
      <c r="L209" s="1">
        <v>22</v>
      </c>
      <c r="M209" s="1">
        <v>27</v>
      </c>
    </row>
    <row r="210" spans="1:13" x14ac:dyDescent="0.25">
      <c r="A210" s="1">
        <v>828</v>
      </c>
      <c r="B210" s="2">
        <v>40580</v>
      </c>
      <c r="C210" s="1">
        <v>22</v>
      </c>
      <c r="D210" s="1" t="b">
        <v>0</v>
      </c>
      <c r="E210" s="1">
        <v>0</v>
      </c>
      <c r="F210" s="1">
        <v>1</v>
      </c>
      <c r="G210" s="1">
        <v>0.26</v>
      </c>
      <c r="H210" s="1">
        <v>0.30299999999999999</v>
      </c>
      <c r="I210" s="1">
        <v>0.6</v>
      </c>
      <c r="J210" s="1">
        <v>0</v>
      </c>
      <c r="K210" s="1">
        <v>5</v>
      </c>
      <c r="L210" s="1">
        <v>57</v>
      </c>
      <c r="M210" s="1">
        <v>62</v>
      </c>
    </row>
    <row r="211" spans="1:13" x14ac:dyDescent="0.25">
      <c r="A211" s="1">
        <v>829</v>
      </c>
      <c r="B211" s="2">
        <v>40580</v>
      </c>
      <c r="C211" s="1">
        <v>23</v>
      </c>
      <c r="D211" s="1" t="b">
        <v>0</v>
      </c>
      <c r="E211" s="1">
        <v>0</v>
      </c>
      <c r="F211" s="1">
        <v>1</v>
      </c>
      <c r="G211" s="1">
        <v>0.24</v>
      </c>
      <c r="H211" s="1">
        <v>0.28789999999999999</v>
      </c>
      <c r="I211" s="1">
        <v>0.65</v>
      </c>
      <c r="J211" s="1">
        <v>0</v>
      </c>
      <c r="K211" s="1">
        <v>4</v>
      </c>
      <c r="L211" s="1">
        <v>26</v>
      </c>
      <c r="M211" s="1">
        <v>30</v>
      </c>
    </row>
    <row r="212" spans="1:13" x14ac:dyDescent="0.25">
      <c r="A212" s="1">
        <v>830</v>
      </c>
      <c r="B212" s="2">
        <v>40581</v>
      </c>
      <c r="C212" s="1">
        <v>0</v>
      </c>
      <c r="D212" s="1" t="b">
        <v>0</v>
      </c>
      <c r="E212" s="1">
        <v>1</v>
      </c>
      <c r="F212" s="1">
        <v>1</v>
      </c>
      <c r="G212" s="1">
        <v>0.24</v>
      </c>
      <c r="H212" s="1">
        <v>0.28789999999999999</v>
      </c>
      <c r="I212" s="1">
        <v>0.65</v>
      </c>
      <c r="J212" s="1">
        <v>0</v>
      </c>
      <c r="K212" s="1">
        <v>1</v>
      </c>
      <c r="L212" s="1">
        <v>14</v>
      </c>
      <c r="M212" s="1">
        <v>15</v>
      </c>
    </row>
    <row r="213" spans="1:13" x14ac:dyDescent="0.25">
      <c r="A213" s="1">
        <v>831</v>
      </c>
      <c r="B213" s="2">
        <v>40581</v>
      </c>
      <c r="C213" s="1">
        <v>1</v>
      </c>
      <c r="D213" s="1" t="b">
        <v>0</v>
      </c>
      <c r="E213" s="1">
        <v>1</v>
      </c>
      <c r="F213" s="1">
        <v>1</v>
      </c>
      <c r="G213" s="1">
        <v>0.22</v>
      </c>
      <c r="H213" s="1">
        <v>0.2727</v>
      </c>
      <c r="I213" s="1">
        <v>0.75</v>
      </c>
      <c r="J213" s="1">
        <v>0</v>
      </c>
      <c r="K213" s="1">
        <v>1</v>
      </c>
      <c r="L213" s="1">
        <v>4</v>
      </c>
      <c r="M213" s="1">
        <v>5</v>
      </c>
    </row>
    <row r="214" spans="1:13" x14ac:dyDescent="0.25">
      <c r="A214" s="1">
        <v>832</v>
      </c>
      <c r="B214" s="2">
        <v>40581</v>
      </c>
      <c r="C214" s="1">
        <v>2</v>
      </c>
      <c r="D214" s="1" t="b">
        <v>0</v>
      </c>
      <c r="E214" s="1">
        <v>1</v>
      </c>
      <c r="F214" s="1">
        <v>1</v>
      </c>
      <c r="G214" s="1">
        <v>0.2</v>
      </c>
      <c r="H214" s="1">
        <v>0.2576</v>
      </c>
      <c r="I214" s="1">
        <v>0.8</v>
      </c>
      <c r="J214" s="1">
        <v>0</v>
      </c>
      <c r="K214" s="1">
        <v>0</v>
      </c>
      <c r="L214" s="1">
        <v>3</v>
      </c>
      <c r="M214" s="1">
        <v>3</v>
      </c>
    </row>
    <row r="215" spans="1:13" x14ac:dyDescent="0.25">
      <c r="A215" s="1">
        <v>833</v>
      </c>
      <c r="B215" s="2">
        <v>40581</v>
      </c>
      <c r="C215" s="1">
        <v>3</v>
      </c>
      <c r="D215" s="1" t="b">
        <v>0</v>
      </c>
      <c r="E215" s="1">
        <v>1</v>
      </c>
      <c r="F215" s="1">
        <v>1</v>
      </c>
      <c r="G215" s="1">
        <v>0.2</v>
      </c>
      <c r="H215" s="1">
        <v>0.2576</v>
      </c>
      <c r="I215" s="1">
        <v>0.86</v>
      </c>
      <c r="J215" s="1">
        <v>0</v>
      </c>
      <c r="K215" s="1">
        <v>0</v>
      </c>
      <c r="L215" s="1">
        <v>1</v>
      </c>
      <c r="M215" s="1">
        <v>1</v>
      </c>
    </row>
    <row r="216" spans="1:13" x14ac:dyDescent="0.25">
      <c r="A216" s="1">
        <v>834</v>
      </c>
      <c r="B216" s="2">
        <v>40581</v>
      </c>
      <c r="C216" s="1">
        <v>4</v>
      </c>
      <c r="D216" s="1" t="b">
        <v>0</v>
      </c>
      <c r="E216" s="1">
        <v>1</v>
      </c>
      <c r="F216" s="1">
        <v>1</v>
      </c>
      <c r="G216" s="1">
        <v>0.2</v>
      </c>
      <c r="H216" s="1">
        <v>0.2576</v>
      </c>
      <c r="I216" s="1">
        <v>0.86</v>
      </c>
      <c r="J216" s="1">
        <v>0</v>
      </c>
      <c r="K216" s="1">
        <v>1</v>
      </c>
      <c r="L216" s="1">
        <v>1</v>
      </c>
      <c r="M216" s="1">
        <v>2</v>
      </c>
    </row>
    <row r="217" spans="1:13" x14ac:dyDescent="0.25">
      <c r="A217" s="1">
        <v>835</v>
      </c>
      <c r="B217" s="2">
        <v>40581</v>
      </c>
      <c r="C217" s="1">
        <v>5</v>
      </c>
      <c r="D217" s="1" t="b">
        <v>0</v>
      </c>
      <c r="E217" s="1">
        <v>1</v>
      </c>
      <c r="F217" s="1">
        <v>1</v>
      </c>
      <c r="G217" s="1">
        <v>0.2</v>
      </c>
      <c r="H217" s="1">
        <v>0.2576</v>
      </c>
      <c r="I217" s="1">
        <v>0.86</v>
      </c>
      <c r="J217" s="1">
        <v>0</v>
      </c>
      <c r="K217" s="1">
        <v>1</v>
      </c>
      <c r="L217" s="1">
        <v>9</v>
      </c>
      <c r="M217" s="1">
        <v>10</v>
      </c>
    </row>
    <row r="218" spans="1:13" x14ac:dyDescent="0.25">
      <c r="A218" s="1">
        <v>836</v>
      </c>
      <c r="B218" s="2">
        <v>40581</v>
      </c>
      <c r="C218" s="1">
        <v>6</v>
      </c>
      <c r="D218" s="1" t="b">
        <v>0</v>
      </c>
      <c r="E218" s="1">
        <v>1</v>
      </c>
      <c r="F218" s="1">
        <v>1</v>
      </c>
      <c r="G218" s="1">
        <v>0.18</v>
      </c>
      <c r="H218" s="1">
        <v>0.2424</v>
      </c>
      <c r="I218" s="1">
        <v>0.93</v>
      </c>
      <c r="J218" s="1">
        <v>0</v>
      </c>
      <c r="K218" s="1">
        <v>1</v>
      </c>
      <c r="L218" s="1">
        <v>29</v>
      </c>
      <c r="M218" s="1">
        <v>30</v>
      </c>
    </row>
    <row r="219" spans="1:13" x14ac:dyDescent="0.25">
      <c r="A219" s="1">
        <v>837</v>
      </c>
      <c r="B219" s="2">
        <v>40581</v>
      </c>
      <c r="C219" s="1">
        <v>7</v>
      </c>
      <c r="D219" s="1" t="b">
        <v>0</v>
      </c>
      <c r="E219" s="1">
        <v>1</v>
      </c>
      <c r="F219" s="1">
        <v>1</v>
      </c>
      <c r="G219" s="1">
        <v>0.18</v>
      </c>
      <c r="H219" s="1">
        <v>0.2424</v>
      </c>
      <c r="I219" s="1">
        <v>0.86</v>
      </c>
      <c r="J219" s="1">
        <v>0</v>
      </c>
      <c r="K219" s="1">
        <v>6</v>
      </c>
      <c r="L219" s="1">
        <v>89</v>
      </c>
      <c r="M219" s="1">
        <v>95</v>
      </c>
    </row>
    <row r="220" spans="1:13" x14ac:dyDescent="0.25">
      <c r="A220" s="1">
        <v>838</v>
      </c>
      <c r="B220" s="2">
        <v>40581</v>
      </c>
      <c r="C220" s="1">
        <v>8</v>
      </c>
      <c r="D220" s="1" t="b">
        <v>0</v>
      </c>
      <c r="E220" s="1">
        <v>1</v>
      </c>
      <c r="F220" s="1">
        <v>2</v>
      </c>
      <c r="G220" s="1">
        <v>0.16</v>
      </c>
      <c r="H220" s="1">
        <v>0.2273</v>
      </c>
      <c r="I220" s="1">
        <v>1</v>
      </c>
      <c r="J220" s="1">
        <v>0</v>
      </c>
      <c r="K220" s="1">
        <v>7</v>
      </c>
      <c r="L220" s="1">
        <v>223</v>
      </c>
      <c r="M220" s="1">
        <v>230</v>
      </c>
    </row>
    <row r="221" spans="1:13" x14ac:dyDescent="0.25">
      <c r="A221" s="1">
        <v>839</v>
      </c>
      <c r="B221" s="2">
        <v>40581</v>
      </c>
      <c r="C221" s="1">
        <v>9</v>
      </c>
      <c r="D221" s="1" t="b">
        <v>0</v>
      </c>
      <c r="E221" s="1">
        <v>1</v>
      </c>
      <c r="F221" s="1">
        <v>1</v>
      </c>
      <c r="G221" s="1">
        <v>0.22</v>
      </c>
      <c r="H221" s="1">
        <v>0.2727</v>
      </c>
      <c r="I221" s="1">
        <v>0.8</v>
      </c>
      <c r="J221" s="1">
        <v>0</v>
      </c>
      <c r="K221" s="1">
        <v>3</v>
      </c>
      <c r="L221" s="1">
        <v>115</v>
      </c>
      <c r="M221" s="1">
        <v>118</v>
      </c>
    </row>
    <row r="222" spans="1:13" x14ac:dyDescent="0.25">
      <c r="A222" s="1">
        <v>840</v>
      </c>
      <c r="B222" s="2">
        <v>40581</v>
      </c>
      <c r="C222" s="1">
        <v>10</v>
      </c>
      <c r="D222" s="1" t="b">
        <v>0</v>
      </c>
      <c r="E222" s="1">
        <v>1</v>
      </c>
      <c r="F222" s="1">
        <v>1</v>
      </c>
      <c r="G222" s="1">
        <v>0.24</v>
      </c>
      <c r="H222" s="1">
        <v>0.2576</v>
      </c>
      <c r="I222" s="1">
        <v>0.75</v>
      </c>
      <c r="J222" s="1">
        <v>0.1045</v>
      </c>
      <c r="K222" s="1">
        <v>6</v>
      </c>
      <c r="L222" s="1">
        <v>49</v>
      </c>
      <c r="M222" s="1">
        <v>55</v>
      </c>
    </row>
    <row r="223" spans="1:13" x14ac:dyDescent="0.25">
      <c r="A223" s="1">
        <v>841</v>
      </c>
      <c r="B223" s="2">
        <v>40581</v>
      </c>
      <c r="C223" s="1">
        <v>11</v>
      </c>
      <c r="D223" s="1" t="b">
        <v>0</v>
      </c>
      <c r="E223" s="1">
        <v>1</v>
      </c>
      <c r="F223" s="1">
        <v>1</v>
      </c>
      <c r="G223" s="1">
        <v>0.3</v>
      </c>
      <c r="H223" s="1">
        <v>0.31819999999999998</v>
      </c>
      <c r="I223" s="1">
        <v>0.65</v>
      </c>
      <c r="J223" s="1">
        <v>8.9599999999999999E-2</v>
      </c>
      <c r="K223" s="1">
        <v>11</v>
      </c>
      <c r="L223" s="1">
        <v>36</v>
      </c>
      <c r="M223" s="1">
        <v>47</v>
      </c>
    </row>
    <row r="224" spans="1:13" x14ac:dyDescent="0.25">
      <c r="A224" s="1">
        <v>842</v>
      </c>
      <c r="B224" s="2">
        <v>40581</v>
      </c>
      <c r="C224" s="1">
        <v>12</v>
      </c>
      <c r="D224" s="1" t="b">
        <v>0</v>
      </c>
      <c r="E224" s="1">
        <v>1</v>
      </c>
      <c r="F224" s="1">
        <v>2</v>
      </c>
      <c r="G224" s="1">
        <v>0.32</v>
      </c>
      <c r="H224" s="1">
        <v>0.34849999999999998</v>
      </c>
      <c r="I224" s="1">
        <v>0.62</v>
      </c>
      <c r="J224" s="1">
        <v>0</v>
      </c>
      <c r="K224" s="1">
        <v>7</v>
      </c>
      <c r="L224" s="1">
        <v>59</v>
      </c>
      <c r="M224" s="1">
        <v>66</v>
      </c>
    </row>
    <row r="225" spans="1:13" x14ac:dyDescent="0.25">
      <c r="A225" s="1">
        <v>843</v>
      </c>
      <c r="B225" s="2">
        <v>40581</v>
      </c>
      <c r="C225" s="1">
        <v>13</v>
      </c>
      <c r="D225" s="1" t="b">
        <v>0</v>
      </c>
      <c r="E225" s="1">
        <v>1</v>
      </c>
      <c r="F225" s="1">
        <v>2</v>
      </c>
      <c r="G225" s="1">
        <v>0.36</v>
      </c>
      <c r="H225" s="1">
        <v>0.36359999999999998</v>
      </c>
      <c r="I225" s="1">
        <v>0.56999999999999995</v>
      </c>
      <c r="J225" s="1">
        <v>8.9599999999999999E-2</v>
      </c>
      <c r="K225" s="1">
        <v>10</v>
      </c>
      <c r="L225" s="1">
        <v>54</v>
      </c>
      <c r="M225" s="1">
        <v>64</v>
      </c>
    </row>
    <row r="226" spans="1:13" x14ac:dyDescent="0.25">
      <c r="A226" s="1">
        <v>844</v>
      </c>
      <c r="B226" s="2">
        <v>40581</v>
      </c>
      <c r="C226" s="1">
        <v>14</v>
      </c>
      <c r="D226" s="1" t="b">
        <v>0</v>
      </c>
      <c r="E226" s="1">
        <v>1</v>
      </c>
      <c r="F226" s="1">
        <v>2</v>
      </c>
      <c r="G226" s="1">
        <v>0.36</v>
      </c>
      <c r="H226" s="1">
        <v>0.36359999999999998</v>
      </c>
      <c r="I226" s="1">
        <v>0.56999999999999995</v>
      </c>
      <c r="J226" s="1">
        <v>8.9599999999999999E-2</v>
      </c>
      <c r="K226" s="1">
        <v>8</v>
      </c>
      <c r="L226" s="1">
        <v>52</v>
      </c>
      <c r="M226" s="1">
        <v>60</v>
      </c>
    </row>
    <row r="227" spans="1:13" x14ac:dyDescent="0.25">
      <c r="A227" s="1">
        <v>845</v>
      </c>
      <c r="B227" s="2">
        <v>40581</v>
      </c>
      <c r="C227" s="1">
        <v>15</v>
      </c>
      <c r="D227" s="1" t="b">
        <v>0</v>
      </c>
      <c r="E227" s="1">
        <v>1</v>
      </c>
      <c r="F227" s="1">
        <v>2</v>
      </c>
      <c r="G227" s="1">
        <v>0.38</v>
      </c>
      <c r="H227" s="1">
        <v>0.39389999999999997</v>
      </c>
      <c r="I227" s="1">
        <v>0.54</v>
      </c>
      <c r="J227" s="1">
        <v>8.9599999999999999E-2</v>
      </c>
      <c r="K227" s="1">
        <v>4</v>
      </c>
      <c r="L227" s="1">
        <v>46</v>
      </c>
      <c r="M227" s="1">
        <v>50</v>
      </c>
    </row>
    <row r="228" spans="1:13" x14ac:dyDescent="0.25">
      <c r="A228" s="1">
        <v>846</v>
      </c>
      <c r="B228" s="2">
        <v>40581</v>
      </c>
      <c r="C228" s="1">
        <v>16</v>
      </c>
      <c r="D228" s="1" t="b">
        <v>0</v>
      </c>
      <c r="E228" s="1">
        <v>1</v>
      </c>
      <c r="F228" s="1">
        <v>2</v>
      </c>
      <c r="G228" s="1">
        <v>0.36</v>
      </c>
      <c r="H228" s="1">
        <v>0.34849999999999998</v>
      </c>
      <c r="I228" s="1">
        <v>0.56999999999999995</v>
      </c>
      <c r="J228" s="1">
        <v>0.1343</v>
      </c>
      <c r="K228" s="1">
        <v>16</v>
      </c>
      <c r="L228" s="1">
        <v>98</v>
      </c>
      <c r="M228" s="1">
        <v>114</v>
      </c>
    </row>
    <row r="229" spans="1:13" x14ac:dyDescent="0.25">
      <c r="A229" s="1">
        <v>847</v>
      </c>
      <c r="B229" s="2">
        <v>40581</v>
      </c>
      <c r="C229" s="1">
        <v>17</v>
      </c>
      <c r="D229" s="1" t="b">
        <v>0</v>
      </c>
      <c r="E229" s="1">
        <v>1</v>
      </c>
      <c r="F229" s="1">
        <v>2</v>
      </c>
      <c r="G229" s="1">
        <v>0.32</v>
      </c>
      <c r="H229" s="1">
        <v>0.31819999999999998</v>
      </c>
      <c r="I229" s="1">
        <v>0.7</v>
      </c>
      <c r="J229" s="1">
        <v>0.16420000000000001</v>
      </c>
      <c r="K229" s="1">
        <v>9</v>
      </c>
      <c r="L229" s="1">
        <v>207</v>
      </c>
      <c r="M229" s="1">
        <v>216</v>
      </c>
    </row>
    <row r="230" spans="1:13" x14ac:dyDescent="0.25">
      <c r="A230" s="1">
        <v>848</v>
      </c>
      <c r="B230" s="2">
        <v>40581</v>
      </c>
      <c r="C230" s="1">
        <v>18</v>
      </c>
      <c r="D230" s="1" t="b">
        <v>0</v>
      </c>
      <c r="E230" s="1">
        <v>1</v>
      </c>
      <c r="F230" s="1">
        <v>2</v>
      </c>
      <c r="G230" s="1">
        <v>0.34</v>
      </c>
      <c r="H230" s="1">
        <v>0.33329999999999999</v>
      </c>
      <c r="I230" s="1">
        <v>0.66</v>
      </c>
      <c r="J230" s="1">
        <v>0.1343</v>
      </c>
      <c r="K230" s="1">
        <v>5</v>
      </c>
      <c r="L230" s="1">
        <v>170</v>
      </c>
      <c r="M230" s="1">
        <v>175</v>
      </c>
    </row>
    <row r="231" spans="1:13" x14ac:dyDescent="0.25">
      <c r="A231" s="1">
        <v>849</v>
      </c>
      <c r="B231" s="2">
        <v>40581</v>
      </c>
      <c r="C231" s="1">
        <v>19</v>
      </c>
      <c r="D231" s="1" t="b">
        <v>0</v>
      </c>
      <c r="E231" s="1">
        <v>1</v>
      </c>
      <c r="F231" s="1">
        <v>2</v>
      </c>
      <c r="G231" s="1">
        <v>0.32</v>
      </c>
      <c r="H231" s="1">
        <v>0.34849999999999998</v>
      </c>
      <c r="I231" s="1">
        <v>0.7</v>
      </c>
      <c r="J231" s="1">
        <v>0</v>
      </c>
      <c r="K231" s="1">
        <v>5</v>
      </c>
      <c r="L231" s="1">
        <v>123</v>
      </c>
      <c r="M231" s="1">
        <v>128</v>
      </c>
    </row>
    <row r="232" spans="1:13" x14ac:dyDescent="0.25">
      <c r="A232" s="1">
        <v>850</v>
      </c>
      <c r="B232" s="2">
        <v>40581</v>
      </c>
      <c r="C232" s="1">
        <v>20</v>
      </c>
      <c r="D232" s="1" t="b">
        <v>0</v>
      </c>
      <c r="E232" s="1">
        <v>1</v>
      </c>
      <c r="F232" s="1">
        <v>2</v>
      </c>
      <c r="G232" s="1">
        <v>0.32</v>
      </c>
      <c r="H232" s="1">
        <v>0.33329999999999999</v>
      </c>
      <c r="I232" s="1">
        <v>0.7</v>
      </c>
      <c r="J232" s="1">
        <v>0.1045</v>
      </c>
      <c r="K232" s="1">
        <v>6</v>
      </c>
      <c r="L232" s="1">
        <v>82</v>
      </c>
      <c r="M232" s="1">
        <v>88</v>
      </c>
    </row>
    <row r="233" spans="1:13" x14ac:dyDescent="0.25">
      <c r="A233" s="1">
        <v>851</v>
      </c>
      <c r="B233" s="2">
        <v>40581</v>
      </c>
      <c r="C233" s="1">
        <v>21</v>
      </c>
      <c r="D233" s="1" t="b">
        <v>0</v>
      </c>
      <c r="E233" s="1">
        <v>1</v>
      </c>
      <c r="F233" s="1">
        <v>1</v>
      </c>
      <c r="G233" s="1">
        <v>0.32</v>
      </c>
      <c r="H233" s="1">
        <v>0.34849999999999998</v>
      </c>
      <c r="I233" s="1">
        <v>0.7</v>
      </c>
      <c r="J233" s="1">
        <v>0</v>
      </c>
      <c r="K233" s="1">
        <v>3</v>
      </c>
      <c r="L233" s="1">
        <v>75</v>
      </c>
      <c r="M233" s="1">
        <v>78</v>
      </c>
    </row>
    <row r="234" spans="1:13" x14ac:dyDescent="0.25">
      <c r="A234" s="1">
        <v>852</v>
      </c>
      <c r="B234" s="2">
        <v>40581</v>
      </c>
      <c r="C234" s="1">
        <v>22</v>
      </c>
      <c r="D234" s="1" t="b">
        <v>0</v>
      </c>
      <c r="E234" s="1">
        <v>1</v>
      </c>
      <c r="F234" s="1">
        <v>1</v>
      </c>
      <c r="G234" s="1">
        <v>0.28000000000000003</v>
      </c>
      <c r="H234" s="1">
        <v>0.30299999999999999</v>
      </c>
      <c r="I234" s="1">
        <v>0.81</v>
      </c>
      <c r="J234" s="1">
        <v>8.9599999999999999E-2</v>
      </c>
      <c r="K234" s="1">
        <v>3</v>
      </c>
      <c r="L234" s="1">
        <v>34</v>
      </c>
      <c r="M234" s="1">
        <v>37</v>
      </c>
    </row>
    <row r="235" spans="1:13" x14ac:dyDescent="0.25">
      <c r="A235" s="1">
        <v>853</v>
      </c>
      <c r="B235" s="2">
        <v>40581</v>
      </c>
      <c r="C235" s="1">
        <v>23</v>
      </c>
      <c r="D235" s="1" t="b">
        <v>0</v>
      </c>
      <c r="E235" s="1">
        <v>1</v>
      </c>
      <c r="F235" s="1">
        <v>2</v>
      </c>
      <c r="G235" s="1">
        <v>0.3</v>
      </c>
      <c r="H235" s="1">
        <v>0.33329999999999999</v>
      </c>
      <c r="I235" s="1">
        <v>0.81</v>
      </c>
      <c r="J235" s="1">
        <v>0</v>
      </c>
      <c r="K235" s="1">
        <v>6</v>
      </c>
      <c r="L235" s="1">
        <v>19</v>
      </c>
      <c r="M235" s="1">
        <v>25</v>
      </c>
    </row>
    <row r="236" spans="1:13" x14ac:dyDescent="0.25">
      <c r="A236" s="1">
        <v>854</v>
      </c>
      <c r="B236" s="2">
        <v>40582</v>
      </c>
      <c r="C236" s="1">
        <v>0</v>
      </c>
      <c r="D236" s="1" t="b">
        <v>0</v>
      </c>
      <c r="E236" s="1">
        <v>2</v>
      </c>
      <c r="F236" s="1">
        <v>2</v>
      </c>
      <c r="G236" s="1">
        <v>0.28000000000000003</v>
      </c>
      <c r="H236" s="1">
        <v>0.31819999999999998</v>
      </c>
      <c r="I236" s="1">
        <v>0.87</v>
      </c>
      <c r="J236" s="1">
        <v>0</v>
      </c>
      <c r="K236" s="1">
        <v>4</v>
      </c>
      <c r="L236" s="1">
        <v>6</v>
      </c>
      <c r="M236" s="1">
        <v>10</v>
      </c>
    </row>
    <row r="237" spans="1:13" x14ac:dyDescent="0.25">
      <c r="A237" s="1">
        <v>855</v>
      </c>
      <c r="B237" s="2">
        <v>40582</v>
      </c>
      <c r="C237" s="1">
        <v>1</v>
      </c>
      <c r="D237" s="1" t="b">
        <v>0</v>
      </c>
      <c r="E237" s="1">
        <v>2</v>
      </c>
      <c r="F237" s="1">
        <v>2</v>
      </c>
      <c r="G237" s="1">
        <v>0.28000000000000003</v>
      </c>
      <c r="H237" s="1">
        <v>0.31819999999999998</v>
      </c>
      <c r="I237" s="1">
        <v>0.87</v>
      </c>
      <c r="J237" s="1">
        <v>0</v>
      </c>
      <c r="K237" s="1">
        <v>0</v>
      </c>
      <c r="L237" s="1">
        <v>4</v>
      </c>
      <c r="M237" s="1">
        <v>4</v>
      </c>
    </row>
    <row r="238" spans="1:13" x14ac:dyDescent="0.25">
      <c r="A238" s="1">
        <v>856</v>
      </c>
      <c r="B238" s="2">
        <v>40582</v>
      </c>
      <c r="C238" s="1">
        <v>2</v>
      </c>
      <c r="D238" s="1" t="b">
        <v>0</v>
      </c>
      <c r="E238" s="1">
        <v>2</v>
      </c>
      <c r="F238" s="1">
        <v>2</v>
      </c>
      <c r="G238" s="1">
        <v>0.26</v>
      </c>
      <c r="H238" s="1">
        <v>0.2727</v>
      </c>
      <c r="I238" s="1">
        <v>0.93</v>
      </c>
      <c r="J238" s="1">
        <v>0.1045</v>
      </c>
      <c r="K238" s="1">
        <v>1</v>
      </c>
      <c r="L238" s="1">
        <v>1</v>
      </c>
      <c r="M238" s="1">
        <v>2</v>
      </c>
    </row>
    <row r="239" spans="1:13" x14ac:dyDescent="0.25">
      <c r="A239" s="1">
        <v>857</v>
      </c>
      <c r="B239" s="2">
        <v>40582</v>
      </c>
      <c r="C239" s="1">
        <v>3</v>
      </c>
      <c r="D239" s="1" t="b">
        <v>0</v>
      </c>
      <c r="E239" s="1">
        <v>2</v>
      </c>
      <c r="F239" s="1">
        <v>3</v>
      </c>
      <c r="G239" s="1">
        <v>0.28000000000000003</v>
      </c>
      <c r="H239" s="1">
        <v>0.2727</v>
      </c>
      <c r="I239" s="1">
        <v>0.93</v>
      </c>
      <c r="J239" s="1">
        <v>0.16420000000000001</v>
      </c>
      <c r="K239" s="1">
        <v>0</v>
      </c>
      <c r="L239" s="1">
        <v>1</v>
      </c>
      <c r="M239" s="1">
        <v>1</v>
      </c>
    </row>
    <row r="240" spans="1:13" x14ac:dyDescent="0.25">
      <c r="A240" s="1">
        <v>858</v>
      </c>
      <c r="B240" s="2">
        <v>40582</v>
      </c>
      <c r="C240" s="1">
        <v>4</v>
      </c>
      <c r="D240" s="1" t="b">
        <v>0</v>
      </c>
      <c r="E240" s="1">
        <v>2</v>
      </c>
      <c r="F240" s="1">
        <v>1</v>
      </c>
      <c r="G240" s="1">
        <v>0.26</v>
      </c>
      <c r="H240" s="1">
        <v>0.2576</v>
      </c>
      <c r="I240" s="1">
        <v>0.93</v>
      </c>
      <c r="J240" s="1">
        <v>0.16420000000000001</v>
      </c>
      <c r="K240" s="1">
        <v>0</v>
      </c>
      <c r="L240" s="1">
        <v>3</v>
      </c>
      <c r="M240" s="1">
        <v>3</v>
      </c>
    </row>
    <row r="241" spans="1:13" x14ac:dyDescent="0.25">
      <c r="A241" s="1">
        <v>859</v>
      </c>
      <c r="B241" s="2">
        <v>40582</v>
      </c>
      <c r="C241" s="1">
        <v>5</v>
      </c>
      <c r="D241" s="1" t="b">
        <v>0</v>
      </c>
      <c r="E241" s="1">
        <v>2</v>
      </c>
      <c r="F241" s="1">
        <v>1</v>
      </c>
      <c r="G241" s="1">
        <v>0.26</v>
      </c>
      <c r="H241" s="1">
        <v>0.2273</v>
      </c>
      <c r="I241" s="1">
        <v>0.81</v>
      </c>
      <c r="J241" s="1">
        <v>0.32840000000000003</v>
      </c>
      <c r="K241" s="1">
        <v>0</v>
      </c>
      <c r="L241" s="1">
        <v>2</v>
      </c>
      <c r="M241" s="1">
        <v>2</v>
      </c>
    </row>
    <row r="242" spans="1:13" x14ac:dyDescent="0.25">
      <c r="A242" s="1">
        <v>860</v>
      </c>
      <c r="B242" s="2">
        <v>40582</v>
      </c>
      <c r="C242" s="1">
        <v>6</v>
      </c>
      <c r="D242" s="1" t="b">
        <v>0</v>
      </c>
      <c r="E242" s="1">
        <v>2</v>
      </c>
      <c r="F242" s="1">
        <v>1</v>
      </c>
      <c r="G242" s="1">
        <v>0.26</v>
      </c>
      <c r="H242" s="1">
        <v>0.2273</v>
      </c>
      <c r="I242" s="1">
        <v>0.7</v>
      </c>
      <c r="J242" s="1">
        <v>0.32840000000000003</v>
      </c>
      <c r="K242" s="1">
        <v>0</v>
      </c>
      <c r="L242" s="1">
        <v>39</v>
      </c>
      <c r="M242" s="1">
        <v>39</v>
      </c>
    </row>
    <row r="243" spans="1:13" x14ac:dyDescent="0.25">
      <c r="A243" s="1">
        <v>861</v>
      </c>
      <c r="B243" s="2">
        <v>40582</v>
      </c>
      <c r="C243" s="1">
        <v>7</v>
      </c>
      <c r="D243" s="1" t="b">
        <v>0</v>
      </c>
      <c r="E243" s="1">
        <v>2</v>
      </c>
      <c r="F243" s="1">
        <v>1</v>
      </c>
      <c r="G243" s="1">
        <v>0.24</v>
      </c>
      <c r="H243" s="1">
        <v>0.19700000000000001</v>
      </c>
      <c r="I243" s="1">
        <v>0.65</v>
      </c>
      <c r="J243" s="1">
        <v>0.41789999999999999</v>
      </c>
      <c r="K243" s="1">
        <v>3</v>
      </c>
      <c r="L243" s="1">
        <v>97</v>
      </c>
      <c r="M243" s="1">
        <v>100</v>
      </c>
    </row>
    <row r="244" spans="1:13" x14ac:dyDescent="0.25">
      <c r="A244" s="1">
        <v>862</v>
      </c>
      <c r="B244" s="2">
        <v>40582</v>
      </c>
      <c r="C244" s="1">
        <v>8</v>
      </c>
      <c r="D244" s="1" t="b">
        <v>0</v>
      </c>
      <c r="E244" s="1">
        <v>2</v>
      </c>
      <c r="F244" s="1">
        <v>1</v>
      </c>
      <c r="G244" s="1">
        <v>0.24</v>
      </c>
      <c r="H244" s="1">
        <v>0.19700000000000001</v>
      </c>
      <c r="I244" s="1">
        <v>0.56000000000000005</v>
      </c>
      <c r="J244" s="1">
        <v>0.49249999999999999</v>
      </c>
      <c r="K244" s="1">
        <v>7</v>
      </c>
      <c r="L244" s="1">
        <v>236</v>
      </c>
      <c r="M244" s="1">
        <v>243</v>
      </c>
    </row>
    <row r="245" spans="1:13" x14ac:dyDescent="0.25">
      <c r="A245" s="1">
        <v>863</v>
      </c>
      <c r="B245" s="2">
        <v>40582</v>
      </c>
      <c r="C245" s="1">
        <v>9</v>
      </c>
      <c r="D245" s="1" t="b">
        <v>0</v>
      </c>
      <c r="E245" s="1">
        <v>2</v>
      </c>
      <c r="F245" s="1">
        <v>1</v>
      </c>
      <c r="G245" s="1">
        <v>0.24</v>
      </c>
      <c r="H245" s="1">
        <v>0.19700000000000001</v>
      </c>
      <c r="I245" s="1">
        <v>0.52</v>
      </c>
      <c r="J245" s="1">
        <v>0.49249999999999999</v>
      </c>
      <c r="K245" s="1">
        <v>7</v>
      </c>
      <c r="L245" s="1">
        <v>128</v>
      </c>
      <c r="M245" s="1">
        <v>135</v>
      </c>
    </row>
    <row r="246" spans="1:13" x14ac:dyDescent="0.25">
      <c r="A246" s="1">
        <v>864</v>
      </c>
      <c r="B246" s="2">
        <v>40582</v>
      </c>
      <c r="C246" s="1">
        <v>10</v>
      </c>
      <c r="D246" s="1" t="b">
        <v>0</v>
      </c>
      <c r="E246" s="1">
        <v>2</v>
      </c>
      <c r="F246" s="1">
        <v>1</v>
      </c>
      <c r="G246" s="1">
        <v>0.22</v>
      </c>
      <c r="H246" s="1">
        <v>0.18179999999999999</v>
      </c>
      <c r="I246" s="1">
        <v>0.47</v>
      </c>
      <c r="J246" s="1">
        <v>0.55220000000000002</v>
      </c>
      <c r="K246" s="1">
        <v>4</v>
      </c>
      <c r="L246" s="1">
        <v>44</v>
      </c>
      <c r="M246" s="1">
        <v>48</v>
      </c>
    </row>
    <row r="247" spans="1:13" x14ac:dyDescent="0.25">
      <c r="A247" s="1">
        <v>865</v>
      </c>
      <c r="B247" s="2">
        <v>40582</v>
      </c>
      <c r="C247" s="1">
        <v>11</v>
      </c>
      <c r="D247" s="1" t="b">
        <v>0</v>
      </c>
      <c r="E247" s="1">
        <v>2</v>
      </c>
      <c r="F247" s="1">
        <v>1</v>
      </c>
      <c r="G247" s="1">
        <v>0.22</v>
      </c>
      <c r="H247" s="1">
        <v>0.18179999999999999</v>
      </c>
      <c r="I247" s="1">
        <v>0.47</v>
      </c>
      <c r="J247" s="1">
        <v>0.4627</v>
      </c>
      <c r="K247" s="1">
        <v>1</v>
      </c>
      <c r="L247" s="1">
        <v>49</v>
      </c>
      <c r="M247" s="1">
        <v>50</v>
      </c>
    </row>
    <row r="248" spans="1:13" x14ac:dyDescent="0.25">
      <c r="A248" s="1">
        <v>866</v>
      </c>
      <c r="B248" s="2">
        <v>40582</v>
      </c>
      <c r="C248" s="1">
        <v>12</v>
      </c>
      <c r="D248" s="1" t="b">
        <v>0</v>
      </c>
      <c r="E248" s="1">
        <v>2</v>
      </c>
      <c r="F248" s="1">
        <v>1</v>
      </c>
      <c r="G248" s="1">
        <v>0.24</v>
      </c>
      <c r="H248" s="1">
        <v>0.19700000000000001</v>
      </c>
      <c r="I248" s="1">
        <v>0.38</v>
      </c>
      <c r="J248" s="1">
        <v>0.49249999999999999</v>
      </c>
      <c r="K248" s="1">
        <v>2</v>
      </c>
      <c r="L248" s="1">
        <v>63</v>
      </c>
      <c r="M248" s="1">
        <v>65</v>
      </c>
    </row>
    <row r="249" spans="1:13" x14ac:dyDescent="0.25">
      <c r="A249" s="1">
        <v>867</v>
      </c>
      <c r="B249" s="2">
        <v>40582</v>
      </c>
      <c r="C249" s="1">
        <v>13</v>
      </c>
      <c r="D249" s="1" t="b">
        <v>0</v>
      </c>
      <c r="E249" s="1">
        <v>2</v>
      </c>
      <c r="F249" s="1">
        <v>2</v>
      </c>
      <c r="G249" s="1">
        <v>0.24</v>
      </c>
      <c r="H249" s="1">
        <v>0.19700000000000001</v>
      </c>
      <c r="I249" s="1">
        <v>0.32</v>
      </c>
      <c r="J249" s="1">
        <v>0.44779999999999998</v>
      </c>
      <c r="K249" s="1">
        <v>2</v>
      </c>
      <c r="L249" s="1">
        <v>48</v>
      </c>
      <c r="M249" s="1">
        <v>50</v>
      </c>
    </row>
    <row r="250" spans="1:13" x14ac:dyDescent="0.25">
      <c r="A250" s="1">
        <v>868</v>
      </c>
      <c r="B250" s="2">
        <v>40582</v>
      </c>
      <c r="C250" s="1">
        <v>14</v>
      </c>
      <c r="D250" s="1" t="b">
        <v>0</v>
      </c>
      <c r="E250" s="1">
        <v>2</v>
      </c>
      <c r="F250" s="1">
        <v>1</v>
      </c>
      <c r="G250" s="1">
        <v>0.22</v>
      </c>
      <c r="H250" s="1">
        <v>0.19700000000000001</v>
      </c>
      <c r="I250" s="1">
        <v>0.37</v>
      </c>
      <c r="J250" s="1">
        <v>0.41789999999999999</v>
      </c>
      <c r="K250" s="1">
        <v>3</v>
      </c>
      <c r="L250" s="1">
        <v>61</v>
      </c>
      <c r="M250" s="1">
        <v>64</v>
      </c>
    </row>
    <row r="251" spans="1:13" x14ac:dyDescent="0.25">
      <c r="A251" s="1">
        <v>869</v>
      </c>
      <c r="B251" s="2">
        <v>40582</v>
      </c>
      <c r="C251" s="1">
        <v>15</v>
      </c>
      <c r="D251" s="1" t="b">
        <v>0</v>
      </c>
      <c r="E251" s="1">
        <v>2</v>
      </c>
      <c r="F251" s="1">
        <v>1</v>
      </c>
      <c r="G251" s="1">
        <v>0.22</v>
      </c>
      <c r="H251" s="1">
        <v>0.19700000000000001</v>
      </c>
      <c r="I251" s="1">
        <v>0.35</v>
      </c>
      <c r="J251" s="1">
        <v>0.3881</v>
      </c>
      <c r="K251" s="1">
        <v>6</v>
      </c>
      <c r="L251" s="1">
        <v>45</v>
      </c>
      <c r="M251" s="1">
        <v>51</v>
      </c>
    </row>
    <row r="252" spans="1:13" x14ac:dyDescent="0.25">
      <c r="A252" s="1">
        <v>870</v>
      </c>
      <c r="B252" s="2">
        <v>40582</v>
      </c>
      <c r="C252" s="1">
        <v>16</v>
      </c>
      <c r="D252" s="1" t="b">
        <v>0</v>
      </c>
      <c r="E252" s="1">
        <v>2</v>
      </c>
      <c r="F252" s="1">
        <v>1</v>
      </c>
      <c r="G252" s="1">
        <v>0.22</v>
      </c>
      <c r="H252" s="1">
        <v>0.18179999999999999</v>
      </c>
      <c r="I252" s="1">
        <v>0.35</v>
      </c>
      <c r="J252" s="1">
        <v>0.52239999999999998</v>
      </c>
      <c r="K252" s="1">
        <v>4</v>
      </c>
      <c r="L252" s="1">
        <v>79</v>
      </c>
      <c r="M252" s="1">
        <v>83</v>
      </c>
    </row>
    <row r="253" spans="1:13" x14ac:dyDescent="0.25">
      <c r="A253" s="1">
        <v>871</v>
      </c>
      <c r="B253" s="2">
        <v>40582</v>
      </c>
      <c r="C253" s="1">
        <v>17</v>
      </c>
      <c r="D253" s="1" t="b">
        <v>0</v>
      </c>
      <c r="E253" s="1">
        <v>2</v>
      </c>
      <c r="F253" s="1">
        <v>1</v>
      </c>
      <c r="G253" s="1">
        <v>0.22</v>
      </c>
      <c r="H253" s="1">
        <v>0.18179999999999999</v>
      </c>
      <c r="I253" s="1">
        <v>0.32</v>
      </c>
      <c r="J253" s="1">
        <v>0.58209999999999995</v>
      </c>
      <c r="K253" s="1">
        <v>4</v>
      </c>
      <c r="L253" s="1">
        <v>172</v>
      </c>
      <c r="M253" s="1">
        <v>176</v>
      </c>
    </row>
    <row r="254" spans="1:13" x14ac:dyDescent="0.25">
      <c r="A254" s="1">
        <v>872</v>
      </c>
      <c r="B254" s="2">
        <v>40582</v>
      </c>
      <c r="C254" s="1">
        <v>18</v>
      </c>
      <c r="D254" s="1" t="b">
        <v>0</v>
      </c>
      <c r="E254" s="1">
        <v>2</v>
      </c>
      <c r="F254" s="1">
        <v>1</v>
      </c>
      <c r="G254" s="1">
        <v>0.2</v>
      </c>
      <c r="H254" s="1">
        <v>0.18179999999999999</v>
      </c>
      <c r="I254" s="1">
        <v>0.32</v>
      </c>
      <c r="J254" s="1">
        <v>0.3881</v>
      </c>
      <c r="K254" s="1">
        <v>1</v>
      </c>
      <c r="L254" s="1">
        <v>151</v>
      </c>
      <c r="M254" s="1">
        <v>152</v>
      </c>
    </row>
    <row r="255" spans="1:13" x14ac:dyDescent="0.25">
      <c r="A255" s="1">
        <v>873</v>
      </c>
      <c r="B255" s="2">
        <v>40582</v>
      </c>
      <c r="C255" s="1">
        <v>19</v>
      </c>
      <c r="D255" s="1" t="b">
        <v>0</v>
      </c>
      <c r="E255" s="1">
        <v>2</v>
      </c>
      <c r="F255" s="1">
        <v>1</v>
      </c>
      <c r="G255" s="1">
        <v>0.16</v>
      </c>
      <c r="H255" s="1">
        <v>0.1212</v>
      </c>
      <c r="I255" s="1">
        <v>0.4</v>
      </c>
      <c r="J255" s="1">
        <v>0.4627</v>
      </c>
      <c r="K255" s="1">
        <v>1</v>
      </c>
      <c r="L255" s="1">
        <v>100</v>
      </c>
      <c r="M255" s="1">
        <v>101</v>
      </c>
    </row>
    <row r="256" spans="1:13" x14ac:dyDescent="0.25">
      <c r="A256" s="1">
        <v>874</v>
      </c>
      <c r="B256" s="2">
        <v>40582</v>
      </c>
      <c r="C256" s="1">
        <v>20</v>
      </c>
      <c r="D256" s="1" t="b">
        <v>0</v>
      </c>
      <c r="E256" s="1">
        <v>2</v>
      </c>
      <c r="F256" s="1">
        <v>1</v>
      </c>
      <c r="G256" s="1">
        <v>0.16</v>
      </c>
      <c r="H256" s="1">
        <v>0.13639999999999999</v>
      </c>
      <c r="I256" s="1">
        <v>0.4</v>
      </c>
      <c r="J256" s="1">
        <v>0.32840000000000003</v>
      </c>
      <c r="K256" s="1">
        <v>3</v>
      </c>
      <c r="L256" s="1">
        <v>53</v>
      </c>
      <c r="M256" s="1">
        <v>56</v>
      </c>
    </row>
    <row r="257" spans="1:13" x14ac:dyDescent="0.25">
      <c r="A257" s="1">
        <v>875</v>
      </c>
      <c r="B257" s="2">
        <v>40582</v>
      </c>
      <c r="C257" s="1">
        <v>21</v>
      </c>
      <c r="D257" s="1" t="b">
        <v>0</v>
      </c>
      <c r="E257" s="1">
        <v>2</v>
      </c>
      <c r="F257" s="1">
        <v>1</v>
      </c>
      <c r="G257" s="1">
        <v>0.14000000000000001</v>
      </c>
      <c r="H257" s="1">
        <v>0.1061</v>
      </c>
      <c r="I257" s="1">
        <v>0.33</v>
      </c>
      <c r="J257" s="1">
        <v>0.4627</v>
      </c>
      <c r="K257" s="1">
        <v>8</v>
      </c>
      <c r="L257" s="1">
        <v>46</v>
      </c>
      <c r="M257" s="1">
        <v>54</v>
      </c>
    </row>
    <row r="258" spans="1:13" x14ac:dyDescent="0.25">
      <c r="A258" s="1">
        <v>876</v>
      </c>
      <c r="B258" s="2">
        <v>40582</v>
      </c>
      <c r="C258" s="1">
        <v>22</v>
      </c>
      <c r="D258" s="1" t="b">
        <v>0</v>
      </c>
      <c r="E258" s="1">
        <v>2</v>
      </c>
      <c r="F258" s="1">
        <v>1</v>
      </c>
      <c r="G258" s="1">
        <v>0.12</v>
      </c>
      <c r="H258" s="1">
        <v>0.1061</v>
      </c>
      <c r="I258" s="1">
        <v>0.33</v>
      </c>
      <c r="J258" s="1">
        <v>0.35820000000000002</v>
      </c>
      <c r="K258" s="1">
        <v>0</v>
      </c>
      <c r="L258" s="1">
        <v>29</v>
      </c>
      <c r="M258" s="1">
        <v>29</v>
      </c>
    </row>
    <row r="259" spans="1:13" x14ac:dyDescent="0.25">
      <c r="A259" s="1">
        <v>877</v>
      </c>
      <c r="B259" s="2">
        <v>40582</v>
      </c>
      <c r="C259" s="1">
        <v>23</v>
      </c>
      <c r="D259" s="1" t="b">
        <v>0</v>
      </c>
      <c r="E259" s="1">
        <v>2</v>
      </c>
      <c r="F259" s="1">
        <v>1</v>
      </c>
      <c r="G259" s="1">
        <v>0.12</v>
      </c>
      <c r="H259" s="1">
        <v>0.1061</v>
      </c>
      <c r="I259" s="1">
        <v>0.33</v>
      </c>
      <c r="J259" s="1">
        <v>0.32840000000000003</v>
      </c>
      <c r="K259" s="1">
        <v>3</v>
      </c>
      <c r="L259" s="1">
        <v>9</v>
      </c>
      <c r="M259" s="1">
        <v>12</v>
      </c>
    </row>
    <row r="260" spans="1:13" x14ac:dyDescent="0.25">
      <c r="A260" s="1">
        <v>878</v>
      </c>
      <c r="B260" s="2">
        <v>40583</v>
      </c>
      <c r="C260" s="1">
        <v>0</v>
      </c>
      <c r="D260" s="1" t="b">
        <v>0</v>
      </c>
      <c r="E260" s="1">
        <v>3</v>
      </c>
      <c r="F260" s="1">
        <v>1</v>
      </c>
      <c r="G260" s="1">
        <v>0.1</v>
      </c>
      <c r="H260" s="1">
        <v>7.5800000000000006E-2</v>
      </c>
      <c r="I260" s="1">
        <v>0.36</v>
      </c>
      <c r="J260" s="1">
        <v>0.35820000000000002</v>
      </c>
      <c r="K260" s="1">
        <v>0</v>
      </c>
      <c r="L260" s="1">
        <v>17</v>
      </c>
      <c r="M260" s="1">
        <v>17</v>
      </c>
    </row>
    <row r="261" spans="1:13" x14ac:dyDescent="0.25">
      <c r="A261" s="1">
        <v>879</v>
      </c>
      <c r="B261" s="2">
        <v>40583</v>
      </c>
      <c r="C261" s="1">
        <v>1</v>
      </c>
      <c r="D261" s="1" t="b">
        <v>0</v>
      </c>
      <c r="E261" s="1">
        <v>3</v>
      </c>
      <c r="F261" s="1">
        <v>1</v>
      </c>
      <c r="G261" s="1">
        <v>0.1</v>
      </c>
      <c r="H261" s="1">
        <v>0.1061</v>
      </c>
      <c r="I261" s="1">
        <v>0.36</v>
      </c>
      <c r="J261" s="1">
        <v>0.22389999999999999</v>
      </c>
      <c r="K261" s="1">
        <v>0</v>
      </c>
      <c r="L261" s="1">
        <v>7</v>
      </c>
      <c r="M261" s="1">
        <v>7</v>
      </c>
    </row>
    <row r="262" spans="1:13" x14ac:dyDescent="0.25">
      <c r="A262" s="1">
        <v>880</v>
      </c>
      <c r="B262" s="2">
        <v>40583</v>
      </c>
      <c r="C262" s="1">
        <v>2</v>
      </c>
      <c r="D262" s="1" t="b">
        <v>0</v>
      </c>
      <c r="E262" s="1">
        <v>3</v>
      </c>
      <c r="F262" s="1">
        <v>1</v>
      </c>
      <c r="G262" s="1">
        <v>0.08</v>
      </c>
      <c r="H262" s="1">
        <v>7.5800000000000006E-2</v>
      </c>
      <c r="I262" s="1">
        <v>0.38</v>
      </c>
      <c r="J262" s="1">
        <v>0.28360000000000002</v>
      </c>
      <c r="K262" s="1">
        <v>1</v>
      </c>
      <c r="L262" s="1">
        <v>2</v>
      </c>
      <c r="M262" s="1">
        <v>3</v>
      </c>
    </row>
    <row r="263" spans="1:13" x14ac:dyDescent="0.25">
      <c r="A263" s="1">
        <v>881</v>
      </c>
      <c r="B263" s="2">
        <v>40583</v>
      </c>
      <c r="C263" s="1">
        <v>3</v>
      </c>
      <c r="D263" s="1" t="b">
        <v>0</v>
      </c>
      <c r="E263" s="1">
        <v>3</v>
      </c>
      <c r="F263" s="1">
        <v>1</v>
      </c>
      <c r="G263" s="1">
        <v>0.06</v>
      </c>
      <c r="H263" s="1">
        <v>7.5800000000000006E-2</v>
      </c>
      <c r="I263" s="1">
        <v>0.45</v>
      </c>
      <c r="J263" s="1">
        <v>0.1343</v>
      </c>
      <c r="K263" s="1">
        <v>0</v>
      </c>
      <c r="L263" s="1">
        <v>2</v>
      </c>
      <c r="M263" s="1">
        <v>2</v>
      </c>
    </row>
    <row r="264" spans="1:13" x14ac:dyDescent="0.25">
      <c r="A264" s="1">
        <v>882</v>
      </c>
      <c r="B264" s="2">
        <v>40583</v>
      </c>
      <c r="C264" s="1">
        <v>5</v>
      </c>
      <c r="D264" s="1" t="b">
        <v>0</v>
      </c>
      <c r="E264" s="1">
        <v>3</v>
      </c>
      <c r="F264" s="1">
        <v>1</v>
      </c>
      <c r="G264" s="1">
        <v>0.06</v>
      </c>
      <c r="H264" s="1">
        <v>0.1061</v>
      </c>
      <c r="I264" s="1">
        <v>0.45</v>
      </c>
      <c r="J264" s="1">
        <v>0.1045</v>
      </c>
      <c r="K264" s="1">
        <v>0</v>
      </c>
      <c r="L264" s="1">
        <v>7</v>
      </c>
      <c r="M264" s="1">
        <v>7</v>
      </c>
    </row>
    <row r="265" spans="1:13" x14ac:dyDescent="0.25">
      <c r="A265" s="1">
        <v>883</v>
      </c>
      <c r="B265" s="2">
        <v>40583</v>
      </c>
      <c r="C265" s="1">
        <v>6</v>
      </c>
      <c r="D265" s="1" t="b">
        <v>0</v>
      </c>
      <c r="E265" s="1">
        <v>3</v>
      </c>
      <c r="F265" s="1">
        <v>1</v>
      </c>
      <c r="G265" s="1">
        <v>0.06</v>
      </c>
      <c r="H265" s="1">
        <v>0.1515</v>
      </c>
      <c r="I265" s="1">
        <v>0.45</v>
      </c>
      <c r="J265" s="1">
        <v>0</v>
      </c>
      <c r="K265" s="1">
        <v>0</v>
      </c>
      <c r="L265" s="1">
        <v>43</v>
      </c>
      <c r="M265" s="1">
        <v>43</v>
      </c>
    </row>
    <row r="266" spans="1:13" x14ac:dyDescent="0.25">
      <c r="A266" s="1">
        <v>884</v>
      </c>
      <c r="B266" s="2">
        <v>40583</v>
      </c>
      <c r="C266" s="1">
        <v>7</v>
      </c>
      <c r="D266" s="1" t="b">
        <v>0</v>
      </c>
      <c r="E266" s="1">
        <v>3</v>
      </c>
      <c r="F266" s="1">
        <v>1</v>
      </c>
      <c r="G266" s="1">
        <v>0.06</v>
      </c>
      <c r="H266" s="1">
        <v>0.1061</v>
      </c>
      <c r="I266" s="1">
        <v>0.49</v>
      </c>
      <c r="J266" s="1">
        <v>0.1045</v>
      </c>
      <c r="K266" s="1">
        <v>4</v>
      </c>
      <c r="L266" s="1">
        <v>95</v>
      </c>
      <c r="M266" s="1">
        <v>99</v>
      </c>
    </row>
    <row r="267" spans="1:13" x14ac:dyDescent="0.25">
      <c r="A267" s="1">
        <v>885</v>
      </c>
      <c r="B267" s="2">
        <v>40583</v>
      </c>
      <c r="C267" s="1">
        <v>8</v>
      </c>
      <c r="D267" s="1" t="b">
        <v>0</v>
      </c>
      <c r="E267" s="1">
        <v>3</v>
      </c>
      <c r="F267" s="1">
        <v>1</v>
      </c>
      <c r="G267" s="1">
        <v>0.1</v>
      </c>
      <c r="H267" s="1">
        <v>0.13639999999999999</v>
      </c>
      <c r="I267" s="1">
        <v>0.42</v>
      </c>
      <c r="J267" s="1">
        <v>0</v>
      </c>
      <c r="K267" s="1">
        <v>1</v>
      </c>
      <c r="L267" s="1">
        <v>198</v>
      </c>
      <c r="M267" s="1">
        <v>199</v>
      </c>
    </row>
    <row r="268" spans="1:13" x14ac:dyDescent="0.25">
      <c r="A268" s="1">
        <v>886</v>
      </c>
      <c r="B268" s="2">
        <v>40583</v>
      </c>
      <c r="C268" s="1">
        <v>9</v>
      </c>
      <c r="D268" s="1" t="b">
        <v>0</v>
      </c>
      <c r="E268" s="1">
        <v>3</v>
      </c>
      <c r="F268" s="1">
        <v>1</v>
      </c>
      <c r="G268" s="1">
        <v>0.12</v>
      </c>
      <c r="H268" s="1">
        <v>0.13639999999999999</v>
      </c>
      <c r="I268" s="1">
        <v>0.39</v>
      </c>
      <c r="J268" s="1">
        <v>0.16420000000000001</v>
      </c>
      <c r="K268" s="1">
        <v>4</v>
      </c>
      <c r="L268" s="1">
        <v>119</v>
      </c>
      <c r="M268" s="1">
        <v>123</v>
      </c>
    </row>
    <row r="269" spans="1:13" x14ac:dyDescent="0.25">
      <c r="A269" s="1">
        <v>887</v>
      </c>
      <c r="B269" s="2">
        <v>40583</v>
      </c>
      <c r="C269" s="1">
        <v>10</v>
      </c>
      <c r="D269" s="1" t="b">
        <v>0</v>
      </c>
      <c r="E269" s="1">
        <v>3</v>
      </c>
      <c r="F269" s="1">
        <v>1</v>
      </c>
      <c r="G269" s="1">
        <v>0.14000000000000001</v>
      </c>
      <c r="H269" s="1">
        <v>0.18179999999999999</v>
      </c>
      <c r="I269" s="1">
        <v>0.36</v>
      </c>
      <c r="J269" s="1">
        <v>0</v>
      </c>
      <c r="K269" s="1">
        <v>8</v>
      </c>
      <c r="L269" s="1">
        <v>51</v>
      </c>
      <c r="M269" s="1">
        <v>59</v>
      </c>
    </row>
    <row r="270" spans="1:13" x14ac:dyDescent="0.25">
      <c r="A270" s="1">
        <v>888</v>
      </c>
      <c r="B270" s="2">
        <v>40583</v>
      </c>
      <c r="C270" s="1">
        <v>11</v>
      </c>
      <c r="D270" s="1" t="b">
        <v>0</v>
      </c>
      <c r="E270" s="1">
        <v>3</v>
      </c>
      <c r="F270" s="1">
        <v>2</v>
      </c>
      <c r="G270" s="1">
        <v>0.14000000000000001</v>
      </c>
      <c r="H270" s="1">
        <v>0.1515</v>
      </c>
      <c r="I270" s="1">
        <v>0.43</v>
      </c>
      <c r="J270" s="1">
        <v>0.16420000000000001</v>
      </c>
      <c r="K270" s="1">
        <v>1</v>
      </c>
      <c r="L270" s="1">
        <v>40</v>
      </c>
      <c r="M270" s="1">
        <v>41</v>
      </c>
    </row>
    <row r="271" spans="1:13" x14ac:dyDescent="0.25">
      <c r="A271" s="1">
        <v>889</v>
      </c>
      <c r="B271" s="2">
        <v>40583</v>
      </c>
      <c r="C271" s="1">
        <v>12</v>
      </c>
      <c r="D271" s="1" t="b">
        <v>0</v>
      </c>
      <c r="E271" s="1">
        <v>3</v>
      </c>
      <c r="F271" s="1">
        <v>2</v>
      </c>
      <c r="G271" s="1">
        <v>0.18</v>
      </c>
      <c r="H271" s="1">
        <v>0.18179999999999999</v>
      </c>
      <c r="I271" s="1">
        <v>0.4</v>
      </c>
      <c r="J271" s="1">
        <v>0.22389999999999999</v>
      </c>
      <c r="K271" s="1">
        <v>4</v>
      </c>
      <c r="L271" s="1">
        <v>57</v>
      </c>
      <c r="M271" s="1">
        <v>61</v>
      </c>
    </row>
    <row r="272" spans="1:13" x14ac:dyDescent="0.25">
      <c r="A272" s="1">
        <v>890</v>
      </c>
      <c r="B272" s="2">
        <v>40583</v>
      </c>
      <c r="C272" s="1">
        <v>13</v>
      </c>
      <c r="D272" s="1" t="b">
        <v>0</v>
      </c>
      <c r="E272" s="1">
        <v>3</v>
      </c>
      <c r="F272" s="1">
        <v>1</v>
      </c>
      <c r="G272" s="1">
        <v>0.18</v>
      </c>
      <c r="H272" s="1">
        <v>0.16669999999999999</v>
      </c>
      <c r="I272" s="1">
        <v>0.4</v>
      </c>
      <c r="J272" s="1">
        <v>0.25369999999999998</v>
      </c>
      <c r="K272" s="1">
        <v>2</v>
      </c>
      <c r="L272" s="1">
        <v>67</v>
      </c>
      <c r="M272" s="1">
        <v>69</v>
      </c>
    </row>
    <row r="273" spans="1:13" x14ac:dyDescent="0.25">
      <c r="A273" s="1">
        <v>891</v>
      </c>
      <c r="B273" s="2">
        <v>40583</v>
      </c>
      <c r="C273" s="1">
        <v>14</v>
      </c>
      <c r="D273" s="1" t="b">
        <v>0</v>
      </c>
      <c r="E273" s="1">
        <v>3</v>
      </c>
      <c r="F273" s="1">
        <v>1</v>
      </c>
      <c r="G273" s="1">
        <v>0.2</v>
      </c>
      <c r="H273" s="1">
        <v>0.18179999999999999</v>
      </c>
      <c r="I273" s="1">
        <v>0.34</v>
      </c>
      <c r="J273" s="1">
        <v>0.29849999999999999</v>
      </c>
      <c r="K273" s="1">
        <v>2</v>
      </c>
      <c r="L273" s="1">
        <v>56</v>
      </c>
      <c r="M273" s="1">
        <v>58</v>
      </c>
    </row>
    <row r="274" spans="1:13" x14ac:dyDescent="0.25">
      <c r="A274" s="1">
        <v>892</v>
      </c>
      <c r="B274" s="2">
        <v>40583</v>
      </c>
      <c r="C274" s="1">
        <v>15</v>
      </c>
      <c r="D274" s="1" t="b">
        <v>0</v>
      </c>
      <c r="E274" s="1">
        <v>3</v>
      </c>
      <c r="F274" s="1">
        <v>2</v>
      </c>
      <c r="G274" s="1">
        <v>0.2</v>
      </c>
      <c r="H274" s="1">
        <v>0.18179999999999999</v>
      </c>
      <c r="I274" s="1">
        <v>0.34</v>
      </c>
      <c r="J274" s="1">
        <v>0.28360000000000002</v>
      </c>
      <c r="K274" s="1">
        <v>3</v>
      </c>
      <c r="L274" s="1">
        <v>61</v>
      </c>
      <c r="M274" s="1">
        <v>64</v>
      </c>
    </row>
    <row r="275" spans="1:13" x14ac:dyDescent="0.25">
      <c r="A275" s="1">
        <v>893</v>
      </c>
      <c r="B275" s="2">
        <v>40583</v>
      </c>
      <c r="C275" s="1">
        <v>16</v>
      </c>
      <c r="D275" s="1" t="b">
        <v>0</v>
      </c>
      <c r="E275" s="1">
        <v>3</v>
      </c>
      <c r="F275" s="1">
        <v>2</v>
      </c>
      <c r="G275" s="1">
        <v>0.2</v>
      </c>
      <c r="H275" s="1">
        <v>0.19700000000000001</v>
      </c>
      <c r="I275" s="1">
        <v>0.37</v>
      </c>
      <c r="J275" s="1">
        <v>0.25369999999999998</v>
      </c>
      <c r="K275" s="1">
        <v>7</v>
      </c>
      <c r="L275" s="1">
        <v>72</v>
      </c>
      <c r="M275" s="1">
        <v>79</v>
      </c>
    </row>
    <row r="276" spans="1:13" x14ac:dyDescent="0.25">
      <c r="A276" s="1">
        <v>894</v>
      </c>
      <c r="B276" s="2">
        <v>40583</v>
      </c>
      <c r="C276" s="1">
        <v>17</v>
      </c>
      <c r="D276" s="1" t="b">
        <v>0</v>
      </c>
      <c r="E276" s="1">
        <v>3</v>
      </c>
      <c r="F276" s="1">
        <v>2</v>
      </c>
      <c r="G276" s="1">
        <v>0.2</v>
      </c>
      <c r="H276" s="1">
        <v>0.19700000000000001</v>
      </c>
      <c r="I276" s="1">
        <v>0.34</v>
      </c>
      <c r="J276" s="1">
        <v>0.25369999999999998</v>
      </c>
      <c r="K276" s="1">
        <v>9</v>
      </c>
      <c r="L276" s="1">
        <v>157</v>
      </c>
      <c r="M276" s="1">
        <v>166</v>
      </c>
    </row>
    <row r="277" spans="1:13" x14ac:dyDescent="0.25">
      <c r="A277" s="1">
        <v>895</v>
      </c>
      <c r="B277" s="2">
        <v>40583</v>
      </c>
      <c r="C277" s="1">
        <v>18</v>
      </c>
      <c r="D277" s="1" t="b">
        <v>0</v>
      </c>
      <c r="E277" s="1">
        <v>3</v>
      </c>
      <c r="F277" s="1">
        <v>2</v>
      </c>
      <c r="G277" s="1">
        <v>0.18</v>
      </c>
      <c r="H277" s="1">
        <v>0.16669999999999999</v>
      </c>
      <c r="I277" s="1">
        <v>0.47</v>
      </c>
      <c r="J277" s="1">
        <v>0.29849999999999999</v>
      </c>
      <c r="K277" s="1">
        <v>2</v>
      </c>
      <c r="L277" s="1">
        <v>168</v>
      </c>
      <c r="M277" s="1">
        <v>170</v>
      </c>
    </row>
    <row r="278" spans="1:13" x14ac:dyDescent="0.25">
      <c r="A278" s="1">
        <v>896</v>
      </c>
      <c r="B278" s="2">
        <v>40583</v>
      </c>
      <c r="C278" s="1">
        <v>19</v>
      </c>
      <c r="D278" s="1" t="b">
        <v>0</v>
      </c>
      <c r="E278" s="1">
        <v>3</v>
      </c>
      <c r="F278" s="1">
        <v>3</v>
      </c>
      <c r="G278" s="1">
        <v>0.14000000000000001</v>
      </c>
      <c r="H278" s="1">
        <v>0.1212</v>
      </c>
      <c r="I278" s="1">
        <v>0.86</v>
      </c>
      <c r="J278" s="1">
        <v>0.25369999999999998</v>
      </c>
      <c r="K278" s="1">
        <v>1</v>
      </c>
      <c r="L278" s="1">
        <v>87</v>
      </c>
      <c r="M278" s="1">
        <v>88</v>
      </c>
    </row>
    <row r="279" spans="1:13" x14ac:dyDescent="0.25">
      <c r="A279" s="1">
        <v>897</v>
      </c>
      <c r="B279" s="2">
        <v>40583</v>
      </c>
      <c r="C279" s="1">
        <v>20</v>
      </c>
      <c r="D279" s="1" t="b">
        <v>0</v>
      </c>
      <c r="E279" s="1">
        <v>3</v>
      </c>
      <c r="F279" s="1">
        <v>3</v>
      </c>
      <c r="G279" s="1">
        <v>0.14000000000000001</v>
      </c>
      <c r="H279" s="1">
        <v>0.1515</v>
      </c>
      <c r="I279" s="1">
        <v>0.86</v>
      </c>
      <c r="J279" s="1">
        <v>0.16420000000000001</v>
      </c>
      <c r="K279" s="1">
        <v>0</v>
      </c>
      <c r="L279" s="1">
        <v>84</v>
      </c>
      <c r="M279" s="1">
        <v>84</v>
      </c>
    </row>
    <row r="280" spans="1:13" x14ac:dyDescent="0.25">
      <c r="A280" s="1">
        <v>898</v>
      </c>
      <c r="B280" s="2">
        <v>40583</v>
      </c>
      <c r="C280" s="1">
        <v>21</v>
      </c>
      <c r="D280" s="1" t="b">
        <v>0</v>
      </c>
      <c r="E280" s="1">
        <v>3</v>
      </c>
      <c r="F280" s="1">
        <v>2</v>
      </c>
      <c r="G280" s="1">
        <v>0.14000000000000001</v>
      </c>
      <c r="H280" s="1">
        <v>0.1515</v>
      </c>
      <c r="I280" s="1">
        <v>0.86</v>
      </c>
      <c r="J280" s="1">
        <v>0.16420000000000001</v>
      </c>
      <c r="K280" s="1">
        <v>0</v>
      </c>
      <c r="L280" s="1">
        <v>83</v>
      </c>
      <c r="M280" s="1">
        <v>83</v>
      </c>
    </row>
    <row r="281" spans="1:13" x14ac:dyDescent="0.25">
      <c r="A281" s="1">
        <v>899</v>
      </c>
      <c r="B281" s="2">
        <v>40583</v>
      </c>
      <c r="C281" s="1">
        <v>22</v>
      </c>
      <c r="D281" s="1" t="b">
        <v>0</v>
      </c>
      <c r="E281" s="1">
        <v>3</v>
      </c>
      <c r="F281" s="1">
        <v>3</v>
      </c>
      <c r="G281" s="1">
        <v>0.16</v>
      </c>
      <c r="H281" s="1">
        <v>0.16669999999999999</v>
      </c>
      <c r="I281" s="1">
        <v>0.8</v>
      </c>
      <c r="J281" s="1">
        <v>0.16420000000000001</v>
      </c>
      <c r="K281" s="1">
        <v>4</v>
      </c>
      <c r="L281" s="1">
        <v>42</v>
      </c>
      <c r="M281" s="1">
        <v>46</v>
      </c>
    </row>
    <row r="282" spans="1:13" x14ac:dyDescent="0.25">
      <c r="A282" s="1">
        <v>900</v>
      </c>
      <c r="B282" s="2">
        <v>40583</v>
      </c>
      <c r="C282" s="1">
        <v>23</v>
      </c>
      <c r="D282" s="1" t="b">
        <v>0</v>
      </c>
      <c r="E282" s="1">
        <v>3</v>
      </c>
      <c r="F282" s="1">
        <v>3</v>
      </c>
      <c r="G282" s="1">
        <v>0.16</v>
      </c>
      <c r="H282" s="1">
        <v>0.1515</v>
      </c>
      <c r="I282" s="1">
        <v>0.8</v>
      </c>
      <c r="J282" s="1">
        <v>0.19400000000000001</v>
      </c>
      <c r="K282" s="1">
        <v>0</v>
      </c>
      <c r="L282" s="1">
        <v>37</v>
      </c>
      <c r="M282" s="1">
        <v>37</v>
      </c>
    </row>
    <row r="283" spans="1:13" x14ac:dyDescent="0.25">
      <c r="A283" s="1">
        <v>901</v>
      </c>
      <c r="B283" s="2">
        <v>40584</v>
      </c>
      <c r="C283" s="1">
        <v>0</v>
      </c>
      <c r="D283" s="1" t="b">
        <v>0</v>
      </c>
      <c r="E283" s="1">
        <v>4</v>
      </c>
      <c r="F283" s="1">
        <v>3</v>
      </c>
      <c r="G283" s="1">
        <v>0.14000000000000001</v>
      </c>
      <c r="H283" s="1">
        <v>0.13639999999999999</v>
      </c>
      <c r="I283" s="1">
        <v>0.86</v>
      </c>
      <c r="J283" s="1">
        <v>0.19400000000000001</v>
      </c>
      <c r="K283" s="1">
        <v>0</v>
      </c>
      <c r="L283" s="1">
        <v>16</v>
      </c>
      <c r="M283" s="1">
        <v>16</v>
      </c>
    </row>
    <row r="284" spans="1:13" x14ac:dyDescent="0.25">
      <c r="A284" s="1">
        <v>902</v>
      </c>
      <c r="B284" s="2">
        <v>40584</v>
      </c>
      <c r="C284" s="1">
        <v>1</v>
      </c>
      <c r="D284" s="1" t="b">
        <v>0</v>
      </c>
      <c r="E284" s="1">
        <v>4</v>
      </c>
      <c r="F284" s="1">
        <v>3</v>
      </c>
      <c r="G284" s="1">
        <v>0.14000000000000001</v>
      </c>
      <c r="H284" s="1">
        <v>0.1515</v>
      </c>
      <c r="I284" s="1">
        <v>0.8</v>
      </c>
      <c r="J284" s="1">
        <v>0.1343</v>
      </c>
      <c r="K284" s="1">
        <v>0</v>
      </c>
      <c r="L284" s="1">
        <v>7</v>
      </c>
      <c r="M284" s="1">
        <v>7</v>
      </c>
    </row>
    <row r="285" spans="1:13" x14ac:dyDescent="0.25">
      <c r="A285" s="1">
        <v>903</v>
      </c>
      <c r="B285" s="2">
        <v>40584</v>
      </c>
      <c r="C285" s="1">
        <v>2</v>
      </c>
      <c r="D285" s="1" t="b">
        <v>0</v>
      </c>
      <c r="E285" s="1">
        <v>4</v>
      </c>
      <c r="F285" s="1">
        <v>3</v>
      </c>
      <c r="G285" s="1">
        <v>0.14000000000000001</v>
      </c>
      <c r="H285" s="1">
        <v>0.1515</v>
      </c>
      <c r="I285" s="1">
        <v>0.8</v>
      </c>
      <c r="J285" s="1">
        <v>0.1343</v>
      </c>
      <c r="K285" s="1">
        <v>0</v>
      </c>
      <c r="L285" s="1">
        <v>3</v>
      </c>
      <c r="M285" s="1">
        <v>3</v>
      </c>
    </row>
    <row r="286" spans="1:13" x14ac:dyDescent="0.25">
      <c r="A286" s="1">
        <v>904</v>
      </c>
      <c r="B286" s="2">
        <v>40584</v>
      </c>
      <c r="C286" s="1">
        <v>4</v>
      </c>
      <c r="D286" s="1" t="b">
        <v>0</v>
      </c>
      <c r="E286" s="1">
        <v>4</v>
      </c>
      <c r="F286" s="1">
        <v>2</v>
      </c>
      <c r="G286" s="1">
        <v>0.14000000000000001</v>
      </c>
      <c r="H286" s="1">
        <v>0.13639999999999999</v>
      </c>
      <c r="I286" s="1">
        <v>0.59</v>
      </c>
      <c r="J286" s="1">
        <v>0.22389999999999999</v>
      </c>
      <c r="K286" s="1">
        <v>0</v>
      </c>
      <c r="L286" s="1">
        <v>1</v>
      </c>
      <c r="M286" s="1">
        <v>1</v>
      </c>
    </row>
    <row r="287" spans="1:13" x14ac:dyDescent="0.25">
      <c r="A287" s="1">
        <v>905</v>
      </c>
      <c r="B287" s="2">
        <v>40584</v>
      </c>
      <c r="C287" s="1">
        <v>5</v>
      </c>
      <c r="D287" s="1" t="b">
        <v>0</v>
      </c>
      <c r="E287" s="1">
        <v>4</v>
      </c>
      <c r="F287" s="1">
        <v>2</v>
      </c>
      <c r="G287" s="1">
        <v>0.12</v>
      </c>
      <c r="H287" s="1">
        <v>0.1212</v>
      </c>
      <c r="I287" s="1">
        <v>0.5</v>
      </c>
      <c r="J287" s="1">
        <v>0.22389999999999999</v>
      </c>
      <c r="K287" s="1">
        <v>0</v>
      </c>
      <c r="L287" s="1">
        <v>6</v>
      </c>
      <c r="M287" s="1">
        <v>6</v>
      </c>
    </row>
    <row r="288" spans="1:13" x14ac:dyDescent="0.25">
      <c r="A288" s="1">
        <v>906</v>
      </c>
      <c r="B288" s="2">
        <v>40584</v>
      </c>
      <c r="C288" s="1">
        <v>6</v>
      </c>
      <c r="D288" s="1" t="b">
        <v>0</v>
      </c>
      <c r="E288" s="1">
        <v>4</v>
      </c>
      <c r="F288" s="1">
        <v>2</v>
      </c>
      <c r="G288" s="1">
        <v>0.12</v>
      </c>
      <c r="H288" s="1">
        <v>0.1212</v>
      </c>
      <c r="I288" s="1">
        <v>0.54</v>
      </c>
      <c r="J288" s="1">
        <v>0.28360000000000002</v>
      </c>
      <c r="K288" s="1">
        <v>0</v>
      </c>
      <c r="L288" s="1">
        <v>26</v>
      </c>
      <c r="M288" s="1">
        <v>26</v>
      </c>
    </row>
    <row r="289" spans="1:13" x14ac:dyDescent="0.25">
      <c r="A289" s="1">
        <v>907</v>
      </c>
      <c r="B289" s="2">
        <v>40584</v>
      </c>
      <c r="C289" s="1">
        <v>7</v>
      </c>
      <c r="D289" s="1" t="b">
        <v>0</v>
      </c>
      <c r="E289" s="1">
        <v>4</v>
      </c>
      <c r="F289" s="1">
        <v>1</v>
      </c>
      <c r="G289" s="1">
        <v>0.1</v>
      </c>
      <c r="H289" s="1">
        <v>7.5800000000000006E-2</v>
      </c>
      <c r="I289" s="1">
        <v>0.5</v>
      </c>
      <c r="J289" s="1">
        <v>0.41789999999999999</v>
      </c>
      <c r="K289" s="1">
        <v>0</v>
      </c>
      <c r="L289" s="1">
        <v>99</v>
      </c>
      <c r="M289" s="1">
        <v>99</v>
      </c>
    </row>
    <row r="290" spans="1:13" x14ac:dyDescent="0.25">
      <c r="A290" s="1">
        <v>908</v>
      </c>
      <c r="B290" s="2">
        <v>40584</v>
      </c>
      <c r="C290" s="1">
        <v>8</v>
      </c>
      <c r="D290" s="1" t="b">
        <v>0</v>
      </c>
      <c r="E290" s="1">
        <v>4</v>
      </c>
      <c r="F290" s="1">
        <v>1</v>
      </c>
      <c r="G290" s="1">
        <v>0.1</v>
      </c>
      <c r="H290" s="1">
        <v>7.5800000000000006E-2</v>
      </c>
      <c r="I290" s="1">
        <v>0.49</v>
      </c>
      <c r="J290" s="1">
        <v>0.32840000000000003</v>
      </c>
      <c r="K290" s="1">
        <v>5</v>
      </c>
      <c r="L290" s="1">
        <v>173</v>
      </c>
      <c r="M290" s="1">
        <v>178</v>
      </c>
    </row>
    <row r="291" spans="1:13" x14ac:dyDescent="0.25">
      <c r="A291" s="1">
        <v>909</v>
      </c>
      <c r="B291" s="2">
        <v>40584</v>
      </c>
      <c r="C291" s="1">
        <v>9</v>
      </c>
      <c r="D291" s="1" t="b">
        <v>0</v>
      </c>
      <c r="E291" s="1">
        <v>4</v>
      </c>
      <c r="F291" s="1">
        <v>1</v>
      </c>
      <c r="G291" s="1">
        <v>0.12</v>
      </c>
      <c r="H291" s="1">
        <v>0.1061</v>
      </c>
      <c r="I291" s="1">
        <v>0.42</v>
      </c>
      <c r="J291" s="1">
        <v>0.35820000000000002</v>
      </c>
      <c r="K291" s="1">
        <v>1</v>
      </c>
      <c r="L291" s="1">
        <v>121</v>
      </c>
      <c r="M291" s="1">
        <v>122</v>
      </c>
    </row>
    <row r="292" spans="1:13" x14ac:dyDescent="0.25">
      <c r="A292" s="1">
        <v>910</v>
      </c>
      <c r="B292" s="2">
        <v>40584</v>
      </c>
      <c r="C292" s="1">
        <v>10</v>
      </c>
      <c r="D292" s="1" t="b">
        <v>0</v>
      </c>
      <c r="E292" s="1">
        <v>4</v>
      </c>
      <c r="F292" s="1">
        <v>1</v>
      </c>
      <c r="G292" s="1">
        <v>0.12</v>
      </c>
      <c r="H292" s="1">
        <v>0.1061</v>
      </c>
      <c r="I292" s="1">
        <v>0.42</v>
      </c>
      <c r="J292" s="1">
        <v>0.29849999999999999</v>
      </c>
      <c r="K292" s="1">
        <v>1</v>
      </c>
      <c r="L292" s="1">
        <v>34</v>
      </c>
      <c r="M292" s="1">
        <v>35</v>
      </c>
    </row>
    <row r="293" spans="1:13" x14ac:dyDescent="0.25">
      <c r="A293" s="1">
        <v>911</v>
      </c>
      <c r="B293" s="2">
        <v>40584</v>
      </c>
      <c r="C293" s="1">
        <v>11</v>
      </c>
      <c r="D293" s="1" t="b">
        <v>0</v>
      </c>
      <c r="E293" s="1">
        <v>4</v>
      </c>
      <c r="F293" s="1">
        <v>1</v>
      </c>
      <c r="G293" s="1">
        <v>0.14000000000000001</v>
      </c>
      <c r="H293" s="1">
        <v>0.1212</v>
      </c>
      <c r="I293" s="1">
        <v>0.39</v>
      </c>
      <c r="J293" s="1">
        <v>0.35820000000000002</v>
      </c>
      <c r="K293" s="1">
        <v>1</v>
      </c>
      <c r="L293" s="1">
        <v>44</v>
      </c>
      <c r="M293" s="1">
        <v>45</v>
      </c>
    </row>
    <row r="294" spans="1:13" x14ac:dyDescent="0.25">
      <c r="A294" s="1">
        <v>912</v>
      </c>
      <c r="B294" s="2">
        <v>40584</v>
      </c>
      <c r="C294" s="1">
        <v>12</v>
      </c>
      <c r="D294" s="1" t="b">
        <v>0</v>
      </c>
      <c r="E294" s="1">
        <v>4</v>
      </c>
      <c r="F294" s="1">
        <v>1</v>
      </c>
      <c r="G294" s="1">
        <v>0.16</v>
      </c>
      <c r="H294" s="1">
        <v>0.13639999999999999</v>
      </c>
      <c r="I294" s="1">
        <v>0.34</v>
      </c>
      <c r="J294" s="1">
        <v>0.3881</v>
      </c>
      <c r="K294" s="1">
        <v>4</v>
      </c>
      <c r="L294" s="1">
        <v>65</v>
      </c>
      <c r="M294" s="1">
        <v>69</v>
      </c>
    </row>
    <row r="295" spans="1:13" x14ac:dyDescent="0.25">
      <c r="A295" s="1">
        <v>913</v>
      </c>
      <c r="B295" s="2">
        <v>40584</v>
      </c>
      <c r="C295" s="1">
        <v>13</v>
      </c>
      <c r="D295" s="1" t="b">
        <v>0</v>
      </c>
      <c r="E295" s="1">
        <v>4</v>
      </c>
      <c r="F295" s="1">
        <v>1</v>
      </c>
      <c r="G295" s="1">
        <v>0.18</v>
      </c>
      <c r="H295" s="1">
        <v>0.16669999999999999</v>
      </c>
      <c r="I295" s="1">
        <v>0.28999999999999998</v>
      </c>
      <c r="J295" s="1">
        <v>0.29849999999999999</v>
      </c>
      <c r="K295" s="1">
        <v>3</v>
      </c>
      <c r="L295" s="1">
        <v>59</v>
      </c>
      <c r="M295" s="1">
        <v>62</v>
      </c>
    </row>
    <row r="296" spans="1:13" x14ac:dyDescent="0.25">
      <c r="A296" s="1">
        <v>914</v>
      </c>
      <c r="B296" s="2">
        <v>40584</v>
      </c>
      <c r="C296" s="1">
        <v>14</v>
      </c>
      <c r="D296" s="1" t="b">
        <v>0</v>
      </c>
      <c r="E296" s="1">
        <v>4</v>
      </c>
      <c r="F296" s="1">
        <v>1</v>
      </c>
      <c r="G296" s="1">
        <v>0.2</v>
      </c>
      <c r="H296" s="1">
        <v>0.18179999999999999</v>
      </c>
      <c r="I296" s="1">
        <v>0.27</v>
      </c>
      <c r="J296" s="1">
        <v>0.28360000000000002</v>
      </c>
      <c r="K296" s="1">
        <v>6</v>
      </c>
      <c r="L296" s="1">
        <v>42</v>
      </c>
      <c r="M296" s="1">
        <v>48</v>
      </c>
    </row>
    <row r="297" spans="1:13" x14ac:dyDescent="0.25">
      <c r="A297" s="1">
        <v>915</v>
      </c>
      <c r="B297" s="2">
        <v>40584</v>
      </c>
      <c r="C297" s="1">
        <v>15</v>
      </c>
      <c r="D297" s="1" t="b">
        <v>0</v>
      </c>
      <c r="E297" s="1">
        <v>4</v>
      </c>
      <c r="F297" s="1">
        <v>1</v>
      </c>
      <c r="G297" s="1">
        <v>0.2</v>
      </c>
      <c r="H297" s="1">
        <v>0.19700000000000001</v>
      </c>
      <c r="I297" s="1">
        <v>0.25</v>
      </c>
      <c r="J297" s="1">
        <v>0.25369999999999998</v>
      </c>
      <c r="K297" s="1">
        <v>0</v>
      </c>
      <c r="L297" s="1">
        <v>50</v>
      </c>
      <c r="M297" s="1">
        <v>50</v>
      </c>
    </row>
    <row r="298" spans="1:13" x14ac:dyDescent="0.25">
      <c r="A298" s="1">
        <v>916</v>
      </c>
      <c r="B298" s="2">
        <v>40584</v>
      </c>
      <c r="C298" s="1">
        <v>16</v>
      </c>
      <c r="D298" s="1" t="b">
        <v>0</v>
      </c>
      <c r="E298" s="1">
        <v>4</v>
      </c>
      <c r="F298" s="1">
        <v>1</v>
      </c>
      <c r="G298" s="1">
        <v>0.2</v>
      </c>
      <c r="H298" s="1">
        <v>0.18179999999999999</v>
      </c>
      <c r="I298" s="1">
        <v>0.27</v>
      </c>
      <c r="J298" s="1">
        <v>0.29849999999999999</v>
      </c>
      <c r="K298" s="1">
        <v>4</v>
      </c>
      <c r="L298" s="1">
        <v>76</v>
      </c>
      <c r="M298" s="1">
        <v>80</v>
      </c>
    </row>
    <row r="299" spans="1:13" x14ac:dyDescent="0.25">
      <c r="A299" s="1">
        <v>917</v>
      </c>
      <c r="B299" s="2">
        <v>40584</v>
      </c>
      <c r="C299" s="1">
        <v>17</v>
      </c>
      <c r="D299" s="1" t="b">
        <v>0</v>
      </c>
      <c r="E299" s="1">
        <v>4</v>
      </c>
      <c r="F299" s="1">
        <v>1</v>
      </c>
      <c r="G299" s="1">
        <v>0.18</v>
      </c>
      <c r="H299" s="1">
        <v>0.18179999999999999</v>
      </c>
      <c r="I299" s="1">
        <v>0.26</v>
      </c>
      <c r="J299" s="1">
        <v>0.19400000000000001</v>
      </c>
      <c r="K299" s="1">
        <v>6</v>
      </c>
      <c r="L299" s="1">
        <v>159</v>
      </c>
      <c r="M299" s="1">
        <v>165</v>
      </c>
    </row>
    <row r="300" spans="1:13" x14ac:dyDescent="0.25">
      <c r="A300" s="1">
        <v>918</v>
      </c>
      <c r="B300" s="2">
        <v>40584</v>
      </c>
      <c r="C300" s="1">
        <v>18</v>
      </c>
      <c r="D300" s="1" t="b">
        <v>0</v>
      </c>
      <c r="E300" s="1">
        <v>4</v>
      </c>
      <c r="F300" s="1">
        <v>1</v>
      </c>
      <c r="G300" s="1">
        <v>0.16</v>
      </c>
      <c r="H300" s="1">
        <v>0.18179999999999999</v>
      </c>
      <c r="I300" s="1">
        <v>0.28000000000000003</v>
      </c>
      <c r="J300" s="1">
        <v>0.1343</v>
      </c>
      <c r="K300" s="1">
        <v>3</v>
      </c>
      <c r="L300" s="1">
        <v>157</v>
      </c>
      <c r="M300" s="1">
        <v>160</v>
      </c>
    </row>
    <row r="301" spans="1:13" x14ac:dyDescent="0.25">
      <c r="A301" s="1">
        <v>919</v>
      </c>
      <c r="B301" s="2">
        <v>40584</v>
      </c>
      <c r="C301" s="1">
        <v>19</v>
      </c>
      <c r="D301" s="1" t="b">
        <v>0</v>
      </c>
      <c r="E301" s="1">
        <v>4</v>
      </c>
      <c r="F301" s="1">
        <v>1</v>
      </c>
      <c r="G301" s="1">
        <v>0.14000000000000001</v>
      </c>
      <c r="H301" s="1">
        <v>0.16669999999999999</v>
      </c>
      <c r="I301" s="1">
        <v>0.28000000000000003</v>
      </c>
      <c r="J301" s="1">
        <v>0.1045</v>
      </c>
      <c r="K301" s="1">
        <v>2</v>
      </c>
      <c r="L301" s="1">
        <v>110</v>
      </c>
      <c r="M301" s="1">
        <v>112</v>
      </c>
    </row>
    <row r="302" spans="1:13" x14ac:dyDescent="0.25">
      <c r="A302" s="1">
        <v>920</v>
      </c>
      <c r="B302" s="2">
        <v>40584</v>
      </c>
      <c r="C302" s="1">
        <v>20</v>
      </c>
      <c r="D302" s="1" t="b">
        <v>0</v>
      </c>
      <c r="E302" s="1">
        <v>4</v>
      </c>
      <c r="F302" s="1">
        <v>1</v>
      </c>
      <c r="G302" s="1">
        <v>0.14000000000000001</v>
      </c>
      <c r="H302" s="1">
        <v>0.18179999999999999</v>
      </c>
      <c r="I302" s="1">
        <v>0.31</v>
      </c>
      <c r="J302" s="1">
        <v>8.9599999999999999E-2</v>
      </c>
      <c r="K302" s="1">
        <v>4</v>
      </c>
      <c r="L302" s="1">
        <v>93</v>
      </c>
      <c r="M302" s="1">
        <v>97</v>
      </c>
    </row>
    <row r="303" spans="1:13" x14ac:dyDescent="0.25">
      <c r="A303" s="1">
        <v>921</v>
      </c>
      <c r="B303" s="2">
        <v>40584</v>
      </c>
      <c r="C303" s="1">
        <v>21</v>
      </c>
      <c r="D303" s="1" t="b">
        <v>0</v>
      </c>
      <c r="E303" s="1">
        <v>4</v>
      </c>
      <c r="F303" s="1">
        <v>1</v>
      </c>
      <c r="G303" s="1">
        <v>0.14000000000000001</v>
      </c>
      <c r="H303" s="1">
        <v>0.21210000000000001</v>
      </c>
      <c r="I303" s="1">
        <v>0.39</v>
      </c>
      <c r="J303" s="1">
        <v>0</v>
      </c>
      <c r="K303" s="1">
        <v>2</v>
      </c>
      <c r="L303" s="1">
        <v>70</v>
      </c>
      <c r="M303" s="1">
        <v>72</v>
      </c>
    </row>
    <row r="304" spans="1:13" x14ac:dyDescent="0.25">
      <c r="A304" s="1">
        <v>922</v>
      </c>
      <c r="B304" s="2">
        <v>40584</v>
      </c>
      <c r="C304" s="1">
        <v>22</v>
      </c>
      <c r="D304" s="1" t="b">
        <v>0</v>
      </c>
      <c r="E304" s="1">
        <v>4</v>
      </c>
      <c r="F304" s="1">
        <v>1</v>
      </c>
      <c r="G304" s="1">
        <v>0.12</v>
      </c>
      <c r="H304" s="1">
        <v>0.19700000000000001</v>
      </c>
      <c r="I304" s="1">
        <v>0.39</v>
      </c>
      <c r="J304" s="1">
        <v>0</v>
      </c>
      <c r="K304" s="1">
        <v>4</v>
      </c>
      <c r="L304" s="1">
        <v>47</v>
      </c>
      <c r="M304" s="1">
        <v>51</v>
      </c>
    </row>
    <row r="305" spans="1:13" x14ac:dyDescent="0.25">
      <c r="A305" s="1">
        <v>923</v>
      </c>
      <c r="B305" s="2">
        <v>40584</v>
      </c>
      <c r="C305" s="1">
        <v>23</v>
      </c>
      <c r="D305" s="1" t="b">
        <v>0</v>
      </c>
      <c r="E305" s="1">
        <v>4</v>
      </c>
      <c r="F305" s="1">
        <v>1</v>
      </c>
      <c r="G305" s="1">
        <v>0.12</v>
      </c>
      <c r="H305" s="1">
        <v>0.1515</v>
      </c>
      <c r="I305" s="1">
        <v>0.42</v>
      </c>
      <c r="J305" s="1">
        <v>0.1045</v>
      </c>
      <c r="K305" s="1">
        <v>1</v>
      </c>
      <c r="L305" s="1">
        <v>33</v>
      </c>
      <c r="M305" s="1">
        <v>34</v>
      </c>
    </row>
    <row r="306" spans="1:13" x14ac:dyDescent="0.25">
      <c r="A306" s="1">
        <v>924</v>
      </c>
      <c r="B306" s="2">
        <v>40585</v>
      </c>
      <c r="C306" s="1">
        <v>0</v>
      </c>
      <c r="D306" s="1" t="b">
        <v>0</v>
      </c>
      <c r="E306" s="1">
        <v>5</v>
      </c>
      <c r="F306" s="1">
        <v>1</v>
      </c>
      <c r="G306" s="1">
        <v>0.1</v>
      </c>
      <c r="H306" s="1">
        <v>0.13639999999999999</v>
      </c>
      <c r="I306" s="1">
        <v>0.49</v>
      </c>
      <c r="J306" s="1">
        <v>0.1045</v>
      </c>
      <c r="K306" s="1">
        <v>2</v>
      </c>
      <c r="L306" s="1">
        <v>12</v>
      </c>
      <c r="M306" s="1">
        <v>14</v>
      </c>
    </row>
    <row r="307" spans="1:13" x14ac:dyDescent="0.25">
      <c r="A307" s="1">
        <v>925</v>
      </c>
      <c r="B307" s="2">
        <v>40585</v>
      </c>
      <c r="C307" s="1">
        <v>1</v>
      </c>
      <c r="D307" s="1" t="b">
        <v>0</v>
      </c>
      <c r="E307" s="1">
        <v>5</v>
      </c>
      <c r="F307" s="1">
        <v>1</v>
      </c>
      <c r="G307" s="1">
        <v>0.1</v>
      </c>
      <c r="H307" s="1">
        <v>0.13639999999999999</v>
      </c>
      <c r="I307" s="1">
        <v>0.54</v>
      </c>
      <c r="J307" s="1">
        <v>8.9599999999999999E-2</v>
      </c>
      <c r="K307" s="1">
        <v>1</v>
      </c>
      <c r="L307" s="1">
        <v>6</v>
      </c>
      <c r="M307" s="1">
        <v>7</v>
      </c>
    </row>
    <row r="308" spans="1:13" x14ac:dyDescent="0.25">
      <c r="A308" s="1">
        <v>926</v>
      </c>
      <c r="B308" s="2">
        <v>40585</v>
      </c>
      <c r="C308" s="1">
        <v>2</v>
      </c>
      <c r="D308" s="1" t="b">
        <v>0</v>
      </c>
      <c r="E308" s="1">
        <v>5</v>
      </c>
      <c r="F308" s="1">
        <v>1</v>
      </c>
      <c r="G308" s="1">
        <v>0.1</v>
      </c>
      <c r="H308" s="1">
        <v>0.13639999999999999</v>
      </c>
      <c r="I308" s="1">
        <v>0.54</v>
      </c>
      <c r="J308" s="1">
        <v>8.9599999999999999E-2</v>
      </c>
      <c r="K308" s="1">
        <v>0</v>
      </c>
      <c r="L308" s="1">
        <v>3</v>
      </c>
      <c r="M308" s="1">
        <v>3</v>
      </c>
    </row>
    <row r="309" spans="1:13" x14ac:dyDescent="0.25">
      <c r="A309" s="1">
        <v>927</v>
      </c>
      <c r="B309" s="2">
        <v>40585</v>
      </c>
      <c r="C309" s="1">
        <v>5</v>
      </c>
      <c r="D309" s="1" t="b">
        <v>0</v>
      </c>
      <c r="E309" s="1">
        <v>5</v>
      </c>
      <c r="F309" s="1">
        <v>1</v>
      </c>
      <c r="G309" s="1">
        <v>0.08</v>
      </c>
      <c r="H309" s="1">
        <v>0.1212</v>
      </c>
      <c r="I309" s="1">
        <v>0.63</v>
      </c>
      <c r="J309" s="1">
        <v>8.9599999999999999E-2</v>
      </c>
      <c r="K309" s="1">
        <v>0</v>
      </c>
      <c r="L309" s="1">
        <v>4</v>
      </c>
      <c r="M309" s="1">
        <v>4</v>
      </c>
    </row>
    <row r="310" spans="1:13" x14ac:dyDescent="0.25">
      <c r="A310" s="1">
        <v>928</v>
      </c>
      <c r="B310" s="2">
        <v>40585</v>
      </c>
      <c r="C310" s="1">
        <v>6</v>
      </c>
      <c r="D310" s="1" t="b">
        <v>0</v>
      </c>
      <c r="E310" s="1">
        <v>5</v>
      </c>
      <c r="F310" s="1">
        <v>1</v>
      </c>
      <c r="G310" s="1">
        <v>0.1</v>
      </c>
      <c r="H310" s="1">
        <v>0.18179999999999999</v>
      </c>
      <c r="I310" s="1">
        <v>0.68</v>
      </c>
      <c r="J310" s="1">
        <v>0</v>
      </c>
      <c r="K310" s="1">
        <v>1</v>
      </c>
      <c r="L310" s="1">
        <v>23</v>
      </c>
      <c r="M310" s="1">
        <v>24</v>
      </c>
    </row>
    <row r="311" spans="1:13" x14ac:dyDescent="0.25">
      <c r="A311" s="1">
        <v>929</v>
      </c>
      <c r="B311" s="2">
        <v>40585</v>
      </c>
      <c r="C311" s="1">
        <v>7</v>
      </c>
      <c r="D311" s="1" t="b">
        <v>0</v>
      </c>
      <c r="E311" s="1">
        <v>5</v>
      </c>
      <c r="F311" s="1">
        <v>1</v>
      </c>
      <c r="G311" s="1">
        <v>0.08</v>
      </c>
      <c r="H311" s="1">
        <v>0.16669999999999999</v>
      </c>
      <c r="I311" s="1">
        <v>0.73</v>
      </c>
      <c r="J311" s="1">
        <v>0</v>
      </c>
      <c r="K311" s="1">
        <v>1</v>
      </c>
      <c r="L311" s="1">
        <v>73</v>
      </c>
      <c r="M311" s="1">
        <v>74</v>
      </c>
    </row>
    <row r="312" spans="1:13" x14ac:dyDescent="0.25">
      <c r="A312" s="1">
        <v>930</v>
      </c>
      <c r="B312" s="2">
        <v>40585</v>
      </c>
      <c r="C312" s="1">
        <v>8</v>
      </c>
      <c r="D312" s="1" t="b">
        <v>0</v>
      </c>
      <c r="E312" s="1">
        <v>5</v>
      </c>
      <c r="F312" s="1">
        <v>1</v>
      </c>
      <c r="G312" s="1">
        <v>0.1</v>
      </c>
      <c r="H312" s="1">
        <v>0.1212</v>
      </c>
      <c r="I312" s="1">
        <v>0.74</v>
      </c>
      <c r="J312" s="1">
        <v>0.16420000000000001</v>
      </c>
      <c r="K312" s="1">
        <v>4</v>
      </c>
      <c r="L312" s="1">
        <v>212</v>
      </c>
      <c r="M312" s="1">
        <v>216</v>
      </c>
    </row>
    <row r="313" spans="1:13" x14ac:dyDescent="0.25">
      <c r="A313" s="1">
        <v>931</v>
      </c>
      <c r="B313" s="2">
        <v>40585</v>
      </c>
      <c r="C313" s="1">
        <v>9</v>
      </c>
      <c r="D313" s="1" t="b">
        <v>0</v>
      </c>
      <c r="E313" s="1">
        <v>5</v>
      </c>
      <c r="F313" s="1">
        <v>1</v>
      </c>
      <c r="G313" s="1">
        <v>0.12</v>
      </c>
      <c r="H313" s="1">
        <v>0.1212</v>
      </c>
      <c r="I313" s="1">
        <v>0.74</v>
      </c>
      <c r="J313" s="1">
        <v>0.22389999999999999</v>
      </c>
      <c r="K313" s="1">
        <v>8</v>
      </c>
      <c r="L313" s="1">
        <v>132</v>
      </c>
      <c r="M313" s="1">
        <v>140</v>
      </c>
    </row>
    <row r="314" spans="1:13" x14ac:dyDescent="0.25">
      <c r="A314" s="1">
        <v>932</v>
      </c>
      <c r="B314" s="2">
        <v>40585</v>
      </c>
      <c r="C314" s="1">
        <v>10</v>
      </c>
      <c r="D314" s="1" t="b">
        <v>0</v>
      </c>
      <c r="E314" s="1">
        <v>5</v>
      </c>
      <c r="F314" s="1">
        <v>1</v>
      </c>
      <c r="G314" s="1">
        <v>0.14000000000000001</v>
      </c>
      <c r="H314" s="1">
        <v>0.13639999999999999</v>
      </c>
      <c r="I314" s="1">
        <v>0.69</v>
      </c>
      <c r="J314" s="1">
        <v>0.19400000000000001</v>
      </c>
      <c r="K314" s="1">
        <v>5</v>
      </c>
      <c r="L314" s="1">
        <v>39</v>
      </c>
      <c r="M314" s="1">
        <v>44</v>
      </c>
    </row>
    <row r="315" spans="1:13" x14ac:dyDescent="0.25">
      <c r="A315" s="1">
        <v>933</v>
      </c>
      <c r="B315" s="2">
        <v>40585</v>
      </c>
      <c r="C315" s="1">
        <v>11</v>
      </c>
      <c r="D315" s="1" t="b">
        <v>0</v>
      </c>
      <c r="E315" s="1">
        <v>5</v>
      </c>
      <c r="F315" s="1">
        <v>1</v>
      </c>
      <c r="G315" s="1">
        <v>0.22</v>
      </c>
      <c r="H315" s="1">
        <v>0.2273</v>
      </c>
      <c r="I315" s="1">
        <v>0.47</v>
      </c>
      <c r="J315" s="1">
        <v>0.1343</v>
      </c>
      <c r="K315" s="1">
        <v>12</v>
      </c>
      <c r="L315" s="1">
        <v>52</v>
      </c>
      <c r="M315" s="1">
        <v>64</v>
      </c>
    </row>
    <row r="316" spans="1:13" x14ac:dyDescent="0.25">
      <c r="A316" s="1">
        <v>934</v>
      </c>
      <c r="B316" s="2">
        <v>40585</v>
      </c>
      <c r="C316" s="1">
        <v>12</v>
      </c>
      <c r="D316" s="1" t="b">
        <v>0</v>
      </c>
      <c r="E316" s="1">
        <v>5</v>
      </c>
      <c r="F316" s="1">
        <v>1</v>
      </c>
      <c r="G316" s="1">
        <v>0.22</v>
      </c>
      <c r="H316" s="1">
        <v>0.2273</v>
      </c>
      <c r="I316" s="1">
        <v>0.47</v>
      </c>
      <c r="J316" s="1">
        <v>0.1343</v>
      </c>
      <c r="K316" s="1">
        <v>7</v>
      </c>
      <c r="L316" s="1">
        <v>64</v>
      </c>
      <c r="M316" s="1">
        <v>71</v>
      </c>
    </row>
    <row r="317" spans="1:13" x14ac:dyDescent="0.25">
      <c r="A317" s="1">
        <v>935</v>
      </c>
      <c r="B317" s="2">
        <v>40585</v>
      </c>
      <c r="C317" s="1">
        <v>13</v>
      </c>
      <c r="D317" s="1" t="b">
        <v>0</v>
      </c>
      <c r="E317" s="1">
        <v>5</v>
      </c>
      <c r="F317" s="1">
        <v>1</v>
      </c>
      <c r="G317" s="1">
        <v>0.24</v>
      </c>
      <c r="H317" s="1">
        <v>0.2273</v>
      </c>
      <c r="I317" s="1">
        <v>0.35</v>
      </c>
      <c r="J317" s="1">
        <v>0.19400000000000001</v>
      </c>
      <c r="K317" s="1">
        <v>21</v>
      </c>
      <c r="L317" s="1">
        <v>89</v>
      </c>
      <c r="M317" s="1">
        <v>110</v>
      </c>
    </row>
    <row r="318" spans="1:13" x14ac:dyDescent="0.25">
      <c r="A318" s="1">
        <v>936</v>
      </c>
      <c r="B318" s="2">
        <v>40585</v>
      </c>
      <c r="C318" s="1">
        <v>14</v>
      </c>
      <c r="D318" s="1" t="b">
        <v>0</v>
      </c>
      <c r="E318" s="1">
        <v>5</v>
      </c>
      <c r="F318" s="1">
        <v>1</v>
      </c>
      <c r="G318" s="1">
        <v>0.3</v>
      </c>
      <c r="H318" s="1">
        <v>0.28789999999999999</v>
      </c>
      <c r="I318" s="1">
        <v>0.26</v>
      </c>
      <c r="J318" s="1">
        <v>0.25369999999999998</v>
      </c>
      <c r="K318" s="1">
        <v>17</v>
      </c>
      <c r="L318" s="1">
        <v>67</v>
      </c>
      <c r="M318" s="1">
        <v>84</v>
      </c>
    </row>
    <row r="319" spans="1:13" x14ac:dyDescent="0.25">
      <c r="A319" s="1">
        <v>937</v>
      </c>
      <c r="B319" s="2">
        <v>40585</v>
      </c>
      <c r="C319" s="1">
        <v>15</v>
      </c>
      <c r="D319" s="1" t="b">
        <v>0</v>
      </c>
      <c r="E319" s="1">
        <v>5</v>
      </c>
      <c r="F319" s="1">
        <v>1</v>
      </c>
      <c r="G319" s="1">
        <v>0.32</v>
      </c>
      <c r="H319" s="1">
        <v>0.31819999999999998</v>
      </c>
      <c r="I319" s="1">
        <v>0.21</v>
      </c>
      <c r="J319" s="1">
        <v>0.16420000000000001</v>
      </c>
      <c r="K319" s="1">
        <v>12</v>
      </c>
      <c r="L319" s="1">
        <v>62</v>
      </c>
      <c r="M319" s="1">
        <v>74</v>
      </c>
    </row>
    <row r="320" spans="1:13" x14ac:dyDescent="0.25">
      <c r="A320" s="1">
        <v>938</v>
      </c>
      <c r="B320" s="2">
        <v>40585</v>
      </c>
      <c r="C320" s="1">
        <v>16</v>
      </c>
      <c r="D320" s="1" t="b">
        <v>0</v>
      </c>
      <c r="E320" s="1">
        <v>5</v>
      </c>
      <c r="F320" s="1">
        <v>1</v>
      </c>
      <c r="G320" s="1">
        <v>0.3</v>
      </c>
      <c r="H320" s="1">
        <v>0.28789999999999999</v>
      </c>
      <c r="I320" s="1">
        <v>0.28000000000000003</v>
      </c>
      <c r="J320" s="1">
        <v>0.19400000000000001</v>
      </c>
      <c r="K320" s="1">
        <v>14</v>
      </c>
      <c r="L320" s="1">
        <v>111</v>
      </c>
      <c r="M320" s="1">
        <v>125</v>
      </c>
    </row>
    <row r="321" spans="1:13" x14ac:dyDescent="0.25">
      <c r="A321" s="1">
        <v>939</v>
      </c>
      <c r="B321" s="2">
        <v>40585</v>
      </c>
      <c r="C321" s="1">
        <v>17</v>
      </c>
      <c r="D321" s="1" t="b">
        <v>0</v>
      </c>
      <c r="E321" s="1">
        <v>5</v>
      </c>
      <c r="F321" s="1">
        <v>1</v>
      </c>
      <c r="G321" s="1">
        <v>0.3</v>
      </c>
      <c r="H321" s="1">
        <v>0.33329999999999999</v>
      </c>
      <c r="I321" s="1">
        <v>0.24</v>
      </c>
      <c r="J321" s="1">
        <v>0</v>
      </c>
      <c r="K321" s="1">
        <v>18</v>
      </c>
      <c r="L321" s="1">
        <v>193</v>
      </c>
      <c r="M321" s="1">
        <v>211</v>
      </c>
    </row>
    <row r="322" spans="1:13" x14ac:dyDescent="0.25">
      <c r="A322" s="1">
        <v>940</v>
      </c>
      <c r="B322" s="2">
        <v>40585</v>
      </c>
      <c r="C322" s="1">
        <v>18</v>
      </c>
      <c r="D322" s="1" t="b">
        <v>0</v>
      </c>
      <c r="E322" s="1">
        <v>5</v>
      </c>
      <c r="F322" s="1">
        <v>1</v>
      </c>
      <c r="G322" s="1">
        <v>0.28000000000000003</v>
      </c>
      <c r="H322" s="1">
        <v>0.31819999999999998</v>
      </c>
      <c r="I322" s="1">
        <v>0.28000000000000003</v>
      </c>
      <c r="J322" s="1">
        <v>0</v>
      </c>
      <c r="K322" s="1">
        <v>9</v>
      </c>
      <c r="L322" s="1">
        <v>165</v>
      </c>
      <c r="M322" s="1">
        <v>174</v>
      </c>
    </row>
    <row r="323" spans="1:13" x14ac:dyDescent="0.25">
      <c r="A323" s="1">
        <v>941</v>
      </c>
      <c r="B323" s="2">
        <v>40585</v>
      </c>
      <c r="C323" s="1">
        <v>19</v>
      </c>
      <c r="D323" s="1" t="b">
        <v>0</v>
      </c>
      <c r="E323" s="1">
        <v>5</v>
      </c>
      <c r="F323" s="1">
        <v>1</v>
      </c>
      <c r="G323" s="1">
        <v>0.26</v>
      </c>
      <c r="H323" s="1">
        <v>0.30299999999999999</v>
      </c>
      <c r="I323" s="1">
        <v>0.33</v>
      </c>
      <c r="J323" s="1">
        <v>0</v>
      </c>
      <c r="K323" s="1">
        <v>7</v>
      </c>
      <c r="L323" s="1">
        <v>94</v>
      </c>
      <c r="M323" s="1">
        <v>101</v>
      </c>
    </row>
    <row r="324" spans="1:13" x14ac:dyDescent="0.25">
      <c r="A324" s="1">
        <v>942</v>
      </c>
      <c r="B324" s="2">
        <v>40585</v>
      </c>
      <c r="C324" s="1">
        <v>20</v>
      </c>
      <c r="D324" s="1" t="b">
        <v>0</v>
      </c>
      <c r="E324" s="1">
        <v>5</v>
      </c>
      <c r="F324" s="1">
        <v>1</v>
      </c>
      <c r="G324" s="1">
        <v>0.22</v>
      </c>
      <c r="H324" s="1">
        <v>0.2273</v>
      </c>
      <c r="I324" s="1">
        <v>0.55000000000000004</v>
      </c>
      <c r="J324" s="1">
        <v>0.1343</v>
      </c>
      <c r="K324" s="1">
        <v>2</v>
      </c>
      <c r="L324" s="1">
        <v>61</v>
      </c>
      <c r="M324" s="1">
        <v>63</v>
      </c>
    </row>
    <row r="325" spans="1:13" x14ac:dyDescent="0.25">
      <c r="A325" s="1">
        <v>943</v>
      </c>
      <c r="B325" s="2">
        <v>40585</v>
      </c>
      <c r="C325" s="1">
        <v>21</v>
      </c>
      <c r="D325" s="1" t="b">
        <v>0</v>
      </c>
      <c r="E325" s="1">
        <v>5</v>
      </c>
      <c r="F325" s="1">
        <v>1</v>
      </c>
      <c r="G325" s="1">
        <v>0.2</v>
      </c>
      <c r="H325" s="1">
        <v>0.21210000000000001</v>
      </c>
      <c r="I325" s="1">
        <v>0.59</v>
      </c>
      <c r="J325" s="1">
        <v>0.1343</v>
      </c>
      <c r="K325" s="1">
        <v>1</v>
      </c>
      <c r="L325" s="1">
        <v>46</v>
      </c>
      <c r="M325" s="1">
        <v>47</v>
      </c>
    </row>
    <row r="326" spans="1:13" x14ac:dyDescent="0.25">
      <c r="A326" s="1">
        <v>944</v>
      </c>
      <c r="B326" s="2">
        <v>40585</v>
      </c>
      <c r="C326" s="1">
        <v>22</v>
      </c>
      <c r="D326" s="1" t="b">
        <v>0</v>
      </c>
      <c r="E326" s="1">
        <v>5</v>
      </c>
      <c r="F326" s="1">
        <v>1</v>
      </c>
      <c r="G326" s="1">
        <v>0.2</v>
      </c>
      <c r="H326" s="1">
        <v>0.2273</v>
      </c>
      <c r="I326" s="1">
        <v>0.64</v>
      </c>
      <c r="J326" s="1">
        <v>8.9599999999999999E-2</v>
      </c>
      <c r="K326" s="1">
        <v>2</v>
      </c>
      <c r="L326" s="1">
        <v>41</v>
      </c>
      <c r="M326" s="1">
        <v>43</v>
      </c>
    </row>
    <row r="327" spans="1:13" x14ac:dyDescent="0.25">
      <c r="A327" s="1">
        <v>945</v>
      </c>
      <c r="B327" s="2">
        <v>40585</v>
      </c>
      <c r="C327" s="1">
        <v>23</v>
      </c>
      <c r="D327" s="1" t="b">
        <v>0</v>
      </c>
      <c r="E327" s="1">
        <v>5</v>
      </c>
      <c r="F327" s="1">
        <v>1</v>
      </c>
      <c r="G327" s="1">
        <v>0.18</v>
      </c>
      <c r="H327" s="1">
        <v>0.2424</v>
      </c>
      <c r="I327" s="1">
        <v>0.69</v>
      </c>
      <c r="J327" s="1">
        <v>0</v>
      </c>
      <c r="K327" s="1">
        <v>5</v>
      </c>
      <c r="L327" s="1">
        <v>48</v>
      </c>
      <c r="M327" s="1">
        <v>53</v>
      </c>
    </row>
    <row r="328" spans="1:13" x14ac:dyDescent="0.25">
      <c r="A328" s="1">
        <v>946</v>
      </c>
      <c r="B328" s="2">
        <v>40586</v>
      </c>
      <c r="C328" s="1">
        <v>0</v>
      </c>
      <c r="D328" s="1" t="b">
        <v>0</v>
      </c>
      <c r="E328" s="1">
        <v>6</v>
      </c>
      <c r="F328" s="1">
        <v>1</v>
      </c>
      <c r="G328" s="1">
        <v>0.16</v>
      </c>
      <c r="H328" s="1">
        <v>0.19700000000000001</v>
      </c>
      <c r="I328" s="1">
        <v>0.69</v>
      </c>
      <c r="J328" s="1">
        <v>8.9599999999999999E-2</v>
      </c>
      <c r="K328" s="1">
        <v>3</v>
      </c>
      <c r="L328" s="1">
        <v>27</v>
      </c>
      <c r="M328" s="1">
        <v>30</v>
      </c>
    </row>
    <row r="329" spans="1:13" x14ac:dyDescent="0.25">
      <c r="A329" s="1">
        <v>947</v>
      </c>
      <c r="B329" s="2">
        <v>40586</v>
      </c>
      <c r="C329" s="1">
        <v>1</v>
      </c>
      <c r="D329" s="1" t="b">
        <v>0</v>
      </c>
      <c r="E329" s="1">
        <v>6</v>
      </c>
      <c r="F329" s="1">
        <v>1</v>
      </c>
      <c r="G329" s="1">
        <v>0.14000000000000001</v>
      </c>
      <c r="H329" s="1">
        <v>0.21210000000000001</v>
      </c>
      <c r="I329" s="1">
        <v>0.86</v>
      </c>
      <c r="J329" s="1">
        <v>0</v>
      </c>
      <c r="K329" s="1">
        <v>2</v>
      </c>
      <c r="L329" s="1">
        <v>22</v>
      </c>
      <c r="M329" s="1">
        <v>24</v>
      </c>
    </row>
    <row r="330" spans="1:13" x14ac:dyDescent="0.25">
      <c r="A330" s="1">
        <v>948</v>
      </c>
      <c r="B330" s="2">
        <v>40586</v>
      </c>
      <c r="C330" s="1">
        <v>2</v>
      </c>
      <c r="D330" s="1" t="b">
        <v>0</v>
      </c>
      <c r="E330" s="1">
        <v>6</v>
      </c>
      <c r="F330" s="1">
        <v>1</v>
      </c>
      <c r="G330" s="1">
        <v>0.14000000000000001</v>
      </c>
      <c r="H330" s="1">
        <v>0.21210000000000001</v>
      </c>
      <c r="I330" s="1">
        <v>0.8</v>
      </c>
      <c r="J330" s="1">
        <v>0</v>
      </c>
      <c r="K330" s="1">
        <v>2</v>
      </c>
      <c r="L330" s="1">
        <v>13</v>
      </c>
      <c r="M330" s="1">
        <v>15</v>
      </c>
    </row>
    <row r="331" spans="1:13" x14ac:dyDescent="0.25">
      <c r="A331" s="1">
        <v>949</v>
      </c>
      <c r="B331" s="2">
        <v>40586</v>
      </c>
      <c r="C331" s="1">
        <v>3</v>
      </c>
      <c r="D331" s="1" t="b">
        <v>0</v>
      </c>
      <c r="E331" s="1">
        <v>6</v>
      </c>
      <c r="F331" s="1">
        <v>1</v>
      </c>
      <c r="G331" s="1">
        <v>0.12</v>
      </c>
      <c r="H331" s="1">
        <v>0.19700000000000001</v>
      </c>
      <c r="I331" s="1">
        <v>0.8</v>
      </c>
      <c r="J331" s="1">
        <v>0</v>
      </c>
      <c r="K331" s="1">
        <v>3</v>
      </c>
      <c r="L331" s="1">
        <v>7</v>
      </c>
      <c r="M331" s="1">
        <v>10</v>
      </c>
    </row>
    <row r="332" spans="1:13" x14ac:dyDescent="0.25">
      <c r="A332" s="1">
        <v>950</v>
      </c>
      <c r="B332" s="2">
        <v>40586</v>
      </c>
      <c r="C332" s="1">
        <v>4</v>
      </c>
      <c r="D332" s="1" t="b">
        <v>0</v>
      </c>
      <c r="E332" s="1">
        <v>6</v>
      </c>
      <c r="F332" s="1">
        <v>1</v>
      </c>
      <c r="G332" s="1">
        <v>0.12</v>
      </c>
      <c r="H332" s="1">
        <v>0.16669999999999999</v>
      </c>
      <c r="I332" s="1">
        <v>0.74</v>
      </c>
      <c r="J332" s="1">
        <v>8.9599999999999999E-2</v>
      </c>
      <c r="K332" s="1">
        <v>0</v>
      </c>
      <c r="L332" s="1">
        <v>4</v>
      </c>
      <c r="M332" s="1">
        <v>4</v>
      </c>
    </row>
    <row r="333" spans="1:13" x14ac:dyDescent="0.25">
      <c r="A333" s="1">
        <v>951</v>
      </c>
      <c r="B333" s="2">
        <v>40586</v>
      </c>
      <c r="C333" s="1">
        <v>5</v>
      </c>
      <c r="D333" s="1" t="b">
        <v>0</v>
      </c>
      <c r="E333" s="1">
        <v>6</v>
      </c>
      <c r="F333" s="1">
        <v>1</v>
      </c>
      <c r="G333" s="1">
        <v>0.12</v>
      </c>
      <c r="H333" s="1">
        <v>0.16669999999999999</v>
      </c>
      <c r="I333" s="1">
        <v>0.74</v>
      </c>
      <c r="J333" s="1">
        <v>8.9599999999999999E-2</v>
      </c>
      <c r="K333" s="1">
        <v>0</v>
      </c>
      <c r="L333" s="1">
        <v>1</v>
      </c>
      <c r="M333" s="1">
        <v>1</v>
      </c>
    </row>
    <row r="334" spans="1:13" x14ac:dyDescent="0.25">
      <c r="A334" s="1">
        <v>952</v>
      </c>
      <c r="B334" s="2">
        <v>40586</v>
      </c>
      <c r="C334" s="1">
        <v>6</v>
      </c>
      <c r="D334" s="1" t="b">
        <v>0</v>
      </c>
      <c r="E334" s="1">
        <v>6</v>
      </c>
      <c r="F334" s="1">
        <v>1</v>
      </c>
      <c r="G334" s="1">
        <v>0.12</v>
      </c>
      <c r="H334" s="1">
        <v>0.13639999999999999</v>
      </c>
      <c r="I334" s="1">
        <v>0.93</v>
      </c>
      <c r="J334" s="1">
        <v>0.19400000000000001</v>
      </c>
      <c r="K334" s="1">
        <v>1</v>
      </c>
      <c r="L334" s="1">
        <v>1</v>
      </c>
      <c r="M334" s="1">
        <v>2</v>
      </c>
    </row>
    <row r="335" spans="1:13" x14ac:dyDescent="0.25">
      <c r="A335" s="1">
        <v>953</v>
      </c>
      <c r="B335" s="2">
        <v>40586</v>
      </c>
      <c r="C335" s="1">
        <v>7</v>
      </c>
      <c r="D335" s="1" t="b">
        <v>0</v>
      </c>
      <c r="E335" s="1">
        <v>6</v>
      </c>
      <c r="F335" s="1">
        <v>1</v>
      </c>
      <c r="G335" s="1">
        <v>0.12</v>
      </c>
      <c r="H335" s="1">
        <v>0.1515</v>
      </c>
      <c r="I335" s="1">
        <v>0.8</v>
      </c>
      <c r="J335" s="1">
        <v>0.1045</v>
      </c>
      <c r="K335" s="1">
        <v>2</v>
      </c>
      <c r="L335" s="1">
        <v>9</v>
      </c>
      <c r="M335" s="1">
        <v>11</v>
      </c>
    </row>
    <row r="336" spans="1:13" x14ac:dyDescent="0.25">
      <c r="A336" s="1">
        <v>954</v>
      </c>
      <c r="B336" s="2">
        <v>40586</v>
      </c>
      <c r="C336" s="1">
        <v>8</v>
      </c>
      <c r="D336" s="1" t="b">
        <v>0</v>
      </c>
      <c r="E336" s="1">
        <v>6</v>
      </c>
      <c r="F336" s="1">
        <v>1</v>
      </c>
      <c r="G336" s="1">
        <v>0.14000000000000001</v>
      </c>
      <c r="H336" s="1">
        <v>0.1515</v>
      </c>
      <c r="I336" s="1">
        <v>0.86</v>
      </c>
      <c r="J336" s="1">
        <v>0.1343</v>
      </c>
      <c r="K336" s="1">
        <v>2</v>
      </c>
      <c r="L336" s="1">
        <v>28</v>
      </c>
      <c r="M336" s="1">
        <v>30</v>
      </c>
    </row>
    <row r="337" spans="1:13" x14ac:dyDescent="0.25">
      <c r="A337" s="1">
        <v>955</v>
      </c>
      <c r="B337" s="2">
        <v>40586</v>
      </c>
      <c r="C337" s="1">
        <v>9</v>
      </c>
      <c r="D337" s="1" t="b">
        <v>0</v>
      </c>
      <c r="E337" s="1">
        <v>6</v>
      </c>
      <c r="F337" s="1">
        <v>1</v>
      </c>
      <c r="G337" s="1">
        <v>0.16</v>
      </c>
      <c r="H337" s="1">
        <v>0.18179999999999999</v>
      </c>
      <c r="I337" s="1">
        <v>0.64</v>
      </c>
      <c r="J337" s="1">
        <v>0.1343</v>
      </c>
      <c r="K337" s="1">
        <v>5</v>
      </c>
      <c r="L337" s="1">
        <v>38</v>
      </c>
      <c r="M337" s="1">
        <v>43</v>
      </c>
    </row>
    <row r="338" spans="1:13" x14ac:dyDescent="0.25">
      <c r="A338" s="1">
        <v>956</v>
      </c>
      <c r="B338" s="2">
        <v>40586</v>
      </c>
      <c r="C338" s="1">
        <v>10</v>
      </c>
      <c r="D338" s="1" t="b">
        <v>0</v>
      </c>
      <c r="E338" s="1">
        <v>6</v>
      </c>
      <c r="F338" s="1">
        <v>1</v>
      </c>
      <c r="G338" s="1">
        <v>0.22</v>
      </c>
      <c r="H338" s="1">
        <v>0.21210000000000001</v>
      </c>
      <c r="I338" s="1">
        <v>0.41</v>
      </c>
      <c r="J338" s="1">
        <v>0.25369999999999998</v>
      </c>
      <c r="K338" s="1">
        <v>13</v>
      </c>
      <c r="L338" s="1">
        <v>71</v>
      </c>
      <c r="M338" s="1">
        <v>84</v>
      </c>
    </row>
    <row r="339" spans="1:13" x14ac:dyDescent="0.25">
      <c r="A339" s="1">
        <v>957</v>
      </c>
      <c r="B339" s="2">
        <v>40586</v>
      </c>
      <c r="C339" s="1">
        <v>11</v>
      </c>
      <c r="D339" s="1" t="b">
        <v>0</v>
      </c>
      <c r="E339" s="1">
        <v>6</v>
      </c>
      <c r="F339" s="1">
        <v>1</v>
      </c>
      <c r="G339" s="1">
        <v>0.3</v>
      </c>
      <c r="H339" s="1">
        <v>0.2727</v>
      </c>
      <c r="I339" s="1">
        <v>0.28000000000000003</v>
      </c>
      <c r="J339" s="1">
        <v>0.32840000000000003</v>
      </c>
      <c r="K339" s="1">
        <v>30</v>
      </c>
      <c r="L339" s="1">
        <v>84</v>
      </c>
      <c r="M339" s="1">
        <v>114</v>
      </c>
    </row>
    <row r="340" spans="1:13" x14ac:dyDescent="0.25">
      <c r="A340" s="1">
        <v>958</v>
      </c>
      <c r="B340" s="2">
        <v>40586</v>
      </c>
      <c r="C340" s="1">
        <v>12</v>
      </c>
      <c r="D340" s="1" t="b">
        <v>0</v>
      </c>
      <c r="E340" s="1">
        <v>6</v>
      </c>
      <c r="F340" s="1">
        <v>1</v>
      </c>
      <c r="G340" s="1">
        <v>0.3</v>
      </c>
      <c r="H340" s="1">
        <v>0.2727</v>
      </c>
      <c r="I340" s="1">
        <v>0.39</v>
      </c>
      <c r="J340" s="1">
        <v>0.4627</v>
      </c>
      <c r="K340" s="1">
        <v>27</v>
      </c>
      <c r="L340" s="1">
        <v>93</v>
      </c>
      <c r="M340" s="1">
        <v>120</v>
      </c>
    </row>
    <row r="341" spans="1:13" x14ac:dyDescent="0.25">
      <c r="A341" s="1">
        <v>959</v>
      </c>
      <c r="B341" s="2">
        <v>40586</v>
      </c>
      <c r="C341" s="1">
        <v>13</v>
      </c>
      <c r="D341" s="1" t="b">
        <v>0</v>
      </c>
      <c r="E341" s="1">
        <v>6</v>
      </c>
      <c r="F341" s="1">
        <v>1</v>
      </c>
      <c r="G341" s="1">
        <v>0.3</v>
      </c>
      <c r="H341" s="1">
        <v>0.2727</v>
      </c>
      <c r="I341" s="1">
        <v>0.39</v>
      </c>
      <c r="J341" s="1">
        <v>0.41789999999999999</v>
      </c>
      <c r="K341" s="1">
        <v>32</v>
      </c>
      <c r="L341" s="1">
        <v>103</v>
      </c>
      <c r="M341" s="1">
        <v>135</v>
      </c>
    </row>
    <row r="342" spans="1:13" x14ac:dyDescent="0.25">
      <c r="A342" s="1">
        <v>960</v>
      </c>
      <c r="B342" s="2">
        <v>40586</v>
      </c>
      <c r="C342" s="1">
        <v>14</v>
      </c>
      <c r="D342" s="1" t="b">
        <v>0</v>
      </c>
      <c r="E342" s="1">
        <v>6</v>
      </c>
      <c r="F342" s="1">
        <v>1</v>
      </c>
      <c r="G342" s="1">
        <v>0.34</v>
      </c>
      <c r="H342" s="1">
        <v>0.31819999999999998</v>
      </c>
      <c r="I342" s="1">
        <v>0.31</v>
      </c>
      <c r="J342" s="1">
        <v>0.28360000000000002</v>
      </c>
      <c r="K342" s="1">
        <v>30</v>
      </c>
      <c r="L342" s="1">
        <v>90</v>
      </c>
      <c r="M342" s="1">
        <v>120</v>
      </c>
    </row>
    <row r="343" spans="1:13" x14ac:dyDescent="0.25">
      <c r="A343" s="1">
        <v>961</v>
      </c>
      <c r="B343" s="2">
        <v>40586</v>
      </c>
      <c r="C343" s="1">
        <v>15</v>
      </c>
      <c r="D343" s="1" t="b">
        <v>0</v>
      </c>
      <c r="E343" s="1">
        <v>6</v>
      </c>
      <c r="F343" s="1">
        <v>1</v>
      </c>
      <c r="G343" s="1">
        <v>0.34</v>
      </c>
      <c r="H343" s="1">
        <v>0.30299999999999999</v>
      </c>
      <c r="I343" s="1">
        <v>0.28999999999999998</v>
      </c>
      <c r="J343" s="1">
        <v>0.41789999999999999</v>
      </c>
      <c r="K343" s="1">
        <v>47</v>
      </c>
      <c r="L343" s="1">
        <v>127</v>
      </c>
      <c r="M343" s="1">
        <v>174</v>
      </c>
    </row>
    <row r="344" spans="1:13" x14ac:dyDescent="0.25">
      <c r="A344" s="1">
        <v>962</v>
      </c>
      <c r="B344" s="2">
        <v>40586</v>
      </c>
      <c r="C344" s="1">
        <v>16</v>
      </c>
      <c r="D344" s="1" t="b">
        <v>0</v>
      </c>
      <c r="E344" s="1">
        <v>6</v>
      </c>
      <c r="F344" s="1">
        <v>1</v>
      </c>
      <c r="G344" s="1">
        <v>0.34</v>
      </c>
      <c r="H344" s="1">
        <v>0.30299999999999999</v>
      </c>
      <c r="I344" s="1">
        <v>0.28999999999999998</v>
      </c>
      <c r="J344" s="1">
        <v>0.41789999999999999</v>
      </c>
      <c r="K344" s="1">
        <v>42</v>
      </c>
      <c r="L344" s="1">
        <v>103</v>
      </c>
      <c r="M344" s="1">
        <v>145</v>
      </c>
    </row>
    <row r="345" spans="1:13" x14ac:dyDescent="0.25">
      <c r="A345" s="1">
        <v>963</v>
      </c>
      <c r="B345" s="2">
        <v>40586</v>
      </c>
      <c r="C345" s="1">
        <v>17</v>
      </c>
      <c r="D345" s="1" t="b">
        <v>0</v>
      </c>
      <c r="E345" s="1">
        <v>6</v>
      </c>
      <c r="F345" s="1">
        <v>1</v>
      </c>
      <c r="G345" s="1">
        <v>0.32</v>
      </c>
      <c r="H345" s="1">
        <v>0.28789999999999999</v>
      </c>
      <c r="I345" s="1">
        <v>0.31</v>
      </c>
      <c r="J345" s="1">
        <v>0.52239999999999998</v>
      </c>
      <c r="K345" s="1">
        <v>24</v>
      </c>
      <c r="L345" s="1">
        <v>113</v>
      </c>
      <c r="M345" s="1">
        <v>137</v>
      </c>
    </row>
    <row r="346" spans="1:13" x14ac:dyDescent="0.25">
      <c r="A346" s="1">
        <v>964</v>
      </c>
      <c r="B346" s="2">
        <v>40586</v>
      </c>
      <c r="C346" s="1">
        <v>18</v>
      </c>
      <c r="D346" s="1" t="b">
        <v>0</v>
      </c>
      <c r="E346" s="1">
        <v>6</v>
      </c>
      <c r="F346" s="1">
        <v>1</v>
      </c>
      <c r="G346" s="1">
        <v>0.28000000000000003</v>
      </c>
      <c r="H346" s="1">
        <v>0.2576</v>
      </c>
      <c r="I346" s="1">
        <v>0.38</v>
      </c>
      <c r="J346" s="1">
        <v>0.32840000000000003</v>
      </c>
      <c r="K346" s="1">
        <v>4</v>
      </c>
      <c r="L346" s="1">
        <v>60</v>
      </c>
      <c r="M346" s="1">
        <v>64</v>
      </c>
    </row>
    <row r="347" spans="1:13" x14ac:dyDescent="0.25">
      <c r="A347" s="1">
        <v>965</v>
      </c>
      <c r="B347" s="2">
        <v>40586</v>
      </c>
      <c r="C347" s="1">
        <v>19</v>
      </c>
      <c r="D347" s="1" t="b">
        <v>0</v>
      </c>
      <c r="E347" s="1">
        <v>6</v>
      </c>
      <c r="F347" s="1">
        <v>1</v>
      </c>
      <c r="G347" s="1">
        <v>0.28000000000000003</v>
      </c>
      <c r="H347" s="1">
        <v>0.2727</v>
      </c>
      <c r="I347" s="1">
        <v>0.38</v>
      </c>
      <c r="J347" s="1">
        <v>0.16420000000000001</v>
      </c>
      <c r="K347" s="1">
        <v>2</v>
      </c>
      <c r="L347" s="1">
        <v>39</v>
      </c>
      <c r="M347" s="1">
        <v>41</v>
      </c>
    </row>
    <row r="348" spans="1:13" x14ac:dyDescent="0.25">
      <c r="A348" s="1">
        <v>966</v>
      </c>
      <c r="B348" s="2">
        <v>40586</v>
      </c>
      <c r="C348" s="1">
        <v>20</v>
      </c>
      <c r="D348" s="1" t="b">
        <v>0</v>
      </c>
      <c r="E348" s="1">
        <v>6</v>
      </c>
      <c r="F348" s="1">
        <v>1</v>
      </c>
      <c r="G348" s="1">
        <v>0.26</v>
      </c>
      <c r="H348" s="1">
        <v>0.2576</v>
      </c>
      <c r="I348" s="1">
        <v>0.41</v>
      </c>
      <c r="J348" s="1">
        <v>0.22389999999999999</v>
      </c>
      <c r="K348" s="1">
        <v>1</v>
      </c>
      <c r="L348" s="1">
        <v>39</v>
      </c>
      <c r="M348" s="1">
        <v>40</v>
      </c>
    </row>
    <row r="349" spans="1:13" x14ac:dyDescent="0.25">
      <c r="A349" s="1">
        <v>967</v>
      </c>
      <c r="B349" s="2">
        <v>40586</v>
      </c>
      <c r="C349" s="1">
        <v>21</v>
      </c>
      <c r="D349" s="1" t="b">
        <v>0</v>
      </c>
      <c r="E349" s="1">
        <v>6</v>
      </c>
      <c r="F349" s="1">
        <v>1</v>
      </c>
      <c r="G349" s="1">
        <v>0.26</v>
      </c>
      <c r="H349" s="1">
        <v>0.30299999999999999</v>
      </c>
      <c r="I349" s="1">
        <v>0.41</v>
      </c>
      <c r="J349" s="1">
        <v>0</v>
      </c>
      <c r="K349" s="1">
        <v>9</v>
      </c>
      <c r="L349" s="1">
        <v>42</v>
      </c>
      <c r="M349" s="1">
        <v>51</v>
      </c>
    </row>
    <row r="350" spans="1:13" x14ac:dyDescent="0.25">
      <c r="A350" s="1">
        <v>968</v>
      </c>
      <c r="B350" s="2">
        <v>40586</v>
      </c>
      <c r="C350" s="1">
        <v>22</v>
      </c>
      <c r="D350" s="1" t="b">
        <v>0</v>
      </c>
      <c r="E350" s="1">
        <v>6</v>
      </c>
      <c r="F350" s="1">
        <v>1</v>
      </c>
      <c r="G350" s="1">
        <v>0.24</v>
      </c>
      <c r="H350" s="1">
        <v>0.2576</v>
      </c>
      <c r="I350" s="1">
        <v>0.44</v>
      </c>
      <c r="J350" s="1">
        <v>8.9599999999999999E-2</v>
      </c>
      <c r="K350" s="1">
        <v>6</v>
      </c>
      <c r="L350" s="1">
        <v>39</v>
      </c>
      <c r="M350" s="1">
        <v>45</v>
      </c>
    </row>
    <row r="351" spans="1:13" x14ac:dyDescent="0.25">
      <c r="A351" s="1">
        <v>969</v>
      </c>
      <c r="B351" s="2">
        <v>40586</v>
      </c>
      <c r="C351" s="1">
        <v>23</v>
      </c>
      <c r="D351" s="1" t="b">
        <v>0</v>
      </c>
      <c r="E351" s="1">
        <v>6</v>
      </c>
      <c r="F351" s="1">
        <v>1</v>
      </c>
      <c r="G351" s="1">
        <v>0.22</v>
      </c>
      <c r="H351" s="1">
        <v>0.2273</v>
      </c>
      <c r="I351" s="1">
        <v>0.51</v>
      </c>
      <c r="J351" s="1">
        <v>0.1343</v>
      </c>
      <c r="K351" s="1">
        <v>1</v>
      </c>
      <c r="L351" s="1">
        <v>31</v>
      </c>
      <c r="M351" s="1">
        <v>32</v>
      </c>
    </row>
    <row r="352" spans="1:13" x14ac:dyDescent="0.25">
      <c r="A352" s="1">
        <v>970</v>
      </c>
      <c r="B352" s="2">
        <v>40587</v>
      </c>
      <c r="C352" s="1">
        <v>0</v>
      </c>
      <c r="D352" s="1" t="b">
        <v>0</v>
      </c>
      <c r="E352" s="1">
        <v>0</v>
      </c>
      <c r="F352" s="1">
        <v>1</v>
      </c>
      <c r="G352" s="1">
        <v>0.2</v>
      </c>
      <c r="H352" s="1">
        <v>0.2273</v>
      </c>
      <c r="I352" s="1">
        <v>0.64</v>
      </c>
      <c r="J352" s="1">
        <v>0.1045</v>
      </c>
      <c r="K352" s="1">
        <v>5</v>
      </c>
      <c r="L352" s="1">
        <v>34</v>
      </c>
      <c r="M352" s="1">
        <v>39</v>
      </c>
    </row>
    <row r="353" spans="1:13" x14ac:dyDescent="0.25">
      <c r="A353" s="1">
        <v>971</v>
      </c>
      <c r="B353" s="2">
        <v>40587</v>
      </c>
      <c r="C353" s="1">
        <v>1</v>
      </c>
      <c r="D353" s="1" t="b">
        <v>0</v>
      </c>
      <c r="E353" s="1">
        <v>0</v>
      </c>
      <c r="F353" s="1">
        <v>1</v>
      </c>
      <c r="G353" s="1">
        <v>0.2</v>
      </c>
      <c r="H353" s="1">
        <v>0.2273</v>
      </c>
      <c r="I353" s="1">
        <v>0.59</v>
      </c>
      <c r="J353" s="1">
        <v>8.9599999999999999E-2</v>
      </c>
      <c r="K353" s="1">
        <v>1</v>
      </c>
      <c r="L353" s="1">
        <v>23</v>
      </c>
      <c r="M353" s="1">
        <v>24</v>
      </c>
    </row>
    <row r="354" spans="1:13" x14ac:dyDescent="0.25">
      <c r="A354" s="1">
        <v>972</v>
      </c>
      <c r="B354" s="2">
        <v>40587</v>
      </c>
      <c r="C354" s="1">
        <v>2</v>
      </c>
      <c r="D354" s="1" t="b">
        <v>0</v>
      </c>
      <c r="E354" s="1">
        <v>0</v>
      </c>
      <c r="F354" s="1">
        <v>2</v>
      </c>
      <c r="G354" s="1">
        <v>0.2</v>
      </c>
      <c r="H354" s="1">
        <v>0.2273</v>
      </c>
      <c r="I354" s="1">
        <v>0.75</v>
      </c>
      <c r="J354" s="1">
        <v>8.9599999999999999E-2</v>
      </c>
      <c r="K354" s="1">
        <v>1</v>
      </c>
      <c r="L354" s="1">
        <v>19</v>
      </c>
      <c r="M354" s="1">
        <v>20</v>
      </c>
    </row>
    <row r="355" spans="1:13" x14ac:dyDescent="0.25">
      <c r="A355" s="1">
        <v>973</v>
      </c>
      <c r="B355" s="2">
        <v>40587</v>
      </c>
      <c r="C355" s="1">
        <v>3</v>
      </c>
      <c r="D355" s="1" t="b">
        <v>0</v>
      </c>
      <c r="E355" s="1">
        <v>0</v>
      </c>
      <c r="F355" s="1">
        <v>2</v>
      </c>
      <c r="G355" s="1">
        <v>0.2</v>
      </c>
      <c r="H355" s="1">
        <v>0.2273</v>
      </c>
      <c r="I355" s="1">
        <v>0.69</v>
      </c>
      <c r="J355" s="1">
        <v>0.1045</v>
      </c>
      <c r="K355" s="1">
        <v>4</v>
      </c>
      <c r="L355" s="1">
        <v>8</v>
      </c>
      <c r="M355" s="1">
        <v>12</v>
      </c>
    </row>
    <row r="356" spans="1:13" x14ac:dyDescent="0.25">
      <c r="A356" s="1">
        <v>974</v>
      </c>
      <c r="B356" s="2">
        <v>40587</v>
      </c>
      <c r="C356" s="1">
        <v>4</v>
      </c>
      <c r="D356" s="1" t="b">
        <v>0</v>
      </c>
      <c r="E356" s="1">
        <v>0</v>
      </c>
      <c r="F356" s="1">
        <v>2</v>
      </c>
      <c r="G356" s="1">
        <v>0.2</v>
      </c>
      <c r="H356" s="1">
        <v>0.21210000000000001</v>
      </c>
      <c r="I356" s="1">
        <v>0.69</v>
      </c>
      <c r="J356" s="1">
        <v>0.16420000000000001</v>
      </c>
      <c r="K356" s="1">
        <v>0</v>
      </c>
      <c r="L356" s="1">
        <v>2</v>
      </c>
      <c r="M356" s="1">
        <v>2</v>
      </c>
    </row>
    <row r="357" spans="1:13" x14ac:dyDescent="0.25">
      <c r="A357" s="1">
        <v>975</v>
      </c>
      <c r="B357" s="2">
        <v>40587</v>
      </c>
      <c r="C357" s="1">
        <v>6</v>
      </c>
      <c r="D357" s="1" t="b">
        <v>0</v>
      </c>
      <c r="E357" s="1">
        <v>0</v>
      </c>
      <c r="F357" s="1">
        <v>2</v>
      </c>
      <c r="G357" s="1">
        <v>0.2</v>
      </c>
      <c r="H357" s="1">
        <v>0.21210000000000001</v>
      </c>
      <c r="I357" s="1">
        <v>0.69</v>
      </c>
      <c r="J357" s="1">
        <v>0.1343</v>
      </c>
      <c r="K357" s="1">
        <v>2</v>
      </c>
      <c r="L357" s="1">
        <v>3</v>
      </c>
      <c r="M357" s="1">
        <v>5</v>
      </c>
    </row>
    <row r="358" spans="1:13" x14ac:dyDescent="0.25">
      <c r="A358" s="1">
        <v>976</v>
      </c>
      <c r="B358" s="2">
        <v>40587</v>
      </c>
      <c r="C358" s="1">
        <v>7</v>
      </c>
      <c r="D358" s="1" t="b">
        <v>0</v>
      </c>
      <c r="E358" s="1">
        <v>0</v>
      </c>
      <c r="F358" s="1">
        <v>2</v>
      </c>
      <c r="G358" s="1">
        <v>0.22</v>
      </c>
      <c r="H358" s="1">
        <v>0.2727</v>
      </c>
      <c r="I358" s="1">
        <v>0.55000000000000004</v>
      </c>
      <c r="J358" s="1">
        <v>0</v>
      </c>
      <c r="K358" s="1">
        <v>0</v>
      </c>
      <c r="L358" s="1">
        <v>3</v>
      </c>
      <c r="M358" s="1">
        <v>3</v>
      </c>
    </row>
    <row r="359" spans="1:13" x14ac:dyDescent="0.25">
      <c r="A359" s="1">
        <v>977</v>
      </c>
      <c r="B359" s="2">
        <v>40587</v>
      </c>
      <c r="C359" s="1">
        <v>8</v>
      </c>
      <c r="D359" s="1" t="b">
        <v>0</v>
      </c>
      <c r="E359" s="1">
        <v>0</v>
      </c>
      <c r="F359" s="1">
        <v>2</v>
      </c>
      <c r="G359" s="1">
        <v>0.22</v>
      </c>
      <c r="H359" s="1">
        <v>0.2273</v>
      </c>
      <c r="I359" s="1">
        <v>0.64</v>
      </c>
      <c r="J359" s="1">
        <v>0.19400000000000001</v>
      </c>
      <c r="K359" s="1">
        <v>1</v>
      </c>
      <c r="L359" s="1">
        <v>11</v>
      </c>
      <c r="M359" s="1">
        <v>12</v>
      </c>
    </row>
    <row r="360" spans="1:13" x14ac:dyDescent="0.25">
      <c r="A360" s="1">
        <v>978</v>
      </c>
      <c r="B360" s="2">
        <v>40587</v>
      </c>
      <c r="C360" s="1">
        <v>9</v>
      </c>
      <c r="D360" s="1" t="b">
        <v>0</v>
      </c>
      <c r="E360" s="1">
        <v>0</v>
      </c>
      <c r="F360" s="1">
        <v>2</v>
      </c>
      <c r="G360" s="1">
        <v>0.24</v>
      </c>
      <c r="H360" s="1">
        <v>0.2273</v>
      </c>
      <c r="I360" s="1">
        <v>0.6</v>
      </c>
      <c r="J360" s="1">
        <v>0.22389999999999999</v>
      </c>
      <c r="K360" s="1">
        <v>12</v>
      </c>
      <c r="L360" s="1">
        <v>35</v>
      </c>
      <c r="M360" s="1">
        <v>47</v>
      </c>
    </row>
    <row r="361" spans="1:13" x14ac:dyDescent="0.25">
      <c r="A361" s="1">
        <v>979</v>
      </c>
      <c r="B361" s="2">
        <v>40587</v>
      </c>
      <c r="C361" s="1">
        <v>10</v>
      </c>
      <c r="D361" s="1" t="b">
        <v>0</v>
      </c>
      <c r="E361" s="1">
        <v>0</v>
      </c>
      <c r="F361" s="1">
        <v>1</v>
      </c>
      <c r="G361" s="1">
        <v>0.3</v>
      </c>
      <c r="H361" s="1">
        <v>0.2727</v>
      </c>
      <c r="I361" s="1">
        <v>0.45</v>
      </c>
      <c r="J361" s="1">
        <v>0.32840000000000003</v>
      </c>
      <c r="K361" s="1">
        <v>19</v>
      </c>
      <c r="L361" s="1">
        <v>86</v>
      </c>
      <c r="M361" s="1">
        <v>105</v>
      </c>
    </row>
    <row r="362" spans="1:13" x14ac:dyDescent="0.25">
      <c r="A362" s="1">
        <v>980</v>
      </c>
      <c r="B362" s="2">
        <v>40587</v>
      </c>
      <c r="C362" s="1">
        <v>11</v>
      </c>
      <c r="D362" s="1" t="b">
        <v>0</v>
      </c>
      <c r="E362" s="1">
        <v>0</v>
      </c>
      <c r="F362" s="1">
        <v>1</v>
      </c>
      <c r="G362" s="1">
        <v>0.32</v>
      </c>
      <c r="H362" s="1">
        <v>0.28789999999999999</v>
      </c>
      <c r="I362" s="1">
        <v>0.39</v>
      </c>
      <c r="J362" s="1">
        <v>0.44779999999999998</v>
      </c>
      <c r="K362" s="1">
        <v>26</v>
      </c>
      <c r="L362" s="1">
        <v>86</v>
      </c>
      <c r="M362" s="1">
        <v>112</v>
      </c>
    </row>
    <row r="363" spans="1:13" x14ac:dyDescent="0.25">
      <c r="A363" s="1">
        <v>981</v>
      </c>
      <c r="B363" s="2">
        <v>40587</v>
      </c>
      <c r="C363" s="1">
        <v>12</v>
      </c>
      <c r="D363" s="1" t="b">
        <v>0</v>
      </c>
      <c r="E363" s="1">
        <v>0</v>
      </c>
      <c r="F363" s="1">
        <v>1</v>
      </c>
      <c r="G363" s="1">
        <v>0.36</v>
      </c>
      <c r="H363" s="1">
        <v>0.31819999999999998</v>
      </c>
      <c r="I363" s="1">
        <v>0.32</v>
      </c>
      <c r="J363" s="1">
        <v>0.4627</v>
      </c>
      <c r="K363" s="1">
        <v>58</v>
      </c>
      <c r="L363" s="1">
        <v>94</v>
      </c>
      <c r="M363" s="1">
        <v>152</v>
      </c>
    </row>
    <row r="364" spans="1:13" x14ac:dyDescent="0.25">
      <c r="A364" s="1">
        <v>982</v>
      </c>
      <c r="B364" s="2">
        <v>40587</v>
      </c>
      <c r="C364" s="1">
        <v>13</v>
      </c>
      <c r="D364" s="1" t="b">
        <v>0</v>
      </c>
      <c r="E364" s="1">
        <v>0</v>
      </c>
      <c r="F364" s="1">
        <v>1</v>
      </c>
      <c r="G364" s="1">
        <v>0.38</v>
      </c>
      <c r="H364" s="1">
        <v>0.39389999999999997</v>
      </c>
      <c r="I364" s="1">
        <v>0.28999999999999998</v>
      </c>
      <c r="J364" s="1">
        <v>0.35820000000000002</v>
      </c>
      <c r="K364" s="1">
        <v>62</v>
      </c>
      <c r="L364" s="1">
        <v>92</v>
      </c>
      <c r="M364" s="1">
        <v>154</v>
      </c>
    </row>
    <row r="365" spans="1:13" x14ac:dyDescent="0.25">
      <c r="A365" s="1">
        <v>983</v>
      </c>
      <c r="B365" s="2">
        <v>40587</v>
      </c>
      <c r="C365" s="1">
        <v>14</v>
      </c>
      <c r="D365" s="1" t="b">
        <v>0</v>
      </c>
      <c r="E365" s="1">
        <v>0</v>
      </c>
      <c r="F365" s="1">
        <v>2</v>
      </c>
      <c r="G365" s="1">
        <v>0.4</v>
      </c>
      <c r="H365" s="1">
        <v>0.40910000000000002</v>
      </c>
      <c r="I365" s="1">
        <v>0.3</v>
      </c>
      <c r="J365" s="1">
        <v>0.41789999999999999</v>
      </c>
      <c r="K365" s="1">
        <v>51</v>
      </c>
      <c r="L365" s="1">
        <v>110</v>
      </c>
      <c r="M365" s="1">
        <v>161</v>
      </c>
    </row>
    <row r="366" spans="1:13" x14ac:dyDescent="0.25">
      <c r="A366" s="1">
        <v>984</v>
      </c>
      <c r="B366" s="2">
        <v>40587</v>
      </c>
      <c r="C366" s="1">
        <v>15</v>
      </c>
      <c r="D366" s="1" t="b">
        <v>0</v>
      </c>
      <c r="E366" s="1">
        <v>0</v>
      </c>
      <c r="F366" s="1">
        <v>2</v>
      </c>
      <c r="G366" s="1">
        <v>0.4</v>
      </c>
      <c r="H366" s="1">
        <v>0.40910000000000002</v>
      </c>
      <c r="I366" s="1">
        <v>0.3</v>
      </c>
      <c r="J366" s="1">
        <v>0.29849999999999999</v>
      </c>
      <c r="K366" s="1">
        <v>40</v>
      </c>
      <c r="L366" s="1">
        <v>122</v>
      </c>
      <c r="M366" s="1">
        <v>162</v>
      </c>
    </row>
    <row r="367" spans="1:13" x14ac:dyDescent="0.25">
      <c r="A367" s="1">
        <v>985</v>
      </c>
      <c r="B367" s="2">
        <v>40587</v>
      </c>
      <c r="C367" s="1">
        <v>16</v>
      </c>
      <c r="D367" s="1" t="b">
        <v>0</v>
      </c>
      <c r="E367" s="1">
        <v>0</v>
      </c>
      <c r="F367" s="1">
        <v>2</v>
      </c>
      <c r="G367" s="1">
        <v>0.42</v>
      </c>
      <c r="H367" s="1">
        <v>0.42420000000000002</v>
      </c>
      <c r="I367" s="1">
        <v>0.28000000000000003</v>
      </c>
      <c r="J367" s="1">
        <v>0.32840000000000003</v>
      </c>
      <c r="K367" s="1">
        <v>28</v>
      </c>
      <c r="L367" s="1">
        <v>106</v>
      </c>
      <c r="M367" s="1">
        <v>134</v>
      </c>
    </row>
    <row r="368" spans="1:13" x14ac:dyDescent="0.25">
      <c r="A368" s="1">
        <v>986</v>
      </c>
      <c r="B368" s="2">
        <v>40587</v>
      </c>
      <c r="C368" s="1">
        <v>17</v>
      </c>
      <c r="D368" s="1" t="b">
        <v>0</v>
      </c>
      <c r="E368" s="1">
        <v>0</v>
      </c>
      <c r="F368" s="1">
        <v>1</v>
      </c>
      <c r="G368" s="1">
        <v>0.42</v>
      </c>
      <c r="H368" s="1">
        <v>0.42420000000000002</v>
      </c>
      <c r="I368" s="1">
        <v>0.28000000000000003</v>
      </c>
      <c r="J368" s="1">
        <v>0.32840000000000003</v>
      </c>
      <c r="K368" s="1">
        <v>30</v>
      </c>
      <c r="L368" s="1">
        <v>95</v>
      </c>
      <c r="M368" s="1">
        <v>125</v>
      </c>
    </row>
    <row r="369" spans="1:13" x14ac:dyDescent="0.25">
      <c r="A369" s="1">
        <v>987</v>
      </c>
      <c r="B369" s="2">
        <v>40587</v>
      </c>
      <c r="C369" s="1">
        <v>18</v>
      </c>
      <c r="D369" s="1" t="b">
        <v>0</v>
      </c>
      <c r="E369" s="1">
        <v>0</v>
      </c>
      <c r="F369" s="1">
        <v>1</v>
      </c>
      <c r="G369" s="1">
        <v>0.4</v>
      </c>
      <c r="H369" s="1">
        <v>0.40910000000000002</v>
      </c>
      <c r="I369" s="1">
        <v>0.32</v>
      </c>
      <c r="J369" s="1">
        <v>0.29849999999999999</v>
      </c>
      <c r="K369" s="1">
        <v>17</v>
      </c>
      <c r="L369" s="1">
        <v>78</v>
      </c>
      <c r="M369" s="1">
        <v>95</v>
      </c>
    </row>
    <row r="370" spans="1:13" x14ac:dyDescent="0.25">
      <c r="A370" s="1">
        <v>988</v>
      </c>
      <c r="B370" s="2">
        <v>40587</v>
      </c>
      <c r="C370" s="1">
        <v>19</v>
      </c>
      <c r="D370" s="1" t="b">
        <v>0</v>
      </c>
      <c r="E370" s="1">
        <v>0</v>
      </c>
      <c r="F370" s="1">
        <v>1</v>
      </c>
      <c r="G370" s="1">
        <v>0.4</v>
      </c>
      <c r="H370" s="1">
        <v>0.40910000000000002</v>
      </c>
      <c r="I370" s="1">
        <v>0.35</v>
      </c>
      <c r="J370" s="1">
        <v>0.28360000000000002</v>
      </c>
      <c r="K370" s="1">
        <v>11</v>
      </c>
      <c r="L370" s="1">
        <v>50</v>
      </c>
      <c r="M370" s="1">
        <v>61</v>
      </c>
    </row>
    <row r="371" spans="1:13" x14ac:dyDescent="0.25">
      <c r="A371" s="1">
        <v>989</v>
      </c>
      <c r="B371" s="2">
        <v>40587</v>
      </c>
      <c r="C371" s="1">
        <v>20</v>
      </c>
      <c r="D371" s="1" t="b">
        <v>0</v>
      </c>
      <c r="E371" s="1">
        <v>0</v>
      </c>
      <c r="F371" s="1">
        <v>1</v>
      </c>
      <c r="G371" s="1">
        <v>0.4</v>
      </c>
      <c r="H371" s="1">
        <v>0.40910000000000002</v>
      </c>
      <c r="I371" s="1">
        <v>0.35</v>
      </c>
      <c r="J371" s="1">
        <v>0.32840000000000003</v>
      </c>
      <c r="K371" s="1">
        <v>15</v>
      </c>
      <c r="L371" s="1">
        <v>32</v>
      </c>
      <c r="M371" s="1">
        <v>47</v>
      </c>
    </row>
    <row r="372" spans="1:13" x14ac:dyDescent="0.25">
      <c r="A372" s="1">
        <v>990</v>
      </c>
      <c r="B372" s="2">
        <v>40587</v>
      </c>
      <c r="C372" s="1">
        <v>21</v>
      </c>
      <c r="D372" s="1" t="b">
        <v>0</v>
      </c>
      <c r="E372" s="1">
        <v>0</v>
      </c>
      <c r="F372" s="1">
        <v>1</v>
      </c>
      <c r="G372" s="1">
        <v>0.4</v>
      </c>
      <c r="H372" s="1">
        <v>0.40910000000000002</v>
      </c>
      <c r="I372" s="1">
        <v>0.35</v>
      </c>
      <c r="J372" s="1">
        <v>0.35820000000000002</v>
      </c>
      <c r="K372" s="1">
        <v>6</v>
      </c>
      <c r="L372" s="1">
        <v>45</v>
      </c>
      <c r="M372" s="1">
        <v>51</v>
      </c>
    </row>
    <row r="373" spans="1:13" x14ac:dyDescent="0.25">
      <c r="A373" s="1">
        <v>991</v>
      </c>
      <c r="B373" s="2">
        <v>40587</v>
      </c>
      <c r="C373" s="1">
        <v>22</v>
      </c>
      <c r="D373" s="1" t="b">
        <v>0</v>
      </c>
      <c r="E373" s="1">
        <v>0</v>
      </c>
      <c r="F373" s="1">
        <v>1</v>
      </c>
      <c r="G373" s="1">
        <v>0.4</v>
      </c>
      <c r="H373" s="1">
        <v>0.40910000000000002</v>
      </c>
      <c r="I373" s="1">
        <v>0.35</v>
      </c>
      <c r="J373" s="1">
        <v>0.29849999999999999</v>
      </c>
      <c r="K373" s="1">
        <v>5</v>
      </c>
      <c r="L373" s="1">
        <v>31</v>
      </c>
      <c r="M373" s="1">
        <v>36</v>
      </c>
    </row>
    <row r="374" spans="1:13" x14ac:dyDescent="0.25">
      <c r="A374" s="1">
        <v>992</v>
      </c>
      <c r="B374" s="2">
        <v>40587</v>
      </c>
      <c r="C374" s="1">
        <v>23</v>
      </c>
      <c r="D374" s="1" t="b">
        <v>0</v>
      </c>
      <c r="E374" s="1">
        <v>0</v>
      </c>
      <c r="F374" s="1">
        <v>1</v>
      </c>
      <c r="G374" s="1">
        <v>0.4</v>
      </c>
      <c r="H374" s="1">
        <v>0.40910000000000002</v>
      </c>
      <c r="I374" s="1">
        <v>0.35</v>
      </c>
      <c r="J374" s="1">
        <v>0.35820000000000002</v>
      </c>
      <c r="K374" s="1">
        <v>3</v>
      </c>
      <c r="L374" s="1">
        <v>27</v>
      </c>
      <c r="M374" s="1">
        <v>30</v>
      </c>
    </row>
    <row r="375" spans="1:13" x14ac:dyDescent="0.25">
      <c r="A375" s="1">
        <v>993</v>
      </c>
      <c r="B375" s="2">
        <v>40588</v>
      </c>
      <c r="C375" s="1">
        <v>0</v>
      </c>
      <c r="D375" s="1" t="b">
        <v>0</v>
      </c>
      <c r="E375" s="1">
        <v>1</v>
      </c>
      <c r="F375" s="1">
        <v>1</v>
      </c>
      <c r="G375" s="1">
        <v>0.38</v>
      </c>
      <c r="H375" s="1">
        <v>0.39389999999999997</v>
      </c>
      <c r="I375" s="1">
        <v>0.37</v>
      </c>
      <c r="J375" s="1">
        <v>0.35820000000000002</v>
      </c>
      <c r="K375" s="1">
        <v>3</v>
      </c>
      <c r="L375" s="1">
        <v>8</v>
      </c>
      <c r="M375" s="1">
        <v>11</v>
      </c>
    </row>
    <row r="376" spans="1:13" x14ac:dyDescent="0.25">
      <c r="A376" s="1">
        <v>994</v>
      </c>
      <c r="B376" s="2">
        <v>40588</v>
      </c>
      <c r="C376" s="1">
        <v>1</v>
      </c>
      <c r="D376" s="1" t="b">
        <v>0</v>
      </c>
      <c r="E376" s="1">
        <v>1</v>
      </c>
      <c r="F376" s="1">
        <v>1</v>
      </c>
      <c r="G376" s="1">
        <v>0.38</v>
      </c>
      <c r="H376" s="1">
        <v>0.39389999999999997</v>
      </c>
      <c r="I376" s="1">
        <v>0.37</v>
      </c>
      <c r="J376" s="1">
        <v>0.35820000000000002</v>
      </c>
      <c r="K376" s="1">
        <v>1</v>
      </c>
      <c r="L376" s="1">
        <v>6</v>
      </c>
      <c r="M376" s="1">
        <v>7</v>
      </c>
    </row>
    <row r="377" spans="1:13" x14ac:dyDescent="0.25">
      <c r="A377" s="1">
        <v>995</v>
      </c>
      <c r="B377" s="2">
        <v>40588</v>
      </c>
      <c r="C377" s="1">
        <v>2</v>
      </c>
      <c r="D377" s="1" t="b">
        <v>0</v>
      </c>
      <c r="E377" s="1">
        <v>1</v>
      </c>
      <c r="F377" s="1">
        <v>1</v>
      </c>
      <c r="G377" s="1">
        <v>0.36</v>
      </c>
      <c r="H377" s="1">
        <v>0.33329999999999999</v>
      </c>
      <c r="I377" s="1">
        <v>0.4</v>
      </c>
      <c r="J377" s="1">
        <v>0.29849999999999999</v>
      </c>
      <c r="K377" s="1">
        <v>0</v>
      </c>
      <c r="L377" s="1">
        <v>2</v>
      </c>
      <c r="M377" s="1">
        <v>2</v>
      </c>
    </row>
    <row r="378" spans="1:13" x14ac:dyDescent="0.25">
      <c r="A378" s="1">
        <v>996</v>
      </c>
      <c r="B378" s="2">
        <v>40588</v>
      </c>
      <c r="C378" s="1">
        <v>3</v>
      </c>
      <c r="D378" s="1" t="b">
        <v>0</v>
      </c>
      <c r="E378" s="1">
        <v>1</v>
      </c>
      <c r="F378" s="1">
        <v>1</v>
      </c>
      <c r="G378" s="1">
        <v>0.34</v>
      </c>
      <c r="H378" s="1">
        <v>0.31819999999999998</v>
      </c>
      <c r="I378" s="1">
        <v>0.46</v>
      </c>
      <c r="J378" s="1">
        <v>0.22389999999999999</v>
      </c>
      <c r="K378" s="1">
        <v>1</v>
      </c>
      <c r="L378" s="1">
        <v>1</v>
      </c>
      <c r="M378" s="1">
        <v>2</v>
      </c>
    </row>
    <row r="379" spans="1:13" x14ac:dyDescent="0.25">
      <c r="A379" s="1">
        <v>997</v>
      </c>
      <c r="B379" s="2">
        <v>40588</v>
      </c>
      <c r="C379" s="1">
        <v>4</v>
      </c>
      <c r="D379" s="1" t="b">
        <v>0</v>
      </c>
      <c r="E379" s="1">
        <v>1</v>
      </c>
      <c r="F379" s="1">
        <v>1</v>
      </c>
      <c r="G379" s="1">
        <v>0.32</v>
      </c>
      <c r="H379" s="1">
        <v>0.30299999999999999</v>
      </c>
      <c r="I379" s="1">
        <v>0.53</v>
      </c>
      <c r="J379" s="1">
        <v>0.28360000000000002</v>
      </c>
      <c r="K379" s="1">
        <v>0</v>
      </c>
      <c r="L379" s="1">
        <v>2</v>
      </c>
      <c r="M379" s="1">
        <v>2</v>
      </c>
    </row>
    <row r="380" spans="1:13" x14ac:dyDescent="0.25">
      <c r="A380" s="1">
        <v>998</v>
      </c>
      <c r="B380" s="2">
        <v>40588</v>
      </c>
      <c r="C380" s="1">
        <v>5</v>
      </c>
      <c r="D380" s="1" t="b">
        <v>0</v>
      </c>
      <c r="E380" s="1">
        <v>1</v>
      </c>
      <c r="F380" s="1">
        <v>1</v>
      </c>
      <c r="G380" s="1">
        <v>0.32</v>
      </c>
      <c r="H380" s="1">
        <v>0.30299999999999999</v>
      </c>
      <c r="I380" s="1">
        <v>0.53</v>
      </c>
      <c r="J380" s="1">
        <v>0.28360000000000002</v>
      </c>
      <c r="K380" s="1">
        <v>0</v>
      </c>
      <c r="L380" s="1">
        <v>3</v>
      </c>
      <c r="M380" s="1">
        <v>3</v>
      </c>
    </row>
    <row r="381" spans="1:13" x14ac:dyDescent="0.25">
      <c r="A381" s="1">
        <v>999</v>
      </c>
      <c r="B381" s="2">
        <v>40588</v>
      </c>
      <c r="C381" s="1">
        <v>6</v>
      </c>
      <c r="D381" s="1" t="b">
        <v>0</v>
      </c>
      <c r="E381" s="1">
        <v>1</v>
      </c>
      <c r="F381" s="1">
        <v>1</v>
      </c>
      <c r="G381" s="1">
        <v>0.34</v>
      </c>
      <c r="H381" s="1">
        <v>0.30299999999999999</v>
      </c>
      <c r="I381" s="1">
        <v>0.46</v>
      </c>
      <c r="J381" s="1">
        <v>0.29849999999999999</v>
      </c>
      <c r="K381" s="1">
        <v>1</v>
      </c>
      <c r="L381" s="1">
        <v>25</v>
      </c>
      <c r="M381" s="1">
        <v>26</v>
      </c>
    </row>
    <row r="382" spans="1:13" x14ac:dyDescent="0.25">
      <c r="A382" s="1">
        <v>1000</v>
      </c>
      <c r="B382" s="2">
        <v>40588</v>
      </c>
      <c r="C382" s="1">
        <v>7</v>
      </c>
      <c r="D382" s="1" t="b">
        <v>0</v>
      </c>
      <c r="E382" s="1">
        <v>1</v>
      </c>
      <c r="F382" s="1">
        <v>1</v>
      </c>
      <c r="G382" s="1">
        <v>0.34</v>
      </c>
      <c r="H382" s="1">
        <v>0.30299999999999999</v>
      </c>
      <c r="I382" s="1">
        <v>0.46</v>
      </c>
      <c r="J382" s="1">
        <v>0.29849999999999999</v>
      </c>
      <c r="K382" s="1">
        <v>2</v>
      </c>
      <c r="L382" s="1">
        <v>96</v>
      </c>
      <c r="M382" s="1">
        <v>98</v>
      </c>
    </row>
    <row r="383" spans="1:13" x14ac:dyDescent="0.25">
      <c r="A383" s="1">
        <v>611</v>
      </c>
      <c r="B383" s="2">
        <v>40571</v>
      </c>
      <c r="C383" s="1">
        <v>16</v>
      </c>
      <c r="D383" s="1" t="b">
        <v>0</v>
      </c>
      <c r="E383" s="1">
        <v>5</v>
      </c>
      <c r="F383" s="1">
        <v>1</v>
      </c>
      <c r="G383" s="1">
        <v>0.22</v>
      </c>
      <c r="H383" s="1">
        <v>0.2727</v>
      </c>
      <c r="I383" s="1">
        <v>0.8</v>
      </c>
      <c r="J383" s="1">
        <v>0</v>
      </c>
      <c r="K383" s="1">
        <v>10</v>
      </c>
      <c r="L383" s="1">
        <v>70</v>
      </c>
      <c r="M383" s="1">
        <v>80</v>
      </c>
    </row>
    <row r="384" spans="1:13" x14ac:dyDescent="0.25">
      <c r="A384" s="1">
        <v>612</v>
      </c>
      <c r="B384" s="2">
        <v>40571</v>
      </c>
      <c r="C384" s="1">
        <v>17</v>
      </c>
      <c r="D384" s="1" t="b">
        <v>0</v>
      </c>
      <c r="E384" s="1">
        <v>5</v>
      </c>
      <c r="F384" s="1">
        <v>1</v>
      </c>
      <c r="G384" s="1">
        <v>0.24</v>
      </c>
      <c r="H384" s="1">
        <v>0.2424</v>
      </c>
      <c r="I384" s="1">
        <v>0.75</v>
      </c>
      <c r="J384" s="1">
        <v>0.1343</v>
      </c>
      <c r="K384" s="1">
        <v>2</v>
      </c>
      <c r="L384" s="1">
        <v>147</v>
      </c>
      <c r="M384" s="1">
        <v>149</v>
      </c>
    </row>
    <row r="385" spans="1:13" x14ac:dyDescent="0.25">
      <c r="A385" s="1">
        <v>613</v>
      </c>
      <c r="B385" s="2">
        <v>40571</v>
      </c>
      <c r="C385" s="1">
        <v>18</v>
      </c>
      <c r="D385" s="1" t="b">
        <v>0</v>
      </c>
      <c r="E385" s="1">
        <v>5</v>
      </c>
      <c r="F385" s="1">
        <v>1</v>
      </c>
      <c r="G385" s="1">
        <v>0.24</v>
      </c>
      <c r="H385" s="1">
        <v>0.2273</v>
      </c>
      <c r="I385" s="1">
        <v>0.75</v>
      </c>
      <c r="J385" s="1">
        <v>0.19400000000000001</v>
      </c>
      <c r="K385" s="1">
        <v>2</v>
      </c>
      <c r="L385" s="1">
        <v>107</v>
      </c>
      <c r="M385" s="1">
        <v>109</v>
      </c>
    </row>
    <row r="386" spans="1:13" x14ac:dyDescent="0.25">
      <c r="A386" s="1">
        <v>614</v>
      </c>
      <c r="B386" s="2">
        <v>40571</v>
      </c>
      <c r="C386" s="1">
        <v>19</v>
      </c>
      <c r="D386" s="1" t="b">
        <v>0</v>
      </c>
      <c r="E386" s="1">
        <v>5</v>
      </c>
      <c r="F386" s="1">
        <v>2</v>
      </c>
      <c r="G386" s="1">
        <v>0.24</v>
      </c>
      <c r="H386" s="1">
        <v>0.2424</v>
      </c>
      <c r="I386" s="1">
        <v>0.75</v>
      </c>
      <c r="J386" s="1">
        <v>0.1343</v>
      </c>
      <c r="K386" s="1">
        <v>5</v>
      </c>
      <c r="L386" s="1">
        <v>84</v>
      </c>
      <c r="M386" s="1">
        <v>89</v>
      </c>
    </row>
    <row r="387" spans="1:13" x14ac:dyDescent="0.25">
      <c r="A387" s="1">
        <v>615</v>
      </c>
      <c r="B387" s="2">
        <v>40571</v>
      </c>
      <c r="C387" s="1">
        <v>20</v>
      </c>
      <c r="D387" s="1" t="b">
        <v>0</v>
      </c>
      <c r="E387" s="1">
        <v>5</v>
      </c>
      <c r="F387" s="1">
        <v>2</v>
      </c>
      <c r="G387" s="1">
        <v>0.24</v>
      </c>
      <c r="H387" s="1">
        <v>0.2273</v>
      </c>
      <c r="I387" s="1">
        <v>0.7</v>
      </c>
      <c r="J387" s="1">
        <v>0.19400000000000001</v>
      </c>
      <c r="K387" s="1">
        <v>1</v>
      </c>
      <c r="L387" s="1">
        <v>61</v>
      </c>
      <c r="M387" s="1">
        <v>62</v>
      </c>
    </row>
    <row r="388" spans="1:13" x14ac:dyDescent="0.25">
      <c r="A388" s="1">
        <v>616</v>
      </c>
      <c r="B388" s="2">
        <v>40571</v>
      </c>
      <c r="C388" s="1">
        <v>21</v>
      </c>
      <c r="D388" s="1" t="b">
        <v>0</v>
      </c>
      <c r="E388" s="1">
        <v>5</v>
      </c>
      <c r="F388" s="1">
        <v>2</v>
      </c>
      <c r="G388" s="1">
        <v>0.22</v>
      </c>
      <c r="H388" s="1">
        <v>0.2273</v>
      </c>
      <c r="I388" s="1">
        <v>0.75</v>
      </c>
      <c r="J388" s="1">
        <v>0.1343</v>
      </c>
      <c r="K388" s="1">
        <v>1</v>
      </c>
      <c r="L388" s="1">
        <v>57</v>
      </c>
      <c r="M388" s="1">
        <v>58</v>
      </c>
    </row>
    <row r="389" spans="1:13" x14ac:dyDescent="0.25">
      <c r="A389" s="1">
        <v>617</v>
      </c>
      <c r="B389" s="2">
        <v>40571</v>
      </c>
      <c r="C389" s="1">
        <v>22</v>
      </c>
      <c r="D389" s="1" t="b">
        <v>0</v>
      </c>
      <c r="E389" s="1">
        <v>5</v>
      </c>
      <c r="F389" s="1">
        <v>1</v>
      </c>
      <c r="G389" s="1">
        <v>0.24</v>
      </c>
      <c r="H389" s="1">
        <v>0.21210000000000001</v>
      </c>
      <c r="I389" s="1">
        <v>0.65</v>
      </c>
      <c r="J389" s="1">
        <v>0.35820000000000002</v>
      </c>
      <c r="K389" s="1">
        <v>0</v>
      </c>
      <c r="L389" s="1">
        <v>26</v>
      </c>
      <c r="M389" s="1">
        <v>26</v>
      </c>
    </row>
    <row r="390" spans="1:13" x14ac:dyDescent="0.25">
      <c r="A390" s="1">
        <v>618</v>
      </c>
      <c r="B390" s="2">
        <v>40571</v>
      </c>
      <c r="C390" s="1">
        <v>23</v>
      </c>
      <c r="D390" s="1" t="b">
        <v>0</v>
      </c>
      <c r="E390" s="1">
        <v>5</v>
      </c>
      <c r="F390" s="1">
        <v>1</v>
      </c>
      <c r="G390" s="1">
        <v>0.24</v>
      </c>
      <c r="H390" s="1">
        <v>0.2273</v>
      </c>
      <c r="I390" s="1">
        <v>0.6</v>
      </c>
      <c r="J390" s="1">
        <v>0.22389999999999999</v>
      </c>
      <c r="K390" s="1">
        <v>1</v>
      </c>
      <c r="L390" s="1">
        <v>22</v>
      </c>
      <c r="M390" s="1">
        <v>23</v>
      </c>
    </row>
    <row r="391" spans="1:13" x14ac:dyDescent="0.25">
      <c r="A391" s="1">
        <v>619</v>
      </c>
      <c r="B391" s="2">
        <v>40572</v>
      </c>
      <c r="C391" s="1">
        <v>0</v>
      </c>
      <c r="D391" s="1" t="b">
        <v>0</v>
      </c>
      <c r="E391" s="1">
        <v>6</v>
      </c>
      <c r="F391" s="1">
        <v>1</v>
      </c>
      <c r="G391" s="1">
        <v>0.22</v>
      </c>
      <c r="H391" s="1">
        <v>0.19700000000000001</v>
      </c>
      <c r="I391" s="1">
        <v>0.64</v>
      </c>
      <c r="J391" s="1">
        <v>0.35820000000000002</v>
      </c>
      <c r="K391" s="1">
        <v>2</v>
      </c>
      <c r="L391" s="1">
        <v>26</v>
      </c>
      <c r="M391" s="1">
        <v>28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1001"/>
  <sheetViews>
    <sheetView zoomScaleNormal="100" workbookViewId="0">
      <pane ySplit="1" topLeftCell="A2" activePane="bottomLeft" state="frozen"/>
      <selection pane="bottomLeft" activeCell="H995" sqref="H995"/>
    </sheetView>
  </sheetViews>
  <sheetFormatPr defaultRowHeight="15" x14ac:dyDescent="0.25"/>
  <cols>
    <col min="1" max="1" width="9.42578125" bestFit="1" customWidth="1"/>
    <col min="2" max="2" width="10.7109375" bestFit="1" customWidth="1"/>
    <col min="3" max="3" width="5.140625" bestFit="1" customWidth="1"/>
    <col min="4" max="4" width="9.85546875" bestFit="1" customWidth="1"/>
    <col min="5" max="5" width="19.140625" bestFit="1" customWidth="1"/>
    <col min="6" max="6" width="11.28515625" bestFit="1" customWidth="1"/>
    <col min="7" max="7" width="11.28515625" customWidth="1"/>
    <col min="8" max="8" width="13.7109375" customWidth="1"/>
    <col min="9" max="9" width="18" customWidth="1"/>
    <col min="10" max="10" width="8" bestFit="1" customWidth="1"/>
    <col min="11" max="11" width="9" bestFit="1" customWidth="1"/>
    <col min="12" max="12" width="7.28515625" bestFit="1" customWidth="1"/>
    <col min="13" max="13" width="13.140625" bestFit="1" customWidth="1"/>
    <col min="14" max="14" width="8.7109375" bestFit="1" customWidth="1"/>
    <col min="15" max="15" width="12.42578125" bestFit="1" customWidth="1"/>
    <col min="16" max="16" width="6" bestFit="1" customWidth="1"/>
    <col min="18" max="18" width="18.140625" bestFit="1" customWidth="1"/>
    <col min="21" max="21" width="30.42578125" bestFit="1" customWidth="1"/>
  </cols>
  <sheetData>
    <row r="1" spans="1:22" ht="13.5" customHeight="1" x14ac:dyDescent="0.25">
      <c r="A1" s="3" t="s">
        <v>0</v>
      </c>
      <c r="B1" s="4" t="s">
        <v>1</v>
      </c>
      <c r="C1" s="4" t="s">
        <v>2</v>
      </c>
      <c r="D1" s="4" t="s">
        <v>3</v>
      </c>
      <c r="E1" s="4" t="s">
        <v>14</v>
      </c>
      <c r="F1" s="4" t="s">
        <v>4</v>
      </c>
      <c r="G1" s="4" t="s">
        <v>15</v>
      </c>
      <c r="H1" s="4" t="s">
        <v>5</v>
      </c>
      <c r="I1" s="4" t="s">
        <v>16</v>
      </c>
      <c r="J1" s="4" t="s">
        <v>6</v>
      </c>
      <c r="K1" s="4" t="s">
        <v>8</v>
      </c>
      <c r="L1" s="4" t="s">
        <v>9</v>
      </c>
      <c r="M1" s="4" t="s">
        <v>10</v>
      </c>
      <c r="N1" s="4" t="s">
        <v>11</v>
      </c>
      <c r="O1" s="4" t="s">
        <v>12</v>
      </c>
      <c r="P1" s="5" t="s">
        <v>13</v>
      </c>
      <c r="R1" s="22" t="s">
        <v>51</v>
      </c>
      <c r="S1" s="19"/>
      <c r="U1" s="25" t="s">
        <v>30</v>
      </c>
    </row>
    <row r="2" spans="1:22" x14ac:dyDescent="0.25">
      <c r="A2" s="6">
        <v>1</v>
      </c>
      <c r="B2" s="7">
        <v>40544</v>
      </c>
      <c r="C2" s="8">
        <v>0</v>
      </c>
      <c r="D2" s="8" t="b">
        <v>0</v>
      </c>
      <c r="E2" s="8" t="str">
        <f t="shared" ref="E2:E65" si="0">IF(D2=FALSE,"Working Day","Holiday")</f>
        <v>Working Day</v>
      </c>
      <c r="F2" s="8">
        <v>6</v>
      </c>
      <c r="G2" s="8" t="str">
        <f t="shared" ref="G2:G65" si="1">TEXT(F2+1, "ddd")</f>
        <v>Sat</v>
      </c>
      <c r="H2" s="8">
        <v>1</v>
      </c>
      <c r="I2" s="8" t="str">
        <f>IF(H2=0, "clear", IF(H2=1, "mist/cloudy", IF(H2=2, "light rain", IF(H2=3, "heavy rain", IF(H2=4, "extreme weather condition", "Unknown")))))</f>
        <v>mist/cloudy</v>
      </c>
      <c r="J2" s="8">
        <v>0.24</v>
      </c>
      <c r="K2" s="8">
        <v>0.28789999999999999</v>
      </c>
      <c r="L2" s="8">
        <v>0.81</v>
      </c>
      <c r="M2" s="8">
        <v>0</v>
      </c>
      <c r="N2" s="8">
        <v>3</v>
      </c>
      <c r="O2" s="8">
        <v>13</v>
      </c>
      <c r="P2" s="9">
        <v>16</v>
      </c>
      <c r="R2" s="20"/>
      <c r="S2" s="18"/>
      <c r="U2" s="23" t="s">
        <v>29</v>
      </c>
    </row>
    <row r="3" spans="1:22" x14ac:dyDescent="0.25">
      <c r="A3" s="10">
        <v>2</v>
      </c>
      <c r="B3" s="11">
        <v>40544</v>
      </c>
      <c r="C3" s="12">
        <v>1</v>
      </c>
      <c r="D3" s="12" t="b">
        <v>0</v>
      </c>
      <c r="E3" s="12" t="str">
        <f t="shared" si="0"/>
        <v>Working Day</v>
      </c>
      <c r="F3" s="12">
        <v>6</v>
      </c>
      <c r="G3" s="12" t="str">
        <f t="shared" si="1"/>
        <v>Sat</v>
      </c>
      <c r="H3" s="12">
        <v>1</v>
      </c>
      <c r="I3" s="12" t="str">
        <f t="shared" ref="I3:I66" si="2">IF(H3=0, "clear", IF(H3=1, "mist/cloudy", IF(H3=2, "light rain", IF(H3=3, "heavy rain", IF(H3=4, "extreme weather condition", "Unknown")))))</f>
        <v>mist/cloudy</v>
      </c>
      <c r="J3" s="12">
        <v>0.22</v>
      </c>
      <c r="K3" s="12">
        <v>0.2727</v>
      </c>
      <c r="L3" s="12">
        <v>0.8</v>
      </c>
      <c r="M3" s="12">
        <v>0</v>
      </c>
      <c r="N3" s="12">
        <v>8</v>
      </c>
      <c r="O3" s="12">
        <v>32</v>
      </c>
      <c r="P3" s="13">
        <v>40</v>
      </c>
      <c r="R3" s="20" t="s">
        <v>17</v>
      </c>
      <c r="S3" s="21">
        <v>58.304000000000002</v>
      </c>
      <c r="U3" s="24">
        <f>CORREL(J1:J1001,P1:P1001)</f>
        <v>0.22929155386993369</v>
      </c>
    </row>
    <row r="4" spans="1:22" x14ac:dyDescent="0.25">
      <c r="A4" s="6">
        <v>3</v>
      </c>
      <c r="B4" s="7">
        <v>40544</v>
      </c>
      <c r="C4" s="8">
        <v>2</v>
      </c>
      <c r="D4" s="8" t="b">
        <v>0</v>
      </c>
      <c r="E4" s="8" t="str">
        <f t="shared" si="0"/>
        <v>Working Day</v>
      </c>
      <c r="F4" s="8">
        <v>6</v>
      </c>
      <c r="G4" s="8" t="str">
        <f t="shared" si="1"/>
        <v>Sat</v>
      </c>
      <c r="H4" s="8">
        <v>1</v>
      </c>
      <c r="I4" s="8" t="str">
        <f t="shared" si="2"/>
        <v>mist/cloudy</v>
      </c>
      <c r="J4" s="8">
        <v>0.22</v>
      </c>
      <c r="K4" s="8">
        <v>0.2727</v>
      </c>
      <c r="L4" s="8">
        <v>0.8</v>
      </c>
      <c r="M4" s="8">
        <v>0</v>
      </c>
      <c r="N4" s="8">
        <v>5</v>
      </c>
      <c r="O4" s="8">
        <v>27</v>
      </c>
      <c r="P4" s="9">
        <v>32</v>
      </c>
      <c r="R4" s="20" t="s">
        <v>18</v>
      </c>
      <c r="S4" s="21">
        <v>49</v>
      </c>
      <c r="U4" s="23" t="s">
        <v>31</v>
      </c>
    </row>
    <row r="5" spans="1:22" x14ac:dyDescent="0.25">
      <c r="A5" s="10">
        <v>4</v>
      </c>
      <c r="B5" s="11">
        <v>40544</v>
      </c>
      <c r="C5" s="12">
        <v>3</v>
      </c>
      <c r="D5" s="12" t="b">
        <v>0</v>
      </c>
      <c r="E5" s="12" t="str">
        <f t="shared" si="0"/>
        <v>Working Day</v>
      </c>
      <c r="F5" s="12">
        <v>6</v>
      </c>
      <c r="G5" s="12" t="str">
        <f t="shared" si="1"/>
        <v>Sat</v>
      </c>
      <c r="H5" s="12">
        <v>1</v>
      </c>
      <c r="I5" s="12" t="str">
        <f t="shared" si="2"/>
        <v>mist/cloudy</v>
      </c>
      <c r="J5" s="12">
        <v>0.24</v>
      </c>
      <c r="K5" s="12">
        <v>0.28789999999999999</v>
      </c>
      <c r="L5" s="12">
        <v>0.75</v>
      </c>
      <c r="M5" s="12">
        <v>0</v>
      </c>
      <c r="N5" s="12">
        <v>3</v>
      </c>
      <c r="O5" s="12">
        <v>10</v>
      </c>
      <c r="P5" s="13">
        <v>13</v>
      </c>
      <c r="R5" s="20" t="s">
        <v>19</v>
      </c>
      <c r="S5" s="21">
        <v>1</v>
      </c>
      <c r="U5" s="24">
        <f>CORREL(L1:L1001,P1:P1001)</f>
        <v>-0.25435329828790432</v>
      </c>
    </row>
    <row r="6" spans="1:22" x14ac:dyDescent="0.25">
      <c r="A6" s="6">
        <v>5</v>
      </c>
      <c r="B6" s="7">
        <v>40544</v>
      </c>
      <c r="C6" s="8">
        <v>4</v>
      </c>
      <c r="D6" s="8" t="b">
        <v>0</v>
      </c>
      <c r="E6" s="8" t="str">
        <f t="shared" si="0"/>
        <v>Working Day</v>
      </c>
      <c r="F6" s="8">
        <v>6</v>
      </c>
      <c r="G6" s="8" t="str">
        <f t="shared" si="1"/>
        <v>Sat</v>
      </c>
      <c r="H6" s="8">
        <v>1</v>
      </c>
      <c r="I6" s="8" t="str">
        <f t="shared" si="2"/>
        <v>mist/cloudy</v>
      </c>
      <c r="J6" s="8">
        <v>0.24</v>
      </c>
      <c r="K6" s="8">
        <v>0.28789999999999999</v>
      </c>
      <c r="L6" s="8">
        <v>0.75</v>
      </c>
      <c r="M6" s="8">
        <v>0</v>
      </c>
      <c r="N6" s="8">
        <v>0</v>
      </c>
      <c r="O6" s="8">
        <v>1</v>
      </c>
      <c r="P6" s="9">
        <v>1</v>
      </c>
      <c r="R6" s="20" t="s">
        <v>20</v>
      </c>
      <c r="S6" s="18">
        <v>50.985557867999354</v>
      </c>
      <c r="U6" s="23" t="s">
        <v>32</v>
      </c>
    </row>
    <row r="7" spans="1:22" x14ac:dyDescent="0.25">
      <c r="A7" s="10">
        <v>6</v>
      </c>
      <c r="B7" s="11">
        <v>40544</v>
      </c>
      <c r="C7" s="12">
        <v>5</v>
      </c>
      <c r="D7" s="12" t="b">
        <v>0</v>
      </c>
      <c r="E7" s="12" t="str">
        <f t="shared" si="0"/>
        <v>Working Day</v>
      </c>
      <c r="F7" s="12">
        <v>6</v>
      </c>
      <c r="G7" s="12" t="str">
        <f t="shared" si="1"/>
        <v>Sat</v>
      </c>
      <c r="H7" s="12">
        <v>2</v>
      </c>
      <c r="I7" s="12" t="str">
        <f t="shared" si="2"/>
        <v>light rain</v>
      </c>
      <c r="J7" s="12">
        <v>0.24</v>
      </c>
      <c r="K7" s="12">
        <v>0.2576</v>
      </c>
      <c r="L7" s="12">
        <v>0.75</v>
      </c>
      <c r="M7" s="12">
        <v>8.9599999999999999E-2</v>
      </c>
      <c r="N7" s="12">
        <v>0</v>
      </c>
      <c r="O7" s="12">
        <v>1</v>
      </c>
      <c r="P7" s="13">
        <v>1</v>
      </c>
      <c r="R7" s="20" t="s">
        <v>21</v>
      </c>
      <c r="S7" s="18">
        <v>2599.527111111111</v>
      </c>
      <c r="U7" s="24">
        <f>CORREL(H1:H1001,L1:L1001)</f>
        <v>0.53940178557112117</v>
      </c>
    </row>
    <row r="8" spans="1:22" x14ac:dyDescent="0.25">
      <c r="A8" s="6">
        <v>7</v>
      </c>
      <c r="B8" s="7">
        <v>40544</v>
      </c>
      <c r="C8" s="8">
        <v>6</v>
      </c>
      <c r="D8" s="8" t="b">
        <v>0</v>
      </c>
      <c r="E8" s="8" t="str">
        <f t="shared" si="0"/>
        <v>Working Day</v>
      </c>
      <c r="F8" s="8">
        <v>6</v>
      </c>
      <c r="G8" s="8" t="str">
        <f t="shared" si="1"/>
        <v>Sat</v>
      </c>
      <c r="H8" s="8">
        <v>1</v>
      </c>
      <c r="I8" s="8" t="str">
        <f t="shared" si="2"/>
        <v>mist/cloudy</v>
      </c>
      <c r="J8" s="8">
        <v>0.22</v>
      </c>
      <c r="K8" s="8">
        <v>0.2727</v>
      </c>
      <c r="L8" s="8">
        <v>0.8</v>
      </c>
      <c r="M8" s="8">
        <v>0</v>
      </c>
      <c r="N8" s="8">
        <v>2</v>
      </c>
      <c r="O8" s="8">
        <v>0</v>
      </c>
      <c r="P8" s="9">
        <v>2</v>
      </c>
      <c r="R8" s="20" t="s">
        <v>22</v>
      </c>
      <c r="S8" s="21">
        <v>248</v>
      </c>
    </row>
    <row r="9" spans="1:22" x14ac:dyDescent="0.25">
      <c r="A9" s="10">
        <v>8</v>
      </c>
      <c r="B9" s="11">
        <v>40544</v>
      </c>
      <c r="C9" s="12">
        <v>7</v>
      </c>
      <c r="D9" s="12" t="b">
        <v>0</v>
      </c>
      <c r="E9" s="12" t="str">
        <f t="shared" si="0"/>
        <v>Working Day</v>
      </c>
      <c r="F9" s="12">
        <v>6</v>
      </c>
      <c r="G9" s="12" t="str">
        <f t="shared" si="1"/>
        <v>Sat</v>
      </c>
      <c r="H9" s="12">
        <v>1</v>
      </c>
      <c r="I9" s="12" t="str">
        <f t="shared" si="2"/>
        <v>mist/cloudy</v>
      </c>
      <c r="J9" s="12">
        <v>0.2</v>
      </c>
      <c r="K9" s="12">
        <v>0.2576</v>
      </c>
      <c r="L9" s="12">
        <v>0.86</v>
      </c>
      <c r="M9" s="12">
        <v>0</v>
      </c>
      <c r="N9" s="12">
        <v>1</v>
      </c>
      <c r="O9" s="12">
        <v>2</v>
      </c>
      <c r="P9" s="13">
        <v>3</v>
      </c>
      <c r="R9" s="20" t="s">
        <v>23</v>
      </c>
      <c r="S9" s="21">
        <v>1</v>
      </c>
    </row>
    <row r="10" spans="1:22" x14ac:dyDescent="0.25">
      <c r="A10" s="6">
        <v>9</v>
      </c>
      <c r="B10" s="7">
        <v>40544</v>
      </c>
      <c r="C10" s="8">
        <v>8</v>
      </c>
      <c r="D10" s="8" t="b">
        <v>0</v>
      </c>
      <c r="E10" s="8" t="str">
        <f t="shared" si="0"/>
        <v>Working Day</v>
      </c>
      <c r="F10" s="8">
        <v>6</v>
      </c>
      <c r="G10" s="8" t="str">
        <f t="shared" si="1"/>
        <v>Sat</v>
      </c>
      <c r="H10" s="8">
        <v>1</v>
      </c>
      <c r="I10" s="8" t="str">
        <f t="shared" si="2"/>
        <v>mist/cloudy</v>
      </c>
      <c r="J10" s="8">
        <v>0.24</v>
      </c>
      <c r="K10" s="8">
        <v>0.2</v>
      </c>
      <c r="L10" s="8">
        <v>0.75</v>
      </c>
      <c r="M10" s="8">
        <v>0</v>
      </c>
      <c r="N10" s="8">
        <v>1</v>
      </c>
      <c r="O10" s="8">
        <v>7</v>
      </c>
      <c r="P10" s="9">
        <v>8</v>
      </c>
      <c r="R10" s="20" t="s">
        <v>24</v>
      </c>
      <c r="S10" s="21">
        <v>249</v>
      </c>
    </row>
    <row r="11" spans="1:22" x14ac:dyDescent="0.25">
      <c r="A11" s="10">
        <v>10</v>
      </c>
      <c r="B11" s="11">
        <v>40544</v>
      </c>
      <c r="C11" s="12">
        <v>9</v>
      </c>
      <c r="D11" s="12" t="b">
        <v>0</v>
      </c>
      <c r="E11" s="12" t="str">
        <f t="shared" si="0"/>
        <v>Working Day</v>
      </c>
      <c r="F11" s="12">
        <v>6</v>
      </c>
      <c r="G11" s="12" t="str">
        <f t="shared" si="1"/>
        <v>Sat</v>
      </c>
      <c r="H11" s="12">
        <v>1</v>
      </c>
      <c r="I11" s="12" t="str">
        <f t="shared" si="2"/>
        <v>mist/cloudy</v>
      </c>
      <c r="J11" s="12">
        <v>0.32</v>
      </c>
      <c r="K11" s="12">
        <v>0.34849999999999998</v>
      </c>
      <c r="L11" s="12">
        <v>0.76</v>
      </c>
      <c r="M11" s="12">
        <v>0</v>
      </c>
      <c r="N11" s="12">
        <v>8</v>
      </c>
      <c r="O11" s="12">
        <v>6</v>
      </c>
      <c r="P11" s="13">
        <v>14</v>
      </c>
      <c r="R11" s="20" t="s">
        <v>25</v>
      </c>
      <c r="S11" s="21">
        <v>58304</v>
      </c>
      <c r="U11" s="45" t="s">
        <v>98</v>
      </c>
      <c r="V11" s="45"/>
    </row>
    <row r="12" spans="1:22" x14ac:dyDescent="0.25">
      <c r="A12" s="6">
        <v>11</v>
      </c>
      <c r="B12" s="7">
        <v>40544</v>
      </c>
      <c r="C12" s="8">
        <v>10</v>
      </c>
      <c r="D12" s="8" t="b">
        <v>0</v>
      </c>
      <c r="E12" s="8" t="str">
        <f t="shared" si="0"/>
        <v>Working Day</v>
      </c>
      <c r="F12" s="8">
        <v>6</v>
      </c>
      <c r="G12" s="8" t="str">
        <f t="shared" si="1"/>
        <v>Sat</v>
      </c>
      <c r="H12" s="8">
        <v>1</v>
      </c>
      <c r="I12" s="8" t="str">
        <f t="shared" si="2"/>
        <v>mist/cloudy</v>
      </c>
      <c r="J12" s="8">
        <v>0.38</v>
      </c>
      <c r="K12" s="8">
        <v>0.39389999999999997</v>
      </c>
      <c r="L12" s="8">
        <v>0.76</v>
      </c>
      <c r="M12" s="8">
        <v>0.25369999999999998</v>
      </c>
      <c r="N12" s="8">
        <v>12</v>
      </c>
      <c r="O12" s="8">
        <v>24</v>
      </c>
      <c r="P12" s="9">
        <v>36</v>
      </c>
      <c r="R12" s="20" t="s">
        <v>26</v>
      </c>
      <c r="S12" s="21">
        <v>1000</v>
      </c>
      <c r="U12" s="43"/>
      <c r="V12" s="44"/>
    </row>
    <row r="13" spans="1:22" x14ac:dyDescent="0.25">
      <c r="A13" s="10">
        <v>12</v>
      </c>
      <c r="B13" s="11">
        <v>40544</v>
      </c>
      <c r="C13" s="12">
        <v>11</v>
      </c>
      <c r="D13" s="12" t="b">
        <v>0</v>
      </c>
      <c r="E13" s="12" t="str">
        <f t="shared" si="0"/>
        <v>Working Day</v>
      </c>
      <c r="F13" s="12">
        <v>6</v>
      </c>
      <c r="G13" s="12" t="str">
        <f t="shared" si="1"/>
        <v>Sat</v>
      </c>
      <c r="H13" s="12">
        <v>1</v>
      </c>
      <c r="I13" s="12" t="str">
        <f t="shared" si="2"/>
        <v>mist/cloudy</v>
      </c>
      <c r="J13" s="12">
        <v>0.36</v>
      </c>
      <c r="K13" s="12">
        <v>0.33329999999999999</v>
      </c>
      <c r="L13" s="12">
        <v>0.81</v>
      </c>
      <c r="M13" s="12">
        <v>0.28360000000000002</v>
      </c>
      <c r="N13" s="12">
        <v>26</v>
      </c>
      <c r="O13" s="12">
        <v>30</v>
      </c>
      <c r="P13" s="13">
        <v>56</v>
      </c>
      <c r="R13" s="20" t="s">
        <v>27</v>
      </c>
      <c r="S13" s="21">
        <v>249</v>
      </c>
      <c r="U13" s="43" t="s">
        <v>17</v>
      </c>
      <c r="V13" s="44">
        <v>53.5678391959799</v>
      </c>
    </row>
    <row r="14" spans="1:22" x14ac:dyDescent="0.25">
      <c r="A14" s="6">
        <v>13</v>
      </c>
      <c r="B14" s="7">
        <v>40544</v>
      </c>
      <c r="C14" s="8">
        <v>12</v>
      </c>
      <c r="D14" s="8" t="b">
        <v>0</v>
      </c>
      <c r="E14" s="8" t="str">
        <f t="shared" si="0"/>
        <v>Working Day</v>
      </c>
      <c r="F14" s="8">
        <v>6</v>
      </c>
      <c r="G14" s="8" t="str">
        <f t="shared" si="1"/>
        <v>Sat</v>
      </c>
      <c r="H14" s="8">
        <v>1</v>
      </c>
      <c r="I14" s="8" t="str">
        <f t="shared" si="2"/>
        <v>mist/cloudy</v>
      </c>
      <c r="J14" s="8">
        <v>0.42</v>
      </c>
      <c r="K14" s="8">
        <v>0.42420000000000002</v>
      </c>
      <c r="L14" s="8">
        <v>0.77</v>
      </c>
      <c r="M14" s="8">
        <v>0.28360000000000002</v>
      </c>
      <c r="N14" s="8">
        <v>29</v>
      </c>
      <c r="O14" s="8">
        <v>55</v>
      </c>
      <c r="P14" s="9">
        <v>84</v>
      </c>
      <c r="R14" s="20" t="s">
        <v>28</v>
      </c>
      <c r="S14" s="21">
        <v>1</v>
      </c>
      <c r="U14" s="43" t="s">
        <v>18</v>
      </c>
      <c r="V14" s="44">
        <v>46</v>
      </c>
    </row>
    <row r="15" spans="1:22" x14ac:dyDescent="0.25">
      <c r="A15" s="10">
        <v>14</v>
      </c>
      <c r="B15" s="11">
        <v>40544</v>
      </c>
      <c r="C15" s="12">
        <v>13</v>
      </c>
      <c r="D15" s="12" t="b">
        <v>0</v>
      </c>
      <c r="E15" s="12" t="str">
        <f t="shared" si="0"/>
        <v>Working Day</v>
      </c>
      <c r="F15" s="12">
        <v>6</v>
      </c>
      <c r="G15" s="12" t="str">
        <f t="shared" si="1"/>
        <v>Sat</v>
      </c>
      <c r="H15" s="12">
        <v>2</v>
      </c>
      <c r="I15" s="12" t="str">
        <f t="shared" si="2"/>
        <v>light rain</v>
      </c>
      <c r="J15" s="12">
        <v>0.46</v>
      </c>
      <c r="K15" s="12">
        <v>0.45450000000000002</v>
      </c>
      <c r="L15" s="12">
        <v>0.72</v>
      </c>
      <c r="M15" s="12">
        <v>0.29849999999999999</v>
      </c>
      <c r="N15" s="12">
        <v>47</v>
      </c>
      <c r="O15" s="12">
        <v>47</v>
      </c>
      <c r="P15" s="13">
        <v>94</v>
      </c>
      <c r="U15" s="43" t="s">
        <v>19</v>
      </c>
      <c r="V15" s="44">
        <v>1</v>
      </c>
    </row>
    <row r="16" spans="1:22" x14ac:dyDescent="0.25">
      <c r="A16" s="6">
        <v>15</v>
      </c>
      <c r="B16" s="7">
        <v>40544</v>
      </c>
      <c r="C16" s="8">
        <v>14</v>
      </c>
      <c r="D16" s="8" t="b">
        <v>0</v>
      </c>
      <c r="E16" s="8" t="str">
        <f t="shared" si="0"/>
        <v>Working Day</v>
      </c>
      <c r="F16" s="8">
        <v>6</v>
      </c>
      <c r="G16" s="8" t="str">
        <f t="shared" si="1"/>
        <v>Sat</v>
      </c>
      <c r="H16" s="8">
        <v>2</v>
      </c>
      <c r="I16" s="8" t="str">
        <f t="shared" si="2"/>
        <v>light rain</v>
      </c>
      <c r="J16" s="8">
        <v>0.46</v>
      </c>
      <c r="K16" s="8">
        <v>0.45450000000000002</v>
      </c>
      <c r="L16" s="8">
        <v>0.72</v>
      </c>
      <c r="M16" s="8">
        <v>0.28360000000000002</v>
      </c>
      <c r="N16" s="8">
        <v>35</v>
      </c>
      <c r="O16" s="8">
        <v>71</v>
      </c>
      <c r="P16" s="9">
        <v>106</v>
      </c>
      <c r="R16" s="40" t="s">
        <v>88</v>
      </c>
      <c r="S16" s="39">
        <v>42435</v>
      </c>
      <c r="U16" s="43" t="s">
        <v>20</v>
      </c>
      <c r="V16" s="44">
        <v>47.936222834219464</v>
      </c>
    </row>
    <row r="17" spans="1:22" x14ac:dyDescent="0.25">
      <c r="A17" s="10">
        <v>16</v>
      </c>
      <c r="B17" s="11">
        <v>40544</v>
      </c>
      <c r="C17" s="12">
        <v>15</v>
      </c>
      <c r="D17" s="12" t="b">
        <v>0</v>
      </c>
      <c r="E17" s="12" t="str">
        <f t="shared" si="0"/>
        <v>Working Day</v>
      </c>
      <c r="F17" s="12">
        <v>6</v>
      </c>
      <c r="G17" s="12" t="str">
        <f t="shared" si="1"/>
        <v>Sat</v>
      </c>
      <c r="H17" s="12">
        <v>2</v>
      </c>
      <c r="I17" s="12" t="str">
        <f t="shared" si="2"/>
        <v>light rain</v>
      </c>
      <c r="J17" s="12">
        <v>0.44</v>
      </c>
      <c r="K17" s="12">
        <v>0.43940000000000001</v>
      </c>
      <c r="L17" s="12">
        <v>0.77</v>
      </c>
      <c r="M17" s="12">
        <v>0.29849999999999999</v>
      </c>
      <c r="N17" s="12">
        <v>40</v>
      </c>
      <c r="O17" s="12">
        <v>70</v>
      </c>
      <c r="P17" s="13">
        <v>110</v>
      </c>
      <c r="R17" s="40" t="s">
        <v>89</v>
      </c>
      <c r="S17" s="39">
        <v>15869</v>
      </c>
      <c r="U17" s="43" t="s">
        <v>21</v>
      </c>
      <c r="V17" s="44">
        <v>2297.8814596119432</v>
      </c>
    </row>
    <row r="18" spans="1:22" x14ac:dyDescent="0.25">
      <c r="A18" s="6">
        <v>17</v>
      </c>
      <c r="B18" s="7">
        <v>40544</v>
      </c>
      <c r="C18" s="8">
        <v>16</v>
      </c>
      <c r="D18" s="8" t="b">
        <v>0</v>
      </c>
      <c r="E18" s="8" t="str">
        <f t="shared" si="0"/>
        <v>Working Day</v>
      </c>
      <c r="F18" s="8">
        <v>6</v>
      </c>
      <c r="G18" s="8" t="str">
        <f t="shared" si="1"/>
        <v>Sat</v>
      </c>
      <c r="H18" s="8">
        <v>2</v>
      </c>
      <c r="I18" s="8" t="str">
        <f t="shared" si="2"/>
        <v>light rain</v>
      </c>
      <c r="J18" s="8">
        <v>0.42</v>
      </c>
      <c r="K18" s="8">
        <v>0.42420000000000002</v>
      </c>
      <c r="L18" s="8">
        <v>0.82</v>
      </c>
      <c r="M18" s="8">
        <v>0.29849999999999999</v>
      </c>
      <c r="N18" s="8">
        <v>41</v>
      </c>
      <c r="O18" s="8">
        <v>52</v>
      </c>
      <c r="P18" s="9">
        <v>93</v>
      </c>
      <c r="R18" s="40" t="s">
        <v>90</v>
      </c>
      <c r="S18" s="39">
        <f>SUM(S16:S17)</f>
        <v>58304</v>
      </c>
      <c r="U18" s="43" t="s">
        <v>22</v>
      </c>
      <c r="V18" s="44">
        <v>247</v>
      </c>
    </row>
    <row r="19" spans="1:22" x14ac:dyDescent="0.25">
      <c r="A19" s="10">
        <v>18</v>
      </c>
      <c r="B19" s="11">
        <v>40544</v>
      </c>
      <c r="C19" s="12">
        <v>17</v>
      </c>
      <c r="D19" s="12" t="b">
        <v>0</v>
      </c>
      <c r="E19" s="12" t="str">
        <f t="shared" si="0"/>
        <v>Working Day</v>
      </c>
      <c r="F19" s="12">
        <v>6</v>
      </c>
      <c r="G19" s="12" t="str">
        <f t="shared" si="1"/>
        <v>Sat</v>
      </c>
      <c r="H19" s="12">
        <v>2</v>
      </c>
      <c r="I19" s="12" t="str">
        <f t="shared" si="2"/>
        <v>light rain</v>
      </c>
      <c r="J19" s="12">
        <v>0.44</v>
      </c>
      <c r="K19" s="12">
        <v>0.2</v>
      </c>
      <c r="L19" s="12">
        <v>0.82</v>
      </c>
      <c r="M19" s="12">
        <v>0.28360000000000002</v>
      </c>
      <c r="N19" s="12">
        <v>15</v>
      </c>
      <c r="O19" s="12">
        <v>52</v>
      </c>
      <c r="P19" s="13">
        <v>67</v>
      </c>
      <c r="U19" s="43" t="s">
        <v>23</v>
      </c>
      <c r="V19" s="44">
        <v>0</v>
      </c>
    </row>
    <row r="20" spans="1:22" x14ac:dyDescent="0.25">
      <c r="A20" s="6">
        <v>19</v>
      </c>
      <c r="B20" s="7">
        <v>40544</v>
      </c>
      <c r="C20" s="8">
        <v>18</v>
      </c>
      <c r="D20" s="8" t="b">
        <v>0</v>
      </c>
      <c r="E20" s="8" t="str">
        <f t="shared" si="0"/>
        <v>Working Day</v>
      </c>
      <c r="F20" s="8">
        <v>6</v>
      </c>
      <c r="G20" s="8" t="str">
        <f t="shared" si="1"/>
        <v>Sat</v>
      </c>
      <c r="H20" s="8">
        <v>3</v>
      </c>
      <c r="I20" s="8" t="str">
        <f t="shared" si="2"/>
        <v>heavy rain</v>
      </c>
      <c r="J20" s="8">
        <v>0.42</v>
      </c>
      <c r="K20" s="8">
        <v>0.42420000000000002</v>
      </c>
      <c r="L20" s="8">
        <v>0.88</v>
      </c>
      <c r="M20" s="8">
        <v>0.25369999999999998</v>
      </c>
      <c r="N20" s="8">
        <v>9</v>
      </c>
      <c r="O20" s="8">
        <v>26</v>
      </c>
      <c r="P20" s="9">
        <v>35</v>
      </c>
      <c r="R20" s="19" t="s">
        <v>52</v>
      </c>
      <c r="S20" s="19"/>
      <c r="U20" s="43" t="s">
        <v>24</v>
      </c>
      <c r="V20" s="44">
        <v>247</v>
      </c>
    </row>
    <row r="21" spans="1:22" x14ac:dyDescent="0.25">
      <c r="A21" s="10">
        <v>20</v>
      </c>
      <c r="B21" s="11">
        <v>40544</v>
      </c>
      <c r="C21" s="12">
        <v>19</v>
      </c>
      <c r="D21" s="12" t="b">
        <v>0</v>
      </c>
      <c r="E21" s="12" t="str">
        <f t="shared" si="0"/>
        <v>Working Day</v>
      </c>
      <c r="F21" s="12">
        <v>6</v>
      </c>
      <c r="G21" s="12" t="str">
        <f t="shared" si="1"/>
        <v>Sat</v>
      </c>
      <c r="H21" s="12">
        <v>3</v>
      </c>
      <c r="I21" s="12" t="str">
        <f t="shared" si="2"/>
        <v>heavy rain</v>
      </c>
      <c r="J21" s="12">
        <v>0.42</v>
      </c>
      <c r="K21" s="12">
        <v>0.42420000000000002</v>
      </c>
      <c r="L21" s="12">
        <v>0.88</v>
      </c>
      <c r="M21" s="12">
        <v>0.25369999999999998</v>
      </c>
      <c r="N21" s="12">
        <v>6</v>
      </c>
      <c r="O21" s="12">
        <v>31</v>
      </c>
      <c r="P21" s="13">
        <v>37</v>
      </c>
      <c r="R21" s="18"/>
      <c r="S21" s="18"/>
      <c r="U21" s="43" t="s">
        <v>25</v>
      </c>
      <c r="V21" s="44">
        <v>53300</v>
      </c>
    </row>
    <row r="22" spans="1:22" x14ac:dyDescent="0.25">
      <c r="A22" s="6">
        <v>21</v>
      </c>
      <c r="B22" s="7">
        <v>40544</v>
      </c>
      <c r="C22" s="8">
        <v>20</v>
      </c>
      <c r="D22" s="8" t="b">
        <v>0</v>
      </c>
      <c r="E22" s="8" t="str">
        <f t="shared" si="0"/>
        <v>Working Day</v>
      </c>
      <c r="F22" s="8">
        <v>6</v>
      </c>
      <c r="G22" s="8" t="str">
        <f t="shared" si="1"/>
        <v>Sat</v>
      </c>
      <c r="H22" s="8">
        <v>2</v>
      </c>
      <c r="I22" s="8" t="str">
        <f t="shared" si="2"/>
        <v>light rain</v>
      </c>
      <c r="J22" s="8">
        <v>0.4</v>
      </c>
      <c r="K22" s="8">
        <v>0.40910000000000002</v>
      </c>
      <c r="L22" s="8">
        <v>0.87</v>
      </c>
      <c r="M22" s="8">
        <v>0.25369999999999998</v>
      </c>
      <c r="N22" s="8">
        <v>11</v>
      </c>
      <c r="O22" s="8">
        <v>25</v>
      </c>
      <c r="P22" s="9">
        <v>36</v>
      </c>
      <c r="R22" s="29" t="s">
        <v>17</v>
      </c>
      <c r="S22" s="30">
        <v>0.20589999999999961</v>
      </c>
      <c r="U22" s="43" t="s">
        <v>26</v>
      </c>
      <c r="V22" s="44">
        <v>995</v>
      </c>
    </row>
    <row r="23" spans="1:22" x14ac:dyDescent="0.25">
      <c r="A23" s="10">
        <v>22</v>
      </c>
      <c r="B23" s="11">
        <v>40544</v>
      </c>
      <c r="C23" s="12">
        <v>21</v>
      </c>
      <c r="D23" s="12" t="b">
        <v>0</v>
      </c>
      <c r="E23" s="12" t="str">
        <f t="shared" si="0"/>
        <v>Working Day</v>
      </c>
      <c r="F23" s="12">
        <v>6</v>
      </c>
      <c r="G23" s="12" t="str">
        <f t="shared" si="1"/>
        <v>Sat</v>
      </c>
      <c r="H23" s="12">
        <v>2</v>
      </c>
      <c r="I23" s="12" t="str">
        <f t="shared" si="2"/>
        <v>light rain</v>
      </c>
      <c r="J23" s="12">
        <v>0.4</v>
      </c>
      <c r="K23" s="12">
        <v>0.40910000000000002</v>
      </c>
      <c r="L23" s="12">
        <v>0.87</v>
      </c>
      <c r="M23" s="12">
        <v>0.19400000000000001</v>
      </c>
      <c r="N23" s="12">
        <v>3</v>
      </c>
      <c r="O23" s="12">
        <v>31</v>
      </c>
      <c r="P23" s="13">
        <v>34</v>
      </c>
      <c r="R23" s="29" t="s">
        <v>18</v>
      </c>
      <c r="S23" s="30">
        <v>0.2</v>
      </c>
    </row>
    <row r="24" spans="1:22" x14ac:dyDescent="0.25">
      <c r="A24" s="6">
        <v>23</v>
      </c>
      <c r="B24" s="7">
        <v>40544</v>
      </c>
      <c r="C24" s="8">
        <v>22</v>
      </c>
      <c r="D24" s="8" t="b">
        <v>0</v>
      </c>
      <c r="E24" s="8" t="str">
        <f t="shared" si="0"/>
        <v>Working Day</v>
      </c>
      <c r="F24" s="8">
        <v>6</v>
      </c>
      <c r="G24" s="8" t="str">
        <f t="shared" si="1"/>
        <v>Sat</v>
      </c>
      <c r="H24" s="8">
        <v>2</v>
      </c>
      <c r="I24" s="8" t="str">
        <f t="shared" si="2"/>
        <v>light rain</v>
      </c>
      <c r="J24" s="8">
        <v>0.4</v>
      </c>
      <c r="K24" s="8">
        <v>0.40910000000000002</v>
      </c>
      <c r="L24" s="8">
        <v>0.94</v>
      </c>
      <c r="M24" s="8">
        <v>0.22389999999999999</v>
      </c>
      <c r="N24" s="8">
        <v>11</v>
      </c>
      <c r="O24" s="8">
        <v>17</v>
      </c>
      <c r="P24" s="9">
        <v>28</v>
      </c>
      <c r="R24" s="29" t="s">
        <v>19</v>
      </c>
      <c r="S24" s="30">
        <v>0.22</v>
      </c>
    </row>
    <row r="25" spans="1:22" x14ac:dyDescent="0.25">
      <c r="A25" s="10">
        <v>24</v>
      </c>
      <c r="B25" s="11">
        <v>40544</v>
      </c>
      <c r="C25" s="12">
        <v>23</v>
      </c>
      <c r="D25" s="12" t="b">
        <v>0</v>
      </c>
      <c r="E25" s="12" t="str">
        <f t="shared" si="0"/>
        <v>Working Day</v>
      </c>
      <c r="F25" s="12">
        <v>6</v>
      </c>
      <c r="G25" s="12" t="str">
        <f t="shared" si="1"/>
        <v>Sat</v>
      </c>
      <c r="H25" s="12">
        <v>2</v>
      </c>
      <c r="I25" s="12" t="str">
        <f t="shared" si="2"/>
        <v>light rain</v>
      </c>
      <c r="J25" s="12">
        <v>0.46</v>
      </c>
      <c r="K25" s="12">
        <v>0.2</v>
      </c>
      <c r="L25" s="12">
        <v>0.88</v>
      </c>
      <c r="M25" s="12">
        <v>0.29849999999999999</v>
      </c>
      <c r="N25" s="12">
        <v>15</v>
      </c>
      <c r="O25" s="12">
        <v>24</v>
      </c>
      <c r="P25" s="13">
        <v>39</v>
      </c>
      <c r="R25" s="29" t="s">
        <v>20</v>
      </c>
      <c r="S25" s="18">
        <v>7.8977385544392681E-2</v>
      </c>
    </row>
    <row r="26" spans="1:22" x14ac:dyDescent="0.25">
      <c r="A26" s="6">
        <v>25</v>
      </c>
      <c r="B26" s="7">
        <v>40545</v>
      </c>
      <c r="C26" s="8">
        <v>0</v>
      </c>
      <c r="D26" s="8" t="b">
        <v>0</v>
      </c>
      <c r="E26" s="8" t="str">
        <f t="shared" si="0"/>
        <v>Working Day</v>
      </c>
      <c r="F26" s="8">
        <v>0</v>
      </c>
      <c r="G26" s="8" t="str">
        <f t="shared" si="1"/>
        <v>Sun</v>
      </c>
      <c r="H26" s="8">
        <v>2</v>
      </c>
      <c r="I26" s="8" t="str">
        <f t="shared" si="2"/>
        <v>light rain</v>
      </c>
      <c r="J26" s="8">
        <v>0.46</v>
      </c>
      <c r="K26" s="8">
        <v>0.45450000000000002</v>
      </c>
      <c r="L26" s="8">
        <v>0.88</v>
      </c>
      <c r="M26" s="8">
        <v>0.29849999999999999</v>
      </c>
      <c r="N26" s="8">
        <v>4</v>
      </c>
      <c r="O26" s="8">
        <v>13</v>
      </c>
      <c r="P26" s="9">
        <v>17</v>
      </c>
      <c r="R26" s="29" t="s">
        <v>21</v>
      </c>
      <c r="S26" s="18">
        <v>6.2374274274276456E-3</v>
      </c>
      <c r="U26" s="45" t="s">
        <v>99</v>
      </c>
      <c r="V26" s="45"/>
    </row>
    <row r="27" spans="1:22" x14ac:dyDescent="0.25">
      <c r="A27" s="10">
        <v>26</v>
      </c>
      <c r="B27" s="11">
        <v>40545</v>
      </c>
      <c r="C27" s="12">
        <v>1</v>
      </c>
      <c r="D27" s="12" t="b">
        <v>0</v>
      </c>
      <c r="E27" s="12" t="str">
        <f t="shared" si="0"/>
        <v>Working Day</v>
      </c>
      <c r="F27" s="12">
        <v>0</v>
      </c>
      <c r="G27" s="12" t="str">
        <f t="shared" si="1"/>
        <v>Sun</v>
      </c>
      <c r="H27" s="12">
        <v>2</v>
      </c>
      <c r="I27" s="12" t="str">
        <f t="shared" si="2"/>
        <v>light rain</v>
      </c>
      <c r="J27" s="12">
        <v>0.44</v>
      </c>
      <c r="K27" s="12">
        <v>0.43940000000000001</v>
      </c>
      <c r="L27" s="12">
        <v>0.94</v>
      </c>
      <c r="M27" s="12">
        <v>0.25369999999999998</v>
      </c>
      <c r="N27" s="12">
        <v>1</v>
      </c>
      <c r="O27" s="12">
        <v>16</v>
      </c>
      <c r="P27" s="13">
        <v>17</v>
      </c>
      <c r="R27" s="37" t="s">
        <v>22</v>
      </c>
      <c r="S27" s="18">
        <v>0.44</v>
      </c>
      <c r="U27" s="18"/>
      <c r="V27" s="18"/>
    </row>
    <row r="28" spans="1:22" x14ac:dyDescent="0.25">
      <c r="A28" s="6">
        <v>27</v>
      </c>
      <c r="B28" s="7">
        <v>40545</v>
      </c>
      <c r="C28" s="8">
        <v>2</v>
      </c>
      <c r="D28" s="8" t="b">
        <v>0</v>
      </c>
      <c r="E28" s="8" t="str">
        <f t="shared" si="0"/>
        <v>Working Day</v>
      </c>
      <c r="F28" s="8">
        <v>0</v>
      </c>
      <c r="G28" s="8" t="str">
        <f t="shared" si="1"/>
        <v>Sun</v>
      </c>
      <c r="H28" s="8">
        <v>2</v>
      </c>
      <c r="I28" s="8" t="str">
        <f t="shared" si="2"/>
        <v>light rain</v>
      </c>
      <c r="J28" s="8">
        <v>0.42</v>
      </c>
      <c r="K28" s="8">
        <v>0.42420000000000002</v>
      </c>
      <c r="L28" s="8">
        <v>1</v>
      </c>
      <c r="M28" s="8">
        <v>0.28360000000000002</v>
      </c>
      <c r="N28" s="8">
        <v>1</v>
      </c>
      <c r="O28" s="8">
        <v>8</v>
      </c>
      <c r="P28" s="9">
        <v>9</v>
      </c>
      <c r="R28" s="29" t="s">
        <v>23</v>
      </c>
      <c r="S28" s="30">
        <v>0.02</v>
      </c>
      <c r="U28" s="43" t="s">
        <v>17</v>
      </c>
      <c r="V28" s="44">
        <v>4.9266331658291458</v>
      </c>
    </row>
    <row r="29" spans="1:22" x14ac:dyDescent="0.25">
      <c r="A29" s="10">
        <v>28</v>
      </c>
      <c r="B29" s="11">
        <v>40545</v>
      </c>
      <c r="C29" s="12">
        <v>3</v>
      </c>
      <c r="D29" s="12" t="b">
        <v>0</v>
      </c>
      <c r="E29" s="12" t="str">
        <f t="shared" si="0"/>
        <v>Working Day</v>
      </c>
      <c r="F29" s="12">
        <v>0</v>
      </c>
      <c r="G29" s="12" t="str">
        <f t="shared" si="1"/>
        <v>Sun</v>
      </c>
      <c r="H29" s="12">
        <v>2</v>
      </c>
      <c r="I29" s="12" t="str">
        <f t="shared" si="2"/>
        <v>light rain</v>
      </c>
      <c r="J29" s="12">
        <v>0.46</v>
      </c>
      <c r="K29" s="12">
        <v>0.45450000000000002</v>
      </c>
      <c r="L29" s="12">
        <v>0.94</v>
      </c>
      <c r="M29" s="12">
        <v>0.19400000000000001</v>
      </c>
      <c r="N29" s="12">
        <v>2</v>
      </c>
      <c r="O29" s="12">
        <v>4</v>
      </c>
      <c r="P29" s="13">
        <v>6</v>
      </c>
      <c r="R29" s="29" t="s">
        <v>24</v>
      </c>
      <c r="S29" s="30">
        <v>0.46</v>
      </c>
      <c r="U29" s="43" t="s">
        <v>18</v>
      </c>
      <c r="V29" s="44">
        <v>3</v>
      </c>
    </row>
    <row r="30" spans="1:22" x14ac:dyDescent="0.25">
      <c r="A30" s="6">
        <v>29</v>
      </c>
      <c r="B30" s="7">
        <v>40545</v>
      </c>
      <c r="C30" s="8">
        <v>4</v>
      </c>
      <c r="D30" s="8" t="b">
        <v>0</v>
      </c>
      <c r="E30" s="8" t="str">
        <f t="shared" si="0"/>
        <v>Working Day</v>
      </c>
      <c r="F30" s="8">
        <v>0</v>
      </c>
      <c r="G30" s="8" t="str">
        <f t="shared" si="1"/>
        <v>Sun</v>
      </c>
      <c r="H30" s="8">
        <v>2</v>
      </c>
      <c r="I30" s="8" t="str">
        <f t="shared" si="2"/>
        <v>light rain</v>
      </c>
      <c r="J30" s="8">
        <v>0.46</v>
      </c>
      <c r="K30" s="8">
        <v>0.2</v>
      </c>
      <c r="L30" s="8">
        <v>0.94</v>
      </c>
      <c r="M30" s="8">
        <v>0.19400000000000001</v>
      </c>
      <c r="N30" s="8">
        <v>2</v>
      </c>
      <c r="O30" s="8">
        <v>1</v>
      </c>
      <c r="P30" s="9">
        <v>3</v>
      </c>
      <c r="R30" s="29" t="s">
        <v>25</v>
      </c>
      <c r="S30" s="30">
        <v>205.89999999999961</v>
      </c>
      <c r="U30" s="43" t="s">
        <v>19</v>
      </c>
      <c r="V30" s="44">
        <v>0</v>
      </c>
    </row>
    <row r="31" spans="1:22" x14ac:dyDescent="0.25">
      <c r="A31" s="10">
        <v>30</v>
      </c>
      <c r="B31" s="11">
        <v>40545</v>
      </c>
      <c r="C31" s="12">
        <v>6</v>
      </c>
      <c r="D31" s="12" t="b">
        <v>0</v>
      </c>
      <c r="E31" s="12" t="str">
        <f t="shared" si="0"/>
        <v>Working Day</v>
      </c>
      <c r="F31" s="12">
        <v>0</v>
      </c>
      <c r="G31" s="12" t="str">
        <f t="shared" si="1"/>
        <v>Sun</v>
      </c>
      <c r="H31" s="12">
        <v>3</v>
      </c>
      <c r="I31" s="12" t="str">
        <f t="shared" si="2"/>
        <v>heavy rain</v>
      </c>
      <c r="J31" s="12">
        <v>0.42</v>
      </c>
      <c r="K31" s="12">
        <v>0.42420000000000002</v>
      </c>
      <c r="L31" s="12">
        <v>0.77</v>
      </c>
      <c r="M31" s="12">
        <v>0.29849999999999999</v>
      </c>
      <c r="N31" s="12">
        <v>0</v>
      </c>
      <c r="O31" s="12">
        <v>2</v>
      </c>
      <c r="P31" s="13">
        <v>2</v>
      </c>
      <c r="R31" s="29" t="s">
        <v>26</v>
      </c>
      <c r="S31" s="30">
        <v>1000</v>
      </c>
      <c r="U31" s="43" t="s">
        <v>20</v>
      </c>
      <c r="V31" s="44">
        <v>7.6604004222285145</v>
      </c>
    </row>
    <row r="32" spans="1:22" x14ac:dyDescent="0.25">
      <c r="A32" s="6">
        <v>31</v>
      </c>
      <c r="B32" s="7">
        <v>40545</v>
      </c>
      <c r="C32" s="8">
        <v>7</v>
      </c>
      <c r="D32" s="8" t="b">
        <v>0</v>
      </c>
      <c r="E32" s="8" t="str">
        <f t="shared" si="0"/>
        <v>Working Day</v>
      </c>
      <c r="F32" s="8">
        <v>0</v>
      </c>
      <c r="G32" s="8" t="str">
        <f t="shared" si="1"/>
        <v>Sun</v>
      </c>
      <c r="H32" s="8">
        <v>2</v>
      </c>
      <c r="I32" s="8" t="str">
        <f t="shared" si="2"/>
        <v>light rain</v>
      </c>
      <c r="J32" s="8">
        <v>0.4</v>
      </c>
      <c r="K32" s="8">
        <v>0.40910000000000002</v>
      </c>
      <c r="L32" s="8">
        <v>0.76</v>
      </c>
      <c r="M32" s="8">
        <v>0.19400000000000001</v>
      </c>
      <c r="N32" s="8">
        <v>0</v>
      </c>
      <c r="O32" s="8">
        <v>1</v>
      </c>
      <c r="P32" s="9">
        <v>1</v>
      </c>
      <c r="U32" s="43" t="s">
        <v>21</v>
      </c>
      <c r="V32" s="44">
        <v>58.6817346288788</v>
      </c>
    </row>
    <row r="33" spans="1:22" x14ac:dyDescent="0.25">
      <c r="A33" s="10">
        <v>32</v>
      </c>
      <c r="B33" s="11">
        <v>40545</v>
      </c>
      <c r="C33" s="12">
        <v>8</v>
      </c>
      <c r="D33" s="12" t="b">
        <v>0</v>
      </c>
      <c r="E33" s="12" t="str">
        <f t="shared" si="0"/>
        <v>Working Day</v>
      </c>
      <c r="F33" s="12">
        <v>0</v>
      </c>
      <c r="G33" s="12" t="str">
        <f t="shared" si="1"/>
        <v>Sun</v>
      </c>
      <c r="H33" s="12">
        <v>3</v>
      </c>
      <c r="I33" s="12" t="str">
        <f t="shared" si="2"/>
        <v>heavy rain</v>
      </c>
      <c r="J33" s="12">
        <v>0.4</v>
      </c>
      <c r="K33" s="12">
        <v>0.40910000000000002</v>
      </c>
      <c r="L33" s="12">
        <v>0.71</v>
      </c>
      <c r="M33" s="12">
        <v>0.22389999999999999</v>
      </c>
      <c r="N33" s="12">
        <v>0</v>
      </c>
      <c r="O33" s="12">
        <v>8</v>
      </c>
      <c r="P33" s="13">
        <v>8</v>
      </c>
      <c r="U33" s="43" t="s">
        <v>22</v>
      </c>
      <c r="V33" s="44">
        <v>62</v>
      </c>
    </row>
    <row r="34" spans="1:22" x14ac:dyDescent="0.25">
      <c r="A34" s="6">
        <v>33</v>
      </c>
      <c r="B34" s="7">
        <v>40545</v>
      </c>
      <c r="C34" s="8">
        <v>9</v>
      </c>
      <c r="D34" s="8" t="b">
        <v>0</v>
      </c>
      <c r="E34" s="8" t="str">
        <f t="shared" si="0"/>
        <v>Working Day</v>
      </c>
      <c r="F34" s="8">
        <v>0</v>
      </c>
      <c r="G34" s="8" t="str">
        <f t="shared" si="1"/>
        <v>Sun</v>
      </c>
      <c r="H34" s="8">
        <v>2</v>
      </c>
      <c r="I34" s="8" t="str">
        <f t="shared" si="2"/>
        <v>light rain</v>
      </c>
      <c r="J34" s="8">
        <v>0.38</v>
      </c>
      <c r="K34" s="8">
        <v>0.2</v>
      </c>
      <c r="L34" s="8">
        <v>0.76</v>
      </c>
      <c r="M34" s="8">
        <v>0.22389999999999999</v>
      </c>
      <c r="N34" s="8">
        <v>1</v>
      </c>
      <c r="O34" s="8">
        <v>19</v>
      </c>
      <c r="P34" s="9">
        <v>20</v>
      </c>
      <c r="U34" s="43" t="s">
        <v>23</v>
      </c>
      <c r="V34" s="44">
        <v>0</v>
      </c>
    </row>
    <row r="35" spans="1:22" x14ac:dyDescent="0.25">
      <c r="A35" s="10">
        <v>34</v>
      </c>
      <c r="B35" s="11">
        <v>40545</v>
      </c>
      <c r="C35" s="12">
        <v>10</v>
      </c>
      <c r="D35" s="12" t="b">
        <v>0</v>
      </c>
      <c r="E35" s="12" t="str">
        <f t="shared" si="0"/>
        <v>Working Day</v>
      </c>
      <c r="F35" s="12">
        <v>0</v>
      </c>
      <c r="G35" s="12" t="str">
        <f t="shared" si="1"/>
        <v>Sun</v>
      </c>
      <c r="H35" s="12">
        <v>2</v>
      </c>
      <c r="I35" s="12" t="str">
        <f t="shared" si="2"/>
        <v>light rain</v>
      </c>
      <c r="J35" s="12">
        <v>0.36</v>
      </c>
      <c r="K35" s="12">
        <v>0.34849999999999998</v>
      </c>
      <c r="L35" s="12">
        <v>0.81</v>
      </c>
      <c r="M35" s="12">
        <v>0.22389999999999999</v>
      </c>
      <c r="N35" s="12">
        <v>7</v>
      </c>
      <c r="O35" s="12">
        <v>46</v>
      </c>
      <c r="P35" s="13">
        <v>53</v>
      </c>
      <c r="U35" s="43" t="s">
        <v>24</v>
      </c>
      <c r="V35" s="44">
        <v>62</v>
      </c>
    </row>
    <row r="36" spans="1:22" x14ac:dyDescent="0.25">
      <c r="A36" s="6">
        <v>35</v>
      </c>
      <c r="B36" s="7">
        <v>40545</v>
      </c>
      <c r="C36" s="8">
        <v>11</v>
      </c>
      <c r="D36" s="8" t="b">
        <v>0</v>
      </c>
      <c r="E36" s="8" t="str">
        <f t="shared" si="0"/>
        <v>Working Day</v>
      </c>
      <c r="F36" s="8">
        <v>0</v>
      </c>
      <c r="G36" s="8" t="str">
        <f t="shared" si="1"/>
        <v>Sun</v>
      </c>
      <c r="H36" s="8">
        <v>2</v>
      </c>
      <c r="I36" s="8" t="str">
        <f t="shared" si="2"/>
        <v>light rain</v>
      </c>
      <c r="J36" s="8">
        <v>0.36</v>
      </c>
      <c r="K36" s="8">
        <v>0.33329999999999999</v>
      </c>
      <c r="L36" s="8">
        <v>0.71</v>
      </c>
      <c r="M36" s="8">
        <v>0.25369999999999998</v>
      </c>
      <c r="N36" s="8">
        <v>16</v>
      </c>
      <c r="O36" s="8">
        <v>54</v>
      </c>
      <c r="P36" s="9">
        <v>70</v>
      </c>
      <c r="U36" s="43" t="s">
        <v>25</v>
      </c>
      <c r="V36" s="44">
        <v>4902</v>
      </c>
    </row>
    <row r="37" spans="1:22" x14ac:dyDescent="0.25">
      <c r="A37" s="10">
        <v>36</v>
      </c>
      <c r="B37" s="11">
        <v>40545</v>
      </c>
      <c r="C37" s="12">
        <v>12</v>
      </c>
      <c r="D37" s="12" t="b">
        <v>0</v>
      </c>
      <c r="E37" s="12" t="str">
        <f t="shared" si="0"/>
        <v>Working Day</v>
      </c>
      <c r="F37" s="12">
        <v>0</v>
      </c>
      <c r="G37" s="12" t="str">
        <f t="shared" si="1"/>
        <v>Sun</v>
      </c>
      <c r="H37" s="12">
        <v>2</v>
      </c>
      <c r="I37" s="12" t="str">
        <f t="shared" si="2"/>
        <v>light rain</v>
      </c>
      <c r="J37" s="12">
        <v>0.36</v>
      </c>
      <c r="K37" s="12">
        <v>0.33329999999999999</v>
      </c>
      <c r="L37" s="12">
        <v>0.66</v>
      </c>
      <c r="M37" s="12">
        <v>0.29849999999999999</v>
      </c>
      <c r="N37" s="12">
        <v>20</v>
      </c>
      <c r="O37" s="12">
        <v>73</v>
      </c>
      <c r="P37" s="13">
        <v>93</v>
      </c>
      <c r="U37" s="43" t="s">
        <v>26</v>
      </c>
      <c r="V37" s="44">
        <v>995</v>
      </c>
    </row>
    <row r="38" spans="1:22" x14ac:dyDescent="0.25">
      <c r="A38" s="6">
        <v>37</v>
      </c>
      <c r="B38" s="7">
        <v>40545</v>
      </c>
      <c r="C38" s="8">
        <v>13</v>
      </c>
      <c r="D38" s="8" t="b">
        <v>0</v>
      </c>
      <c r="E38" s="8" t="str">
        <f t="shared" si="0"/>
        <v>Working Day</v>
      </c>
      <c r="F38" s="8">
        <v>0</v>
      </c>
      <c r="G38" s="8" t="str">
        <f t="shared" si="1"/>
        <v>Sun</v>
      </c>
      <c r="H38" s="8">
        <v>2</v>
      </c>
      <c r="I38" s="8" t="str">
        <f t="shared" si="2"/>
        <v>light rain</v>
      </c>
      <c r="J38" s="8">
        <v>0.36</v>
      </c>
      <c r="K38" s="8">
        <v>0.34849999999999998</v>
      </c>
      <c r="L38" s="8">
        <v>0.66</v>
      </c>
      <c r="M38" s="8">
        <v>0.1343</v>
      </c>
      <c r="N38" s="8">
        <v>11</v>
      </c>
      <c r="O38" s="8">
        <v>64</v>
      </c>
      <c r="P38" s="9">
        <v>75</v>
      </c>
    </row>
    <row r="39" spans="1:22" x14ac:dyDescent="0.25">
      <c r="A39" s="10">
        <v>38</v>
      </c>
      <c r="B39" s="11">
        <v>40545</v>
      </c>
      <c r="C39" s="12">
        <v>14</v>
      </c>
      <c r="D39" s="12" t="b">
        <v>0</v>
      </c>
      <c r="E39" s="12" t="str">
        <f t="shared" si="0"/>
        <v>Working Day</v>
      </c>
      <c r="F39" s="12">
        <v>0</v>
      </c>
      <c r="G39" s="12" t="str">
        <f t="shared" si="1"/>
        <v>Sun</v>
      </c>
      <c r="H39" s="12">
        <v>3</v>
      </c>
      <c r="I39" s="12" t="str">
        <f t="shared" si="2"/>
        <v>heavy rain</v>
      </c>
      <c r="J39" s="12">
        <v>0.36</v>
      </c>
      <c r="K39" s="12">
        <v>0.2</v>
      </c>
      <c r="L39" s="12">
        <v>0.76</v>
      </c>
      <c r="M39" s="12">
        <v>0.19400000000000001</v>
      </c>
      <c r="N39" s="12">
        <v>4</v>
      </c>
      <c r="O39" s="12">
        <v>55</v>
      </c>
      <c r="P39" s="13">
        <v>59</v>
      </c>
    </row>
    <row r="40" spans="1:22" x14ac:dyDescent="0.25">
      <c r="A40" s="6">
        <v>39</v>
      </c>
      <c r="B40" s="7">
        <v>40545</v>
      </c>
      <c r="C40" s="8">
        <v>15</v>
      </c>
      <c r="D40" s="8" t="b">
        <v>0</v>
      </c>
      <c r="E40" s="8" t="str">
        <f t="shared" si="0"/>
        <v>Working Day</v>
      </c>
      <c r="F40" s="8">
        <v>0</v>
      </c>
      <c r="G40" s="8" t="str">
        <f t="shared" si="1"/>
        <v>Sun</v>
      </c>
      <c r="H40" s="8">
        <v>3</v>
      </c>
      <c r="I40" s="8" t="str">
        <f t="shared" si="2"/>
        <v>heavy rain</v>
      </c>
      <c r="J40" s="8">
        <v>0.34</v>
      </c>
      <c r="K40" s="8">
        <v>0.33329999999999999</v>
      </c>
      <c r="L40" s="8">
        <v>0.81</v>
      </c>
      <c r="M40" s="8">
        <v>0.16420000000000001</v>
      </c>
      <c r="N40" s="8">
        <v>19</v>
      </c>
      <c r="O40" s="8">
        <v>55</v>
      </c>
      <c r="P40" s="9">
        <v>74</v>
      </c>
    </row>
    <row r="41" spans="1:22" x14ac:dyDescent="0.25">
      <c r="A41" s="10">
        <v>40</v>
      </c>
      <c r="B41" s="11">
        <v>40545</v>
      </c>
      <c r="C41" s="12">
        <v>16</v>
      </c>
      <c r="D41" s="12" t="b">
        <v>0</v>
      </c>
      <c r="E41" s="12" t="str">
        <f t="shared" si="0"/>
        <v>Working Day</v>
      </c>
      <c r="F41" s="12">
        <v>0</v>
      </c>
      <c r="G41" s="12" t="str">
        <f t="shared" si="1"/>
        <v>Sun</v>
      </c>
      <c r="H41" s="12">
        <v>3</v>
      </c>
      <c r="I41" s="12" t="str">
        <f t="shared" si="2"/>
        <v>heavy rain</v>
      </c>
      <c r="J41" s="12">
        <v>0.34</v>
      </c>
      <c r="K41" s="12">
        <v>0.33329999999999999</v>
      </c>
      <c r="L41" s="12">
        <v>0.71</v>
      </c>
      <c r="M41" s="12">
        <v>0.16420000000000001</v>
      </c>
      <c r="N41" s="12">
        <v>9</v>
      </c>
      <c r="O41" s="12">
        <v>67</v>
      </c>
      <c r="P41" s="13">
        <v>76</v>
      </c>
    </row>
    <row r="42" spans="1:22" x14ac:dyDescent="0.25">
      <c r="A42" s="6">
        <v>41</v>
      </c>
      <c r="B42" s="7">
        <v>40545</v>
      </c>
      <c r="C42" s="8">
        <v>17</v>
      </c>
      <c r="D42" s="8" t="b">
        <v>0</v>
      </c>
      <c r="E42" s="8" t="str">
        <f t="shared" si="0"/>
        <v>Working Day</v>
      </c>
      <c r="F42" s="8">
        <v>0</v>
      </c>
      <c r="G42" s="8" t="str">
        <f t="shared" si="1"/>
        <v>Sun</v>
      </c>
      <c r="H42" s="8">
        <v>1</v>
      </c>
      <c r="I42" s="8" t="str">
        <f t="shared" si="2"/>
        <v>mist/cloudy</v>
      </c>
      <c r="J42" s="8">
        <v>0.34</v>
      </c>
      <c r="K42" s="8">
        <v>0.33329999999999999</v>
      </c>
      <c r="L42" s="8">
        <v>0.56999999999999995</v>
      </c>
      <c r="M42" s="8">
        <v>0.19400000000000001</v>
      </c>
      <c r="N42" s="8">
        <v>7</v>
      </c>
      <c r="O42" s="8">
        <v>58</v>
      </c>
      <c r="P42" s="9">
        <v>65</v>
      </c>
    </row>
    <row r="43" spans="1:22" x14ac:dyDescent="0.25">
      <c r="A43" s="10">
        <v>42</v>
      </c>
      <c r="B43" s="11">
        <v>40545</v>
      </c>
      <c r="C43" s="12">
        <v>18</v>
      </c>
      <c r="D43" s="12" t="b">
        <v>0</v>
      </c>
      <c r="E43" s="12" t="str">
        <f t="shared" si="0"/>
        <v>Working Day</v>
      </c>
      <c r="F43" s="12">
        <v>0</v>
      </c>
      <c r="G43" s="12" t="str">
        <f t="shared" si="1"/>
        <v>Sun</v>
      </c>
      <c r="H43" s="12">
        <v>2</v>
      </c>
      <c r="I43" s="12" t="str">
        <f t="shared" si="2"/>
        <v>light rain</v>
      </c>
      <c r="J43" s="12">
        <v>0.36</v>
      </c>
      <c r="K43" s="12">
        <v>0.33329999999999999</v>
      </c>
      <c r="L43" s="12">
        <v>0.46</v>
      </c>
      <c r="M43" s="12">
        <v>0.32840000000000003</v>
      </c>
      <c r="N43" s="12">
        <v>10</v>
      </c>
      <c r="O43" s="12">
        <v>43</v>
      </c>
      <c r="P43" s="13">
        <v>53</v>
      </c>
    </row>
    <row r="44" spans="1:22" x14ac:dyDescent="0.25">
      <c r="A44" s="6">
        <v>43</v>
      </c>
      <c r="B44" s="7">
        <v>40545</v>
      </c>
      <c r="C44" s="8">
        <v>19</v>
      </c>
      <c r="D44" s="8" t="b">
        <v>0</v>
      </c>
      <c r="E44" s="8" t="str">
        <f t="shared" si="0"/>
        <v>Working Day</v>
      </c>
      <c r="F44" s="8">
        <v>0</v>
      </c>
      <c r="G44" s="8" t="str">
        <f t="shared" si="1"/>
        <v>Sun</v>
      </c>
      <c r="H44" s="8">
        <v>1</v>
      </c>
      <c r="I44" s="8" t="str">
        <f t="shared" si="2"/>
        <v>mist/cloudy</v>
      </c>
      <c r="J44" s="8">
        <v>0.32</v>
      </c>
      <c r="K44" s="8">
        <v>0.28789999999999999</v>
      </c>
      <c r="L44" s="8">
        <v>0.42</v>
      </c>
      <c r="M44" s="8">
        <v>0.44779999999999998</v>
      </c>
      <c r="N44" s="8">
        <v>1</v>
      </c>
      <c r="O44" s="8">
        <v>29</v>
      </c>
      <c r="P44" s="9">
        <v>30</v>
      </c>
    </row>
    <row r="45" spans="1:22" x14ac:dyDescent="0.25">
      <c r="A45" s="10">
        <v>44</v>
      </c>
      <c r="B45" s="11">
        <v>40545</v>
      </c>
      <c r="C45" s="12">
        <v>20</v>
      </c>
      <c r="D45" s="12" t="b">
        <v>0</v>
      </c>
      <c r="E45" s="12" t="str">
        <f t="shared" si="0"/>
        <v>Working Day</v>
      </c>
      <c r="F45" s="12">
        <v>0</v>
      </c>
      <c r="G45" s="12" t="str">
        <f t="shared" si="1"/>
        <v>Sun</v>
      </c>
      <c r="H45" s="12">
        <v>1</v>
      </c>
      <c r="I45" s="12" t="str">
        <f t="shared" si="2"/>
        <v>mist/cloudy</v>
      </c>
      <c r="J45" s="12">
        <v>0.3</v>
      </c>
      <c r="K45" s="12">
        <v>0.2</v>
      </c>
      <c r="L45" s="12">
        <v>0.39</v>
      </c>
      <c r="M45" s="12">
        <v>0.35820000000000002</v>
      </c>
      <c r="N45" s="12">
        <v>5</v>
      </c>
      <c r="O45" s="12">
        <v>17</v>
      </c>
      <c r="P45" s="13">
        <v>22</v>
      </c>
    </row>
    <row r="46" spans="1:22" x14ac:dyDescent="0.25">
      <c r="A46" s="6">
        <v>45</v>
      </c>
      <c r="B46" s="7">
        <v>40545</v>
      </c>
      <c r="C46" s="8">
        <v>21</v>
      </c>
      <c r="D46" s="8" t="b">
        <v>0</v>
      </c>
      <c r="E46" s="8" t="str">
        <f t="shared" si="0"/>
        <v>Working Day</v>
      </c>
      <c r="F46" s="8">
        <v>0</v>
      </c>
      <c r="G46" s="8" t="str">
        <f t="shared" si="1"/>
        <v>Sun</v>
      </c>
      <c r="H46" s="8">
        <v>1</v>
      </c>
      <c r="I46" s="8" t="str">
        <f t="shared" si="2"/>
        <v>mist/cloudy</v>
      </c>
      <c r="J46" s="8">
        <v>0.26</v>
      </c>
      <c r="K46" s="8">
        <v>0.2273</v>
      </c>
      <c r="L46" s="8">
        <v>0.44</v>
      </c>
      <c r="M46" s="8">
        <v>0.32840000000000003</v>
      </c>
      <c r="N46" s="8">
        <v>11</v>
      </c>
      <c r="O46" s="8">
        <v>20</v>
      </c>
      <c r="P46" s="9">
        <v>31</v>
      </c>
    </row>
    <row r="47" spans="1:22" x14ac:dyDescent="0.25">
      <c r="A47" s="10">
        <v>46</v>
      </c>
      <c r="B47" s="11">
        <v>40545</v>
      </c>
      <c r="C47" s="12">
        <v>22</v>
      </c>
      <c r="D47" s="12" t="b">
        <v>0</v>
      </c>
      <c r="E47" s="12" t="str">
        <f t="shared" si="0"/>
        <v>Working Day</v>
      </c>
      <c r="F47" s="12">
        <v>0</v>
      </c>
      <c r="G47" s="12" t="str">
        <f t="shared" si="1"/>
        <v>Sun</v>
      </c>
      <c r="H47" s="12">
        <v>1</v>
      </c>
      <c r="I47" s="12" t="str">
        <f t="shared" si="2"/>
        <v>mist/cloudy</v>
      </c>
      <c r="J47" s="12">
        <v>0.24</v>
      </c>
      <c r="K47" s="12">
        <v>0.21210000000000001</v>
      </c>
      <c r="L47" s="12">
        <v>0.44</v>
      </c>
      <c r="M47" s="12">
        <v>0.29849999999999999</v>
      </c>
      <c r="N47" s="12">
        <v>0</v>
      </c>
      <c r="O47" s="12">
        <v>9</v>
      </c>
      <c r="P47" s="13">
        <v>9</v>
      </c>
    </row>
    <row r="48" spans="1:22" x14ac:dyDescent="0.25">
      <c r="A48" s="6">
        <v>47</v>
      </c>
      <c r="B48" s="7">
        <v>40545</v>
      </c>
      <c r="C48" s="8">
        <v>23</v>
      </c>
      <c r="D48" s="8" t="b">
        <v>0</v>
      </c>
      <c r="E48" s="8" t="str">
        <f t="shared" si="0"/>
        <v>Working Day</v>
      </c>
      <c r="F48" s="8">
        <v>0</v>
      </c>
      <c r="G48" s="8" t="str">
        <f t="shared" si="1"/>
        <v>Sun</v>
      </c>
      <c r="H48" s="8">
        <v>1</v>
      </c>
      <c r="I48" s="8" t="str">
        <f t="shared" si="2"/>
        <v>mist/cloudy</v>
      </c>
      <c r="J48" s="8">
        <v>0.22</v>
      </c>
      <c r="K48" s="8">
        <v>0.2273</v>
      </c>
      <c r="L48" s="8">
        <v>0.47</v>
      </c>
      <c r="M48" s="8">
        <v>0.16420000000000001</v>
      </c>
      <c r="N48" s="8">
        <v>0</v>
      </c>
      <c r="O48" s="8">
        <v>8</v>
      </c>
      <c r="P48" s="9">
        <v>8</v>
      </c>
    </row>
    <row r="49" spans="1:16" x14ac:dyDescent="0.25">
      <c r="A49" s="10">
        <v>48</v>
      </c>
      <c r="B49" s="11">
        <v>40546</v>
      </c>
      <c r="C49" s="12">
        <v>0</v>
      </c>
      <c r="D49" s="12" t="b">
        <v>0</v>
      </c>
      <c r="E49" s="12" t="str">
        <f t="shared" si="0"/>
        <v>Working Day</v>
      </c>
      <c r="F49" s="12">
        <v>1</v>
      </c>
      <c r="G49" s="12" t="str">
        <f t="shared" si="1"/>
        <v>Mon</v>
      </c>
      <c r="H49" s="12">
        <v>1</v>
      </c>
      <c r="I49" s="12" t="str">
        <f t="shared" si="2"/>
        <v>mist/cloudy</v>
      </c>
      <c r="J49" s="12">
        <v>0.22</v>
      </c>
      <c r="K49" s="12">
        <v>0.19700000000000001</v>
      </c>
      <c r="L49" s="12">
        <v>0.44</v>
      </c>
      <c r="M49" s="12">
        <v>0.35820000000000002</v>
      </c>
      <c r="N49" s="12">
        <v>0</v>
      </c>
      <c r="O49" s="12">
        <v>5</v>
      </c>
      <c r="P49" s="13">
        <v>5</v>
      </c>
    </row>
    <row r="50" spans="1:16" x14ac:dyDescent="0.25">
      <c r="A50" s="6">
        <v>49</v>
      </c>
      <c r="B50" s="7">
        <v>40546</v>
      </c>
      <c r="C50" s="8">
        <v>1</v>
      </c>
      <c r="D50" s="8" t="b">
        <v>0</v>
      </c>
      <c r="E50" s="8" t="str">
        <f t="shared" si="0"/>
        <v>Working Day</v>
      </c>
      <c r="F50" s="8">
        <v>1</v>
      </c>
      <c r="G50" s="8" t="str">
        <f t="shared" si="1"/>
        <v>Mon</v>
      </c>
      <c r="H50" s="8">
        <v>1</v>
      </c>
      <c r="I50" s="8" t="str">
        <f t="shared" si="2"/>
        <v>mist/cloudy</v>
      </c>
      <c r="J50" s="8">
        <v>0.2</v>
      </c>
      <c r="K50" s="8">
        <v>0.2</v>
      </c>
      <c r="L50" s="8">
        <v>0.44</v>
      </c>
      <c r="M50" s="8">
        <v>0.41789999999999999</v>
      </c>
      <c r="N50" s="8">
        <v>0</v>
      </c>
      <c r="O50" s="8">
        <v>2</v>
      </c>
      <c r="P50" s="9">
        <v>2</v>
      </c>
    </row>
    <row r="51" spans="1:16" x14ac:dyDescent="0.25">
      <c r="A51" s="10">
        <v>50</v>
      </c>
      <c r="B51" s="11">
        <v>40546</v>
      </c>
      <c r="C51" s="12">
        <v>4</v>
      </c>
      <c r="D51" s="12" t="b">
        <v>0</v>
      </c>
      <c r="E51" s="12" t="str">
        <f t="shared" si="0"/>
        <v>Working Day</v>
      </c>
      <c r="F51" s="12">
        <v>1</v>
      </c>
      <c r="G51" s="12" t="str">
        <f t="shared" si="1"/>
        <v>Mon</v>
      </c>
      <c r="H51" s="12">
        <v>1</v>
      </c>
      <c r="I51" s="12" t="str">
        <f t="shared" si="2"/>
        <v>mist/cloudy</v>
      </c>
      <c r="J51" s="12">
        <v>0.16</v>
      </c>
      <c r="K51" s="12">
        <v>0.13639999999999999</v>
      </c>
      <c r="L51" s="12">
        <v>0.47</v>
      </c>
      <c r="M51" s="12">
        <v>0.3881</v>
      </c>
      <c r="N51" s="12">
        <v>0</v>
      </c>
      <c r="O51" s="12">
        <v>1</v>
      </c>
      <c r="P51" s="13">
        <v>1</v>
      </c>
    </row>
    <row r="52" spans="1:16" x14ac:dyDescent="0.25">
      <c r="A52" s="6">
        <v>51</v>
      </c>
      <c r="B52" s="7">
        <v>40546</v>
      </c>
      <c r="C52" s="8">
        <v>5</v>
      </c>
      <c r="D52" s="8" t="b">
        <v>0</v>
      </c>
      <c r="E52" s="8" t="str">
        <f t="shared" si="0"/>
        <v>Working Day</v>
      </c>
      <c r="F52" s="8">
        <v>1</v>
      </c>
      <c r="G52" s="8" t="str">
        <f t="shared" si="1"/>
        <v>Mon</v>
      </c>
      <c r="H52" s="8">
        <v>1</v>
      </c>
      <c r="I52" s="8" t="str">
        <f t="shared" si="2"/>
        <v>mist/cloudy</v>
      </c>
      <c r="J52" s="8">
        <v>0.16</v>
      </c>
      <c r="K52" s="8">
        <v>0.13639999999999999</v>
      </c>
      <c r="L52" s="8">
        <v>0.47</v>
      </c>
      <c r="M52" s="8">
        <v>0.28360000000000002</v>
      </c>
      <c r="N52" s="8">
        <v>0</v>
      </c>
      <c r="O52" s="8">
        <v>3</v>
      </c>
      <c r="P52" s="9">
        <v>3</v>
      </c>
    </row>
    <row r="53" spans="1:16" x14ac:dyDescent="0.25">
      <c r="A53" s="10">
        <v>52</v>
      </c>
      <c r="B53" s="11">
        <v>40546</v>
      </c>
      <c r="C53" s="12">
        <v>6</v>
      </c>
      <c r="D53" s="12" t="b">
        <v>0</v>
      </c>
      <c r="E53" s="12" t="str">
        <f t="shared" si="0"/>
        <v>Working Day</v>
      </c>
      <c r="F53" s="12">
        <v>1</v>
      </c>
      <c r="G53" s="12" t="str">
        <f t="shared" si="1"/>
        <v>Mon</v>
      </c>
      <c r="H53" s="12">
        <v>1</v>
      </c>
      <c r="I53" s="12" t="str">
        <f t="shared" si="2"/>
        <v>mist/cloudy</v>
      </c>
      <c r="J53" s="12">
        <v>0.14000000000000001</v>
      </c>
      <c r="K53" s="12">
        <v>0.1061</v>
      </c>
      <c r="L53" s="12">
        <v>0.5</v>
      </c>
      <c r="M53" s="12">
        <v>0.3881</v>
      </c>
      <c r="N53" s="12">
        <v>0</v>
      </c>
      <c r="O53" s="12">
        <v>30</v>
      </c>
      <c r="P53" s="13">
        <v>30</v>
      </c>
    </row>
    <row r="54" spans="1:16" x14ac:dyDescent="0.25">
      <c r="A54" s="6">
        <v>53</v>
      </c>
      <c r="B54" s="7">
        <v>40546</v>
      </c>
      <c r="C54" s="8">
        <v>7</v>
      </c>
      <c r="D54" s="8" t="b">
        <v>0</v>
      </c>
      <c r="E54" s="8" t="str">
        <f t="shared" si="0"/>
        <v>Working Day</v>
      </c>
      <c r="F54" s="8">
        <v>1</v>
      </c>
      <c r="G54" s="8" t="str">
        <f t="shared" si="1"/>
        <v>Mon</v>
      </c>
      <c r="H54" s="8">
        <v>1</v>
      </c>
      <c r="I54" s="8" t="str">
        <f t="shared" si="2"/>
        <v>mist/cloudy</v>
      </c>
      <c r="J54" s="8">
        <v>0.14000000000000001</v>
      </c>
      <c r="K54" s="8">
        <v>0.13639999999999999</v>
      </c>
      <c r="L54" s="8">
        <v>0.5</v>
      </c>
      <c r="M54" s="8">
        <v>0.19400000000000001</v>
      </c>
      <c r="N54" s="8">
        <v>1</v>
      </c>
      <c r="O54" s="8">
        <v>63</v>
      </c>
      <c r="P54" s="9">
        <v>64</v>
      </c>
    </row>
    <row r="55" spans="1:16" x14ac:dyDescent="0.25">
      <c r="A55" s="10">
        <v>54</v>
      </c>
      <c r="B55" s="11">
        <v>40546</v>
      </c>
      <c r="C55" s="12">
        <v>8</v>
      </c>
      <c r="D55" s="12" t="b">
        <v>0</v>
      </c>
      <c r="E55" s="12" t="str">
        <f t="shared" si="0"/>
        <v>Working Day</v>
      </c>
      <c r="F55" s="12">
        <v>1</v>
      </c>
      <c r="G55" s="12" t="str">
        <f t="shared" si="1"/>
        <v>Mon</v>
      </c>
      <c r="H55" s="12">
        <v>1</v>
      </c>
      <c r="I55" s="12" t="str">
        <f t="shared" si="2"/>
        <v>mist/cloudy</v>
      </c>
      <c r="J55" s="12">
        <v>0.14000000000000001</v>
      </c>
      <c r="K55" s="12">
        <v>0.1212</v>
      </c>
      <c r="L55" s="12">
        <v>0.5</v>
      </c>
      <c r="M55" s="12">
        <v>0.28360000000000002</v>
      </c>
      <c r="N55" s="12">
        <v>1</v>
      </c>
      <c r="O55" s="12">
        <v>153</v>
      </c>
      <c r="P55" s="13">
        <v>154</v>
      </c>
    </row>
    <row r="56" spans="1:16" x14ac:dyDescent="0.25">
      <c r="A56" s="6">
        <v>55</v>
      </c>
      <c r="B56" s="7">
        <v>40546</v>
      </c>
      <c r="C56" s="8">
        <v>9</v>
      </c>
      <c r="D56" s="8" t="b">
        <v>0</v>
      </c>
      <c r="E56" s="8" t="str">
        <f t="shared" si="0"/>
        <v>Working Day</v>
      </c>
      <c r="F56" s="8">
        <v>1</v>
      </c>
      <c r="G56" s="8" t="str">
        <f t="shared" si="1"/>
        <v>Mon</v>
      </c>
      <c r="H56" s="8">
        <v>1</v>
      </c>
      <c r="I56" s="8" t="str">
        <f t="shared" si="2"/>
        <v>mist/cloudy</v>
      </c>
      <c r="J56" s="8">
        <v>0.16</v>
      </c>
      <c r="K56" s="8">
        <v>0.13639999999999999</v>
      </c>
      <c r="L56" s="8">
        <v>0.43</v>
      </c>
      <c r="M56" s="8">
        <v>0.3881</v>
      </c>
      <c r="N56" s="8">
        <v>7</v>
      </c>
      <c r="O56" s="8">
        <v>81</v>
      </c>
      <c r="P56" s="9">
        <v>88</v>
      </c>
    </row>
    <row r="57" spans="1:16" x14ac:dyDescent="0.25">
      <c r="A57" s="10">
        <v>56</v>
      </c>
      <c r="B57" s="11">
        <v>40546</v>
      </c>
      <c r="C57" s="12">
        <v>10</v>
      </c>
      <c r="D57" s="12" t="b">
        <v>0</v>
      </c>
      <c r="E57" s="12" t="str">
        <f t="shared" si="0"/>
        <v>Working Day</v>
      </c>
      <c r="F57" s="12">
        <v>1</v>
      </c>
      <c r="G57" s="12" t="str">
        <f t="shared" si="1"/>
        <v>Mon</v>
      </c>
      <c r="H57" s="12">
        <v>1</v>
      </c>
      <c r="I57" s="12" t="str">
        <f t="shared" si="2"/>
        <v>mist/cloudy</v>
      </c>
      <c r="J57" s="12">
        <v>0.18</v>
      </c>
      <c r="K57" s="12">
        <v>0.16669999999999999</v>
      </c>
      <c r="L57" s="12">
        <v>0.43</v>
      </c>
      <c r="M57" s="12">
        <v>0.25369999999999998</v>
      </c>
      <c r="N57" s="12">
        <v>11</v>
      </c>
      <c r="O57" s="12">
        <v>33</v>
      </c>
      <c r="P57" s="13">
        <v>44</v>
      </c>
    </row>
    <row r="58" spans="1:16" x14ac:dyDescent="0.25">
      <c r="A58" s="6">
        <v>57</v>
      </c>
      <c r="B58" s="7">
        <v>40546</v>
      </c>
      <c r="C58" s="8">
        <v>11</v>
      </c>
      <c r="D58" s="8" t="b">
        <v>0</v>
      </c>
      <c r="E58" s="8" t="str">
        <f t="shared" si="0"/>
        <v>Working Day</v>
      </c>
      <c r="F58" s="8">
        <v>1</v>
      </c>
      <c r="G58" s="8" t="str">
        <f t="shared" si="1"/>
        <v>Mon</v>
      </c>
      <c r="H58" s="8">
        <v>1</v>
      </c>
      <c r="I58" s="8" t="str">
        <f t="shared" si="2"/>
        <v>mist/cloudy</v>
      </c>
      <c r="J58" s="8">
        <v>0.2</v>
      </c>
      <c r="K58" s="8">
        <v>0.18179999999999999</v>
      </c>
      <c r="L58" s="8">
        <v>0.4</v>
      </c>
      <c r="M58" s="8">
        <v>0.32840000000000003</v>
      </c>
      <c r="N58" s="8">
        <v>10</v>
      </c>
      <c r="O58" s="8">
        <v>41</v>
      </c>
      <c r="P58" s="9">
        <v>51</v>
      </c>
    </row>
    <row r="59" spans="1:16" x14ac:dyDescent="0.25">
      <c r="A59" s="10">
        <v>58</v>
      </c>
      <c r="B59" s="11">
        <v>40546</v>
      </c>
      <c r="C59" s="12">
        <v>12</v>
      </c>
      <c r="D59" s="12" t="b">
        <v>0</v>
      </c>
      <c r="E59" s="12" t="str">
        <f t="shared" si="0"/>
        <v>Working Day</v>
      </c>
      <c r="F59" s="12">
        <v>1</v>
      </c>
      <c r="G59" s="12" t="str">
        <f t="shared" si="1"/>
        <v>Mon</v>
      </c>
      <c r="H59" s="12">
        <v>1</v>
      </c>
      <c r="I59" s="12" t="str">
        <f t="shared" si="2"/>
        <v>mist/cloudy</v>
      </c>
      <c r="J59" s="12">
        <v>0.22</v>
      </c>
      <c r="K59" s="12">
        <v>0.21210000000000001</v>
      </c>
      <c r="L59" s="12">
        <v>0.35</v>
      </c>
      <c r="M59" s="12">
        <v>0.29849999999999999</v>
      </c>
      <c r="N59" s="12">
        <v>13</v>
      </c>
      <c r="O59" s="12">
        <v>48</v>
      </c>
      <c r="P59" s="13">
        <v>61</v>
      </c>
    </row>
    <row r="60" spans="1:16" x14ac:dyDescent="0.25">
      <c r="A60" s="6">
        <v>59</v>
      </c>
      <c r="B60" s="7">
        <v>40546</v>
      </c>
      <c r="C60" s="8">
        <v>13</v>
      </c>
      <c r="D60" s="8" t="b">
        <v>0</v>
      </c>
      <c r="E60" s="8" t="str">
        <f t="shared" si="0"/>
        <v>Working Day</v>
      </c>
      <c r="F60" s="8">
        <v>1</v>
      </c>
      <c r="G60" s="8" t="str">
        <f t="shared" si="1"/>
        <v>Mon</v>
      </c>
      <c r="H60" s="8">
        <v>1</v>
      </c>
      <c r="I60" s="8" t="str">
        <f t="shared" si="2"/>
        <v>mist/cloudy</v>
      </c>
      <c r="J60" s="8">
        <v>0.24</v>
      </c>
      <c r="K60" s="8">
        <v>0.2</v>
      </c>
      <c r="L60" s="8">
        <v>0.35</v>
      </c>
      <c r="M60" s="8">
        <v>0.28360000000000002</v>
      </c>
      <c r="N60" s="8">
        <v>8</v>
      </c>
      <c r="O60" s="8">
        <v>53</v>
      </c>
      <c r="P60" s="9">
        <v>61</v>
      </c>
    </row>
    <row r="61" spans="1:16" x14ac:dyDescent="0.25">
      <c r="A61" s="10">
        <v>60</v>
      </c>
      <c r="B61" s="11">
        <v>40546</v>
      </c>
      <c r="C61" s="12">
        <v>14</v>
      </c>
      <c r="D61" s="12" t="b">
        <v>0</v>
      </c>
      <c r="E61" s="12" t="str">
        <f t="shared" si="0"/>
        <v>Working Day</v>
      </c>
      <c r="F61" s="12">
        <v>1</v>
      </c>
      <c r="G61" s="12" t="str">
        <f t="shared" si="1"/>
        <v>Mon</v>
      </c>
      <c r="H61" s="12">
        <v>1</v>
      </c>
      <c r="I61" s="12" t="str">
        <f t="shared" si="2"/>
        <v>mist/cloudy</v>
      </c>
      <c r="J61" s="12">
        <v>0.26</v>
      </c>
      <c r="K61" s="12">
        <v>0.2424</v>
      </c>
      <c r="L61" s="12">
        <v>0.3</v>
      </c>
      <c r="M61" s="12">
        <v>0.28360000000000002</v>
      </c>
      <c r="N61" s="12">
        <v>11</v>
      </c>
      <c r="O61" s="12">
        <v>66</v>
      </c>
      <c r="P61" s="13">
        <v>77</v>
      </c>
    </row>
    <row r="62" spans="1:16" x14ac:dyDescent="0.25">
      <c r="A62" s="6">
        <v>61</v>
      </c>
      <c r="B62" s="7">
        <v>40546</v>
      </c>
      <c r="C62" s="8">
        <v>15</v>
      </c>
      <c r="D62" s="8" t="b">
        <v>0</v>
      </c>
      <c r="E62" s="8" t="str">
        <f t="shared" si="0"/>
        <v>Working Day</v>
      </c>
      <c r="F62" s="8">
        <v>1</v>
      </c>
      <c r="G62" s="8" t="str">
        <f t="shared" si="1"/>
        <v>Mon</v>
      </c>
      <c r="H62" s="8">
        <v>1</v>
      </c>
      <c r="I62" s="8" t="str">
        <f t="shared" si="2"/>
        <v>mist/cloudy</v>
      </c>
      <c r="J62" s="8">
        <v>0.26</v>
      </c>
      <c r="K62" s="8">
        <v>0.2424</v>
      </c>
      <c r="L62" s="8">
        <v>0.3</v>
      </c>
      <c r="M62" s="8">
        <v>0.25369999999999998</v>
      </c>
      <c r="N62" s="8">
        <v>14</v>
      </c>
      <c r="O62" s="8">
        <v>58</v>
      </c>
      <c r="P62" s="9">
        <v>72</v>
      </c>
    </row>
    <row r="63" spans="1:16" x14ac:dyDescent="0.25">
      <c r="A63" s="10">
        <v>62</v>
      </c>
      <c r="B63" s="11">
        <v>40546</v>
      </c>
      <c r="C63" s="12">
        <v>16</v>
      </c>
      <c r="D63" s="12" t="b">
        <v>0</v>
      </c>
      <c r="E63" s="12" t="str">
        <f t="shared" si="0"/>
        <v>Working Day</v>
      </c>
      <c r="F63" s="12">
        <v>1</v>
      </c>
      <c r="G63" s="12" t="str">
        <f t="shared" si="1"/>
        <v>Mon</v>
      </c>
      <c r="H63" s="12">
        <v>1</v>
      </c>
      <c r="I63" s="12" t="str">
        <f t="shared" si="2"/>
        <v>mist/cloudy</v>
      </c>
      <c r="J63" s="12">
        <v>0.26</v>
      </c>
      <c r="K63" s="12">
        <v>0.2424</v>
      </c>
      <c r="L63" s="12">
        <v>0.3</v>
      </c>
      <c r="M63" s="12">
        <v>0.25369999999999998</v>
      </c>
      <c r="N63" s="12">
        <v>9</v>
      </c>
      <c r="O63" s="12">
        <v>67</v>
      </c>
      <c r="P63" s="13">
        <v>76</v>
      </c>
    </row>
    <row r="64" spans="1:16" x14ac:dyDescent="0.25">
      <c r="A64" s="6">
        <v>63</v>
      </c>
      <c r="B64" s="7">
        <v>40546</v>
      </c>
      <c r="C64" s="8">
        <v>17</v>
      </c>
      <c r="D64" s="8" t="b">
        <v>0</v>
      </c>
      <c r="E64" s="8" t="str">
        <f t="shared" si="0"/>
        <v>Working Day</v>
      </c>
      <c r="F64" s="8">
        <v>1</v>
      </c>
      <c r="G64" s="8" t="str">
        <f t="shared" si="1"/>
        <v>Mon</v>
      </c>
      <c r="H64" s="8">
        <v>1</v>
      </c>
      <c r="I64" s="8" t="str">
        <f t="shared" si="2"/>
        <v>mist/cloudy</v>
      </c>
      <c r="J64" s="8">
        <v>0.24</v>
      </c>
      <c r="K64" s="8">
        <v>0.2273</v>
      </c>
      <c r="L64" s="8">
        <v>0.3</v>
      </c>
      <c r="M64" s="8">
        <v>0.22389999999999999</v>
      </c>
      <c r="N64" s="8">
        <v>11</v>
      </c>
      <c r="O64" s="8">
        <v>146</v>
      </c>
      <c r="P64" s="9">
        <v>157</v>
      </c>
    </row>
    <row r="65" spans="1:16" x14ac:dyDescent="0.25">
      <c r="A65" s="10">
        <v>64</v>
      </c>
      <c r="B65" s="11">
        <v>40546</v>
      </c>
      <c r="C65" s="12">
        <v>18</v>
      </c>
      <c r="D65" s="12" t="b">
        <v>0</v>
      </c>
      <c r="E65" s="12" t="str">
        <f t="shared" si="0"/>
        <v>Working Day</v>
      </c>
      <c r="F65" s="12">
        <v>1</v>
      </c>
      <c r="G65" s="12" t="str">
        <f t="shared" si="1"/>
        <v>Mon</v>
      </c>
      <c r="H65" s="12">
        <v>1</v>
      </c>
      <c r="I65" s="12" t="str">
        <f t="shared" si="2"/>
        <v>mist/cloudy</v>
      </c>
      <c r="J65" s="12">
        <v>0.24</v>
      </c>
      <c r="K65" s="12">
        <v>0.2576</v>
      </c>
      <c r="L65" s="12">
        <v>0.32</v>
      </c>
      <c r="M65" s="12">
        <v>0.1045</v>
      </c>
      <c r="N65" s="12">
        <v>9</v>
      </c>
      <c r="O65" s="12">
        <v>148</v>
      </c>
      <c r="P65" s="13">
        <v>157</v>
      </c>
    </row>
    <row r="66" spans="1:16" x14ac:dyDescent="0.25">
      <c r="A66" s="6">
        <v>65</v>
      </c>
      <c r="B66" s="7">
        <v>40546</v>
      </c>
      <c r="C66" s="8">
        <v>19</v>
      </c>
      <c r="D66" s="8" t="b">
        <v>0</v>
      </c>
      <c r="E66" s="8" t="str">
        <f t="shared" ref="E66:E129" si="3">IF(D66=FALSE,"Working Day","Holiday")</f>
        <v>Working Day</v>
      </c>
      <c r="F66" s="8">
        <v>1</v>
      </c>
      <c r="G66" s="8" t="str">
        <f t="shared" ref="G66:G129" si="4">TEXT(F66+1, "ddd")</f>
        <v>Mon</v>
      </c>
      <c r="H66" s="8">
        <v>1</v>
      </c>
      <c r="I66" s="8" t="str">
        <f t="shared" si="2"/>
        <v>mist/cloudy</v>
      </c>
      <c r="J66" s="8">
        <v>0.2</v>
      </c>
      <c r="K66" s="8">
        <v>0.2576</v>
      </c>
      <c r="L66" s="8">
        <v>0.47</v>
      </c>
      <c r="M66" s="8">
        <v>0</v>
      </c>
      <c r="N66" s="8">
        <v>8</v>
      </c>
      <c r="O66" s="8">
        <v>102</v>
      </c>
      <c r="P66" s="9">
        <v>110</v>
      </c>
    </row>
    <row r="67" spans="1:16" x14ac:dyDescent="0.25">
      <c r="A67" s="10">
        <v>66</v>
      </c>
      <c r="B67" s="11">
        <v>40546</v>
      </c>
      <c r="C67" s="12">
        <v>20</v>
      </c>
      <c r="D67" s="12" t="b">
        <v>0</v>
      </c>
      <c r="E67" s="12" t="str">
        <f t="shared" si="3"/>
        <v>Working Day</v>
      </c>
      <c r="F67" s="12">
        <v>1</v>
      </c>
      <c r="G67" s="12" t="str">
        <f t="shared" si="4"/>
        <v>Mon</v>
      </c>
      <c r="H67" s="12">
        <v>1</v>
      </c>
      <c r="I67" s="12" t="str">
        <f t="shared" ref="I67:I130" si="5">IF(H67=0, "clear", IF(H67=1, "mist/cloudy", IF(H67=2, "light rain", IF(H67=3, "heavy rain", IF(H67=4, "extreme weather condition", "Unknown")))))</f>
        <v>mist/cloudy</v>
      </c>
      <c r="J67" s="12">
        <v>0.2</v>
      </c>
      <c r="K67" s="12">
        <v>0.2</v>
      </c>
      <c r="L67" s="12">
        <v>0.47</v>
      </c>
      <c r="M67" s="12">
        <v>0.1045</v>
      </c>
      <c r="N67" s="12">
        <v>3</v>
      </c>
      <c r="O67" s="12">
        <v>49</v>
      </c>
      <c r="P67" s="13">
        <v>52</v>
      </c>
    </row>
    <row r="68" spans="1:16" x14ac:dyDescent="0.25">
      <c r="A68" s="6">
        <v>67</v>
      </c>
      <c r="B68" s="7">
        <v>40546</v>
      </c>
      <c r="C68" s="8">
        <v>21</v>
      </c>
      <c r="D68" s="8" t="b">
        <v>0</v>
      </c>
      <c r="E68" s="8" t="str">
        <f t="shared" si="3"/>
        <v>Working Day</v>
      </c>
      <c r="F68" s="8">
        <v>1</v>
      </c>
      <c r="G68" s="8" t="str">
        <f t="shared" si="4"/>
        <v>Mon</v>
      </c>
      <c r="H68" s="8">
        <v>1</v>
      </c>
      <c r="I68" s="8" t="str">
        <f t="shared" si="5"/>
        <v>mist/cloudy</v>
      </c>
      <c r="J68" s="8">
        <v>0.18</v>
      </c>
      <c r="K68" s="8">
        <v>0.19700000000000001</v>
      </c>
      <c r="L68" s="8">
        <v>0.64</v>
      </c>
      <c r="M68" s="8">
        <v>0.1343</v>
      </c>
      <c r="N68" s="8">
        <v>3</v>
      </c>
      <c r="O68" s="8">
        <v>49</v>
      </c>
      <c r="P68" s="9">
        <v>52</v>
      </c>
    </row>
    <row r="69" spans="1:16" x14ac:dyDescent="0.25">
      <c r="A69" s="10">
        <v>68</v>
      </c>
      <c r="B69" s="11">
        <v>40546</v>
      </c>
      <c r="C69" s="12">
        <v>22</v>
      </c>
      <c r="D69" s="12" t="b">
        <v>0</v>
      </c>
      <c r="E69" s="12" t="str">
        <f t="shared" si="3"/>
        <v>Working Day</v>
      </c>
      <c r="F69" s="12">
        <v>1</v>
      </c>
      <c r="G69" s="12" t="str">
        <f t="shared" si="4"/>
        <v>Mon</v>
      </c>
      <c r="H69" s="12">
        <v>1</v>
      </c>
      <c r="I69" s="12" t="str">
        <f t="shared" si="5"/>
        <v>mist/cloudy</v>
      </c>
      <c r="J69" s="12">
        <v>0.14000000000000001</v>
      </c>
      <c r="K69" s="12">
        <v>0.1515</v>
      </c>
      <c r="L69" s="12">
        <v>0.69</v>
      </c>
      <c r="M69" s="12">
        <v>0.1343</v>
      </c>
      <c r="N69" s="12">
        <v>0</v>
      </c>
      <c r="O69" s="12">
        <v>20</v>
      </c>
      <c r="P69" s="13">
        <v>20</v>
      </c>
    </row>
    <row r="70" spans="1:16" x14ac:dyDescent="0.25">
      <c r="A70" s="6">
        <v>69</v>
      </c>
      <c r="B70" s="7">
        <v>40546</v>
      </c>
      <c r="C70" s="8">
        <v>23</v>
      </c>
      <c r="D70" s="8" t="b">
        <v>0</v>
      </c>
      <c r="E70" s="8" t="str">
        <f t="shared" si="3"/>
        <v>Working Day</v>
      </c>
      <c r="F70" s="8">
        <v>1</v>
      </c>
      <c r="G70" s="8" t="str">
        <f t="shared" si="4"/>
        <v>Mon</v>
      </c>
      <c r="H70" s="8">
        <v>1</v>
      </c>
      <c r="I70" s="8" t="str">
        <f t="shared" si="5"/>
        <v>mist/cloudy</v>
      </c>
      <c r="J70" s="8">
        <v>0.18</v>
      </c>
      <c r="K70" s="8">
        <v>0.21210000000000001</v>
      </c>
      <c r="L70" s="8">
        <v>0.55000000000000004</v>
      </c>
      <c r="M70" s="8">
        <v>0.1045</v>
      </c>
      <c r="N70" s="8">
        <v>1</v>
      </c>
      <c r="O70" s="8">
        <v>11</v>
      </c>
      <c r="P70" s="9">
        <v>12</v>
      </c>
    </row>
    <row r="71" spans="1:16" x14ac:dyDescent="0.25">
      <c r="A71" s="10">
        <v>70</v>
      </c>
      <c r="B71" s="11">
        <v>40547</v>
      </c>
      <c r="C71" s="12">
        <v>0</v>
      </c>
      <c r="D71" s="12" t="b">
        <v>0</v>
      </c>
      <c r="E71" s="12" t="str">
        <f t="shared" si="3"/>
        <v>Working Day</v>
      </c>
      <c r="F71" s="12">
        <v>2</v>
      </c>
      <c r="G71" s="12" t="str">
        <f t="shared" si="4"/>
        <v>Tue</v>
      </c>
      <c r="H71" s="12">
        <v>1</v>
      </c>
      <c r="I71" s="12" t="str">
        <f t="shared" si="5"/>
        <v>mist/cloudy</v>
      </c>
      <c r="J71" s="12">
        <v>0.16</v>
      </c>
      <c r="K71" s="12">
        <v>0.2</v>
      </c>
      <c r="L71" s="12">
        <v>0.55000000000000004</v>
      </c>
      <c r="M71" s="12">
        <v>0.1045</v>
      </c>
      <c r="N71" s="12">
        <v>0</v>
      </c>
      <c r="O71" s="12">
        <v>5</v>
      </c>
      <c r="P71" s="13">
        <v>5</v>
      </c>
    </row>
    <row r="72" spans="1:16" x14ac:dyDescent="0.25">
      <c r="A72" s="6">
        <v>71</v>
      </c>
      <c r="B72" s="7">
        <v>40547</v>
      </c>
      <c r="C72" s="8">
        <v>1</v>
      </c>
      <c r="D72" s="8" t="b">
        <v>0</v>
      </c>
      <c r="E72" s="8" t="str">
        <f t="shared" si="3"/>
        <v>Working Day</v>
      </c>
      <c r="F72" s="8">
        <v>2</v>
      </c>
      <c r="G72" s="8" t="str">
        <f t="shared" si="4"/>
        <v>Tue</v>
      </c>
      <c r="H72" s="8">
        <v>1</v>
      </c>
      <c r="I72" s="8" t="str">
        <f t="shared" si="5"/>
        <v>mist/cloudy</v>
      </c>
      <c r="J72" s="8">
        <v>0.16</v>
      </c>
      <c r="K72" s="8">
        <v>0.18179999999999999</v>
      </c>
      <c r="L72" s="8">
        <v>0.59</v>
      </c>
      <c r="M72" s="8">
        <v>0.1045</v>
      </c>
      <c r="N72" s="8">
        <v>0</v>
      </c>
      <c r="O72" s="8">
        <v>2</v>
      </c>
      <c r="P72" s="9">
        <v>2</v>
      </c>
    </row>
    <row r="73" spans="1:16" x14ac:dyDescent="0.25">
      <c r="A73" s="10">
        <v>72</v>
      </c>
      <c r="B73" s="11">
        <v>40547</v>
      </c>
      <c r="C73" s="12">
        <v>2</v>
      </c>
      <c r="D73" s="12" t="b">
        <v>0</v>
      </c>
      <c r="E73" s="12" t="str">
        <f t="shared" si="3"/>
        <v>Working Day</v>
      </c>
      <c r="F73" s="12">
        <v>2</v>
      </c>
      <c r="G73" s="12" t="str">
        <f t="shared" si="4"/>
        <v>Tue</v>
      </c>
      <c r="H73" s="12">
        <v>1</v>
      </c>
      <c r="I73" s="12" t="str">
        <f t="shared" si="5"/>
        <v>mist/cloudy</v>
      </c>
      <c r="J73" s="12">
        <v>0.14000000000000001</v>
      </c>
      <c r="K73" s="12">
        <v>0.1515</v>
      </c>
      <c r="L73" s="12">
        <v>0.63</v>
      </c>
      <c r="M73" s="12">
        <v>0.1343</v>
      </c>
      <c r="N73" s="12">
        <v>0</v>
      </c>
      <c r="O73" s="12">
        <v>1</v>
      </c>
      <c r="P73" s="13">
        <v>1</v>
      </c>
    </row>
    <row r="74" spans="1:16" x14ac:dyDescent="0.25">
      <c r="A74" s="6">
        <v>73</v>
      </c>
      <c r="B74" s="7">
        <v>40547</v>
      </c>
      <c r="C74" s="8">
        <v>4</v>
      </c>
      <c r="D74" s="8" t="b">
        <v>0</v>
      </c>
      <c r="E74" s="8" t="str">
        <f t="shared" si="3"/>
        <v>Working Day</v>
      </c>
      <c r="F74" s="8">
        <v>2</v>
      </c>
      <c r="G74" s="8" t="str">
        <f t="shared" si="4"/>
        <v>Tue</v>
      </c>
      <c r="H74" s="8">
        <v>1</v>
      </c>
      <c r="I74" s="8" t="str">
        <f t="shared" si="5"/>
        <v>mist/cloudy</v>
      </c>
      <c r="J74" s="8">
        <v>0.14000000000000001</v>
      </c>
      <c r="K74" s="8">
        <v>0.18179999999999999</v>
      </c>
      <c r="L74" s="8">
        <v>0.63</v>
      </c>
      <c r="M74" s="8">
        <v>8.9599999999999999E-2</v>
      </c>
      <c r="N74" s="8">
        <v>0</v>
      </c>
      <c r="O74" s="8">
        <v>2</v>
      </c>
      <c r="P74" s="9">
        <v>2</v>
      </c>
    </row>
    <row r="75" spans="1:16" x14ac:dyDescent="0.25">
      <c r="A75" s="10">
        <v>74</v>
      </c>
      <c r="B75" s="11">
        <v>40547</v>
      </c>
      <c r="C75" s="12">
        <v>5</v>
      </c>
      <c r="D75" s="12" t="b">
        <v>0</v>
      </c>
      <c r="E75" s="12" t="str">
        <f t="shared" si="3"/>
        <v>Working Day</v>
      </c>
      <c r="F75" s="12">
        <v>2</v>
      </c>
      <c r="G75" s="12" t="str">
        <f t="shared" si="4"/>
        <v>Tue</v>
      </c>
      <c r="H75" s="12">
        <v>1</v>
      </c>
      <c r="I75" s="12" t="str">
        <f t="shared" si="5"/>
        <v>mist/cloudy</v>
      </c>
      <c r="J75" s="12">
        <v>0.12</v>
      </c>
      <c r="K75" s="12">
        <v>0.1515</v>
      </c>
      <c r="L75" s="12">
        <v>0.68</v>
      </c>
      <c r="M75" s="12">
        <v>0.1045</v>
      </c>
      <c r="N75" s="12">
        <v>0</v>
      </c>
      <c r="O75" s="12">
        <v>4</v>
      </c>
      <c r="P75" s="13">
        <v>4</v>
      </c>
    </row>
    <row r="76" spans="1:16" x14ac:dyDescent="0.25">
      <c r="A76" s="6">
        <v>75</v>
      </c>
      <c r="B76" s="7">
        <v>40547</v>
      </c>
      <c r="C76" s="8">
        <v>6</v>
      </c>
      <c r="D76" s="8" t="b">
        <v>0</v>
      </c>
      <c r="E76" s="8" t="str">
        <f t="shared" si="3"/>
        <v>Working Day</v>
      </c>
      <c r="F76" s="8">
        <v>2</v>
      </c>
      <c r="G76" s="8" t="str">
        <f t="shared" si="4"/>
        <v>Tue</v>
      </c>
      <c r="H76" s="8">
        <v>1</v>
      </c>
      <c r="I76" s="8" t="str">
        <f t="shared" si="5"/>
        <v>mist/cloudy</v>
      </c>
      <c r="J76" s="8">
        <v>0.12</v>
      </c>
      <c r="K76" s="8">
        <v>0.1515</v>
      </c>
      <c r="L76" s="8">
        <v>0.74</v>
      </c>
      <c r="M76" s="8">
        <v>0.1045</v>
      </c>
      <c r="N76" s="8">
        <v>0</v>
      </c>
      <c r="O76" s="8">
        <v>36</v>
      </c>
      <c r="P76" s="9">
        <v>36</v>
      </c>
    </row>
    <row r="77" spans="1:16" x14ac:dyDescent="0.25">
      <c r="A77" s="10">
        <v>76</v>
      </c>
      <c r="B77" s="11">
        <v>40547</v>
      </c>
      <c r="C77" s="12">
        <v>7</v>
      </c>
      <c r="D77" s="12" t="b">
        <v>0</v>
      </c>
      <c r="E77" s="12" t="str">
        <f t="shared" si="3"/>
        <v>Working Day</v>
      </c>
      <c r="F77" s="12">
        <v>2</v>
      </c>
      <c r="G77" s="12" t="str">
        <f t="shared" si="4"/>
        <v>Tue</v>
      </c>
      <c r="H77" s="12">
        <v>1</v>
      </c>
      <c r="I77" s="12" t="str">
        <f t="shared" si="5"/>
        <v>mist/cloudy</v>
      </c>
      <c r="J77" s="12">
        <v>0.12</v>
      </c>
      <c r="K77" s="12">
        <v>0.1515</v>
      </c>
      <c r="L77" s="12">
        <v>0.74</v>
      </c>
      <c r="M77" s="12">
        <v>0.1343</v>
      </c>
      <c r="N77" s="12">
        <v>2</v>
      </c>
      <c r="O77" s="12">
        <v>92</v>
      </c>
      <c r="P77" s="13">
        <v>94</v>
      </c>
    </row>
    <row r="78" spans="1:16" x14ac:dyDescent="0.25">
      <c r="A78" s="6">
        <v>77</v>
      </c>
      <c r="B78" s="7">
        <v>40547</v>
      </c>
      <c r="C78" s="8">
        <v>8</v>
      </c>
      <c r="D78" s="8" t="b">
        <v>0</v>
      </c>
      <c r="E78" s="8" t="str">
        <f t="shared" si="3"/>
        <v>Working Day</v>
      </c>
      <c r="F78" s="8">
        <v>2</v>
      </c>
      <c r="G78" s="8" t="str">
        <f t="shared" si="4"/>
        <v>Tue</v>
      </c>
      <c r="H78" s="8">
        <v>1</v>
      </c>
      <c r="I78" s="8" t="str">
        <f t="shared" si="5"/>
        <v>mist/cloudy</v>
      </c>
      <c r="J78" s="8">
        <v>0.14000000000000001</v>
      </c>
      <c r="K78" s="8">
        <v>0.1515</v>
      </c>
      <c r="L78" s="8">
        <v>0.69</v>
      </c>
      <c r="M78" s="8">
        <v>0.16420000000000001</v>
      </c>
      <c r="N78" s="8">
        <v>2</v>
      </c>
      <c r="O78" s="8">
        <v>177</v>
      </c>
      <c r="P78" s="9">
        <v>179</v>
      </c>
    </row>
    <row r="79" spans="1:16" x14ac:dyDescent="0.25">
      <c r="A79" s="10">
        <v>78</v>
      </c>
      <c r="B79" s="11">
        <v>40547</v>
      </c>
      <c r="C79" s="12">
        <v>9</v>
      </c>
      <c r="D79" s="12" t="b">
        <v>0</v>
      </c>
      <c r="E79" s="12" t="str">
        <f t="shared" si="3"/>
        <v>Working Day</v>
      </c>
      <c r="F79" s="12">
        <v>2</v>
      </c>
      <c r="G79" s="12" t="str">
        <f t="shared" si="4"/>
        <v>Tue</v>
      </c>
      <c r="H79" s="12">
        <v>1</v>
      </c>
      <c r="I79" s="12" t="str">
        <f t="shared" si="5"/>
        <v>mist/cloudy</v>
      </c>
      <c r="J79" s="12">
        <v>0.16</v>
      </c>
      <c r="K79" s="12">
        <v>0.1515</v>
      </c>
      <c r="L79" s="12">
        <v>0.64</v>
      </c>
      <c r="M79" s="12">
        <v>0.22389999999999999</v>
      </c>
      <c r="N79" s="12">
        <v>2</v>
      </c>
      <c r="O79" s="12">
        <v>98</v>
      </c>
      <c r="P79" s="13">
        <v>100</v>
      </c>
    </row>
    <row r="80" spans="1:16" x14ac:dyDescent="0.25">
      <c r="A80" s="6">
        <v>79</v>
      </c>
      <c r="B80" s="7">
        <v>40547</v>
      </c>
      <c r="C80" s="8">
        <v>10</v>
      </c>
      <c r="D80" s="8" t="b">
        <v>0</v>
      </c>
      <c r="E80" s="8" t="str">
        <f t="shared" si="3"/>
        <v>Working Day</v>
      </c>
      <c r="F80" s="8">
        <v>2</v>
      </c>
      <c r="G80" s="8" t="str">
        <f t="shared" si="4"/>
        <v>Tue</v>
      </c>
      <c r="H80" s="8">
        <v>2</v>
      </c>
      <c r="I80" s="8" t="str">
        <f t="shared" si="5"/>
        <v>light rain</v>
      </c>
      <c r="J80" s="8">
        <v>0.16</v>
      </c>
      <c r="K80" s="8">
        <v>0.13639999999999999</v>
      </c>
      <c r="L80" s="8">
        <v>0.69</v>
      </c>
      <c r="M80" s="8">
        <v>0.32840000000000003</v>
      </c>
      <c r="N80" s="8">
        <v>5</v>
      </c>
      <c r="O80" s="8">
        <v>37</v>
      </c>
      <c r="P80" s="9">
        <v>42</v>
      </c>
    </row>
    <row r="81" spans="1:16" x14ac:dyDescent="0.25">
      <c r="A81" s="10">
        <v>80</v>
      </c>
      <c r="B81" s="11">
        <v>40547</v>
      </c>
      <c r="C81" s="12">
        <v>11</v>
      </c>
      <c r="D81" s="12" t="b">
        <v>0</v>
      </c>
      <c r="E81" s="12" t="str">
        <f t="shared" si="3"/>
        <v>Working Day</v>
      </c>
      <c r="F81" s="12">
        <v>2</v>
      </c>
      <c r="G81" s="12" t="str">
        <f t="shared" si="4"/>
        <v>Tue</v>
      </c>
      <c r="H81" s="12">
        <v>1</v>
      </c>
      <c r="I81" s="12" t="str">
        <f t="shared" si="5"/>
        <v>mist/cloudy</v>
      </c>
      <c r="J81" s="12">
        <v>0.22</v>
      </c>
      <c r="K81" s="12">
        <v>0.21210000000000001</v>
      </c>
      <c r="L81" s="12">
        <v>0.51</v>
      </c>
      <c r="M81" s="12">
        <v>0.29849999999999999</v>
      </c>
      <c r="N81" s="12">
        <v>7</v>
      </c>
      <c r="O81" s="12">
        <v>50</v>
      </c>
      <c r="P81" s="13">
        <v>57</v>
      </c>
    </row>
    <row r="82" spans="1:16" x14ac:dyDescent="0.25">
      <c r="A82" s="6">
        <v>81</v>
      </c>
      <c r="B82" s="7">
        <v>40547</v>
      </c>
      <c r="C82" s="8">
        <v>12</v>
      </c>
      <c r="D82" s="8" t="b">
        <v>0</v>
      </c>
      <c r="E82" s="8" t="str">
        <f t="shared" si="3"/>
        <v>Working Day</v>
      </c>
      <c r="F82" s="8">
        <v>2</v>
      </c>
      <c r="G82" s="8" t="str">
        <f t="shared" si="4"/>
        <v>Tue</v>
      </c>
      <c r="H82" s="8">
        <v>1</v>
      </c>
      <c r="I82" s="8" t="str">
        <f t="shared" si="5"/>
        <v>mist/cloudy</v>
      </c>
      <c r="J82" s="8">
        <v>0.22</v>
      </c>
      <c r="K82" s="8">
        <v>0.2273</v>
      </c>
      <c r="L82" s="8">
        <v>0.51</v>
      </c>
      <c r="M82" s="8">
        <v>0.16420000000000001</v>
      </c>
      <c r="N82" s="8">
        <v>12</v>
      </c>
      <c r="O82" s="8">
        <v>66</v>
      </c>
      <c r="P82" s="9">
        <v>78</v>
      </c>
    </row>
    <row r="83" spans="1:16" x14ac:dyDescent="0.25">
      <c r="A83" s="10">
        <v>82</v>
      </c>
      <c r="B83" s="11">
        <v>40547</v>
      </c>
      <c r="C83" s="12">
        <v>13</v>
      </c>
      <c r="D83" s="12" t="b">
        <v>0</v>
      </c>
      <c r="E83" s="12" t="str">
        <f t="shared" si="3"/>
        <v>Working Day</v>
      </c>
      <c r="F83" s="12">
        <v>2</v>
      </c>
      <c r="G83" s="12" t="str">
        <f t="shared" si="4"/>
        <v>Tue</v>
      </c>
      <c r="H83" s="12">
        <v>1</v>
      </c>
      <c r="I83" s="12" t="str">
        <f t="shared" si="5"/>
        <v>mist/cloudy</v>
      </c>
      <c r="J83" s="12">
        <v>0.24</v>
      </c>
      <c r="K83" s="12">
        <v>0.2273</v>
      </c>
      <c r="L83" s="12">
        <v>0.56000000000000005</v>
      </c>
      <c r="M83" s="12">
        <v>0.19400000000000001</v>
      </c>
      <c r="N83" s="12">
        <v>18</v>
      </c>
      <c r="O83" s="12">
        <v>79</v>
      </c>
      <c r="P83" s="13">
        <v>97</v>
      </c>
    </row>
    <row r="84" spans="1:16" x14ac:dyDescent="0.25">
      <c r="A84" s="6">
        <v>83</v>
      </c>
      <c r="B84" s="7">
        <v>40547</v>
      </c>
      <c r="C84" s="8">
        <v>14</v>
      </c>
      <c r="D84" s="8" t="b">
        <v>0</v>
      </c>
      <c r="E84" s="8" t="str">
        <f t="shared" si="3"/>
        <v>Working Day</v>
      </c>
      <c r="F84" s="8">
        <v>2</v>
      </c>
      <c r="G84" s="8" t="str">
        <f t="shared" si="4"/>
        <v>Tue</v>
      </c>
      <c r="H84" s="8">
        <v>1</v>
      </c>
      <c r="I84" s="8" t="str">
        <f t="shared" si="5"/>
        <v>mist/cloudy</v>
      </c>
      <c r="J84" s="8">
        <v>0.26</v>
      </c>
      <c r="K84" s="8">
        <v>0.2576</v>
      </c>
      <c r="L84" s="8">
        <v>0.52</v>
      </c>
      <c r="M84" s="8">
        <v>0.22389999999999999</v>
      </c>
      <c r="N84" s="8">
        <v>9</v>
      </c>
      <c r="O84" s="8">
        <v>54</v>
      </c>
      <c r="P84" s="9">
        <v>63</v>
      </c>
    </row>
    <row r="85" spans="1:16" x14ac:dyDescent="0.25">
      <c r="A85" s="10">
        <v>84</v>
      </c>
      <c r="B85" s="11">
        <v>40547</v>
      </c>
      <c r="C85" s="12">
        <v>15</v>
      </c>
      <c r="D85" s="12" t="b">
        <v>0</v>
      </c>
      <c r="E85" s="12" t="str">
        <f t="shared" si="3"/>
        <v>Working Day</v>
      </c>
      <c r="F85" s="12">
        <v>2</v>
      </c>
      <c r="G85" s="12" t="str">
        <f t="shared" si="4"/>
        <v>Tue</v>
      </c>
      <c r="H85" s="12">
        <v>1</v>
      </c>
      <c r="I85" s="12" t="str">
        <f t="shared" si="5"/>
        <v>mist/cloudy</v>
      </c>
      <c r="J85" s="12">
        <v>0.28000000000000003</v>
      </c>
      <c r="K85" s="12">
        <v>0.2727</v>
      </c>
      <c r="L85" s="12">
        <v>0.52</v>
      </c>
      <c r="M85" s="12">
        <v>0.25369999999999998</v>
      </c>
      <c r="N85" s="12">
        <v>17</v>
      </c>
      <c r="O85" s="12">
        <v>48</v>
      </c>
      <c r="P85" s="13">
        <v>65</v>
      </c>
    </row>
    <row r="86" spans="1:16" x14ac:dyDescent="0.25">
      <c r="A86" s="6">
        <v>85</v>
      </c>
      <c r="B86" s="7">
        <v>40547</v>
      </c>
      <c r="C86" s="8">
        <v>16</v>
      </c>
      <c r="D86" s="8" t="b">
        <v>0</v>
      </c>
      <c r="E86" s="8" t="str">
        <f t="shared" si="3"/>
        <v>Working Day</v>
      </c>
      <c r="F86" s="8">
        <v>2</v>
      </c>
      <c r="G86" s="8" t="str">
        <f t="shared" si="4"/>
        <v>Tue</v>
      </c>
      <c r="H86" s="8">
        <v>1</v>
      </c>
      <c r="I86" s="8" t="str">
        <f t="shared" si="5"/>
        <v>mist/cloudy</v>
      </c>
      <c r="J86" s="8">
        <v>0.3</v>
      </c>
      <c r="K86" s="8">
        <v>0.28789999999999999</v>
      </c>
      <c r="L86" s="8">
        <v>0.49</v>
      </c>
      <c r="M86" s="8">
        <v>0.25369999999999998</v>
      </c>
      <c r="N86" s="8">
        <v>15</v>
      </c>
      <c r="O86" s="8">
        <v>68</v>
      </c>
      <c r="P86" s="9">
        <v>83</v>
      </c>
    </row>
    <row r="87" spans="1:16" x14ac:dyDescent="0.25">
      <c r="A87" s="10">
        <v>86</v>
      </c>
      <c r="B87" s="11">
        <v>40547</v>
      </c>
      <c r="C87" s="12">
        <v>17</v>
      </c>
      <c r="D87" s="12" t="b">
        <v>0</v>
      </c>
      <c r="E87" s="12" t="str">
        <f t="shared" si="3"/>
        <v>Working Day</v>
      </c>
      <c r="F87" s="12">
        <v>2</v>
      </c>
      <c r="G87" s="12" t="str">
        <f t="shared" si="4"/>
        <v>Tue</v>
      </c>
      <c r="H87" s="12">
        <v>1</v>
      </c>
      <c r="I87" s="12" t="str">
        <f t="shared" si="5"/>
        <v>mist/cloudy</v>
      </c>
      <c r="J87" s="12">
        <v>0.28000000000000003</v>
      </c>
      <c r="K87" s="12">
        <v>0.2727</v>
      </c>
      <c r="L87" s="12">
        <v>0.48</v>
      </c>
      <c r="M87" s="12">
        <v>0.22389999999999999</v>
      </c>
      <c r="N87" s="12">
        <v>10</v>
      </c>
      <c r="O87" s="12">
        <v>202</v>
      </c>
      <c r="P87" s="13">
        <v>212</v>
      </c>
    </row>
    <row r="88" spans="1:16" x14ac:dyDescent="0.25">
      <c r="A88" s="6">
        <v>87</v>
      </c>
      <c r="B88" s="7">
        <v>40547</v>
      </c>
      <c r="C88" s="8">
        <v>18</v>
      </c>
      <c r="D88" s="8" t="b">
        <v>0</v>
      </c>
      <c r="E88" s="8" t="str">
        <f t="shared" si="3"/>
        <v>Working Day</v>
      </c>
      <c r="F88" s="8">
        <v>2</v>
      </c>
      <c r="G88" s="8" t="str">
        <f t="shared" si="4"/>
        <v>Tue</v>
      </c>
      <c r="H88" s="8">
        <v>1</v>
      </c>
      <c r="I88" s="8" t="str">
        <f t="shared" si="5"/>
        <v>mist/cloudy</v>
      </c>
      <c r="J88" s="8">
        <v>0.26</v>
      </c>
      <c r="K88" s="8">
        <v>0.2576</v>
      </c>
      <c r="L88" s="8">
        <v>0.48</v>
      </c>
      <c r="M88" s="8">
        <v>0.19400000000000001</v>
      </c>
      <c r="N88" s="8">
        <v>3</v>
      </c>
      <c r="O88" s="8">
        <v>179</v>
      </c>
      <c r="P88" s="9">
        <v>182</v>
      </c>
    </row>
    <row r="89" spans="1:16" x14ac:dyDescent="0.25">
      <c r="A89" s="10">
        <v>88</v>
      </c>
      <c r="B89" s="11">
        <v>40547</v>
      </c>
      <c r="C89" s="12">
        <v>19</v>
      </c>
      <c r="D89" s="12" t="b">
        <v>0</v>
      </c>
      <c r="E89" s="12" t="str">
        <f t="shared" si="3"/>
        <v>Working Day</v>
      </c>
      <c r="F89" s="12">
        <v>2</v>
      </c>
      <c r="G89" s="12" t="str">
        <f t="shared" si="4"/>
        <v>Tue</v>
      </c>
      <c r="H89" s="12">
        <v>1</v>
      </c>
      <c r="I89" s="12" t="str">
        <f t="shared" si="5"/>
        <v>mist/cloudy</v>
      </c>
      <c r="J89" s="12">
        <v>0.24</v>
      </c>
      <c r="K89" s="12">
        <v>0.2576</v>
      </c>
      <c r="L89" s="12">
        <v>0.48</v>
      </c>
      <c r="M89" s="12">
        <v>0.1045</v>
      </c>
      <c r="N89" s="12">
        <v>2</v>
      </c>
      <c r="O89" s="12">
        <v>110</v>
      </c>
      <c r="P89" s="13">
        <v>112</v>
      </c>
    </row>
    <row r="90" spans="1:16" x14ac:dyDescent="0.25">
      <c r="A90" s="6">
        <v>89</v>
      </c>
      <c r="B90" s="7">
        <v>40547</v>
      </c>
      <c r="C90" s="8">
        <v>20</v>
      </c>
      <c r="D90" s="8" t="b">
        <v>0</v>
      </c>
      <c r="E90" s="8" t="str">
        <f t="shared" si="3"/>
        <v>Working Day</v>
      </c>
      <c r="F90" s="8">
        <v>2</v>
      </c>
      <c r="G90" s="8" t="str">
        <f t="shared" si="4"/>
        <v>Tue</v>
      </c>
      <c r="H90" s="8">
        <v>1</v>
      </c>
      <c r="I90" s="8" t="str">
        <f t="shared" si="5"/>
        <v>mist/cloudy</v>
      </c>
      <c r="J90" s="8">
        <v>0.24</v>
      </c>
      <c r="K90" s="8">
        <v>0.2576</v>
      </c>
      <c r="L90" s="8">
        <v>0.48</v>
      </c>
      <c r="M90" s="8">
        <v>0.1045</v>
      </c>
      <c r="N90" s="8">
        <v>1</v>
      </c>
      <c r="O90" s="8">
        <v>53</v>
      </c>
      <c r="P90" s="9">
        <v>54</v>
      </c>
    </row>
    <row r="91" spans="1:16" x14ac:dyDescent="0.25">
      <c r="A91" s="10">
        <v>90</v>
      </c>
      <c r="B91" s="11">
        <v>40547</v>
      </c>
      <c r="C91" s="12">
        <v>21</v>
      </c>
      <c r="D91" s="12" t="b">
        <v>0</v>
      </c>
      <c r="E91" s="12" t="str">
        <f t="shared" si="3"/>
        <v>Working Day</v>
      </c>
      <c r="F91" s="12">
        <v>2</v>
      </c>
      <c r="G91" s="12" t="str">
        <f t="shared" si="4"/>
        <v>Tue</v>
      </c>
      <c r="H91" s="12">
        <v>1</v>
      </c>
      <c r="I91" s="12" t="str">
        <f t="shared" si="5"/>
        <v>mist/cloudy</v>
      </c>
      <c r="J91" s="12">
        <v>0.22</v>
      </c>
      <c r="K91" s="12">
        <v>0.2727</v>
      </c>
      <c r="L91" s="12">
        <v>0.64</v>
      </c>
      <c r="M91" s="12">
        <v>0</v>
      </c>
      <c r="N91" s="12">
        <v>0</v>
      </c>
      <c r="O91" s="12">
        <v>48</v>
      </c>
      <c r="P91" s="13">
        <v>48</v>
      </c>
    </row>
    <row r="92" spans="1:16" x14ac:dyDescent="0.25">
      <c r="A92" s="6">
        <v>91</v>
      </c>
      <c r="B92" s="7">
        <v>40547</v>
      </c>
      <c r="C92" s="8">
        <v>22</v>
      </c>
      <c r="D92" s="8" t="b">
        <v>0</v>
      </c>
      <c r="E92" s="8" t="str">
        <f t="shared" si="3"/>
        <v>Working Day</v>
      </c>
      <c r="F92" s="8">
        <v>2</v>
      </c>
      <c r="G92" s="8" t="str">
        <f t="shared" si="4"/>
        <v>Tue</v>
      </c>
      <c r="H92" s="8">
        <v>1</v>
      </c>
      <c r="I92" s="8" t="str">
        <f t="shared" si="5"/>
        <v>mist/cloudy</v>
      </c>
      <c r="J92" s="8">
        <v>0.22</v>
      </c>
      <c r="K92" s="8">
        <v>0.2576</v>
      </c>
      <c r="L92" s="8">
        <v>0.64</v>
      </c>
      <c r="M92" s="8">
        <v>8.9599999999999999E-2</v>
      </c>
      <c r="N92" s="8">
        <v>1</v>
      </c>
      <c r="O92" s="8">
        <v>34</v>
      </c>
      <c r="P92" s="9">
        <v>35</v>
      </c>
    </row>
    <row r="93" spans="1:16" x14ac:dyDescent="0.25">
      <c r="A93" s="10">
        <v>92</v>
      </c>
      <c r="B93" s="11">
        <v>40547</v>
      </c>
      <c r="C93" s="12">
        <v>23</v>
      </c>
      <c r="D93" s="12" t="b">
        <v>0</v>
      </c>
      <c r="E93" s="12" t="str">
        <f t="shared" si="3"/>
        <v>Working Day</v>
      </c>
      <c r="F93" s="12">
        <v>2</v>
      </c>
      <c r="G93" s="12" t="str">
        <f t="shared" si="4"/>
        <v>Tue</v>
      </c>
      <c r="H93" s="12">
        <v>1</v>
      </c>
      <c r="I93" s="12" t="str">
        <f t="shared" si="5"/>
        <v>mist/cloudy</v>
      </c>
      <c r="J93" s="12">
        <v>0.2</v>
      </c>
      <c r="K93" s="12">
        <v>0.2273</v>
      </c>
      <c r="L93" s="12">
        <v>0.69</v>
      </c>
      <c r="M93" s="12">
        <v>8.9599999999999999E-2</v>
      </c>
      <c r="N93" s="12">
        <v>2</v>
      </c>
      <c r="O93" s="12">
        <v>9</v>
      </c>
      <c r="P93" s="13">
        <v>11</v>
      </c>
    </row>
    <row r="94" spans="1:16" x14ac:dyDescent="0.25">
      <c r="A94" s="6">
        <v>93</v>
      </c>
      <c r="B94" s="7">
        <v>40548</v>
      </c>
      <c r="C94" s="8">
        <v>0</v>
      </c>
      <c r="D94" s="8" t="b">
        <v>0</v>
      </c>
      <c r="E94" s="8" t="str">
        <f t="shared" si="3"/>
        <v>Working Day</v>
      </c>
      <c r="F94" s="8">
        <v>3</v>
      </c>
      <c r="G94" s="8" t="str">
        <f t="shared" si="4"/>
        <v>Wed</v>
      </c>
      <c r="H94" s="8">
        <v>1</v>
      </c>
      <c r="I94" s="8" t="str">
        <f t="shared" si="5"/>
        <v>mist/cloudy</v>
      </c>
      <c r="J94" s="8">
        <v>0.2</v>
      </c>
      <c r="K94" s="8">
        <v>0.2576</v>
      </c>
      <c r="L94" s="8">
        <v>0.64</v>
      </c>
      <c r="M94" s="8">
        <v>0</v>
      </c>
      <c r="N94" s="8">
        <v>0</v>
      </c>
      <c r="O94" s="8">
        <v>6</v>
      </c>
      <c r="P94" s="9">
        <v>6</v>
      </c>
    </row>
    <row r="95" spans="1:16" x14ac:dyDescent="0.25">
      <c r="A95" s="10">
        <v>94</v>
      </c>
      <c r="B95" s="11">
        <v>40548</v>
      </c>
      <c r="C95" s="12">
        <v>1</v>
      </c>
      <c r="D95" s="12" t="b">
        <v>0</v>
      </c>
      <c r="E95" s="12" t="str">
        <f t="shared" si="3"/>
        <v>Working Day</v>
      </c>
      <c r="F95" s="12">
        <v>3</v>
      </c>
      <c r="G95" s="12" t="str">
        <f t="shared" si="4"/>
        <v>Wed</v>
      </c>
      <c r="H95" s="12">
        <v>1</v>
      </c>
      <c r="I95" s="12" t="str">
        <f t="shared" si="5"/>
        <v>mist/cloudy</v>
      </c>
      <c r="J95" s="12">
        <v>0.16</v>
      </c>
      <c r="K95" s="12">
        <v>0.19700000000000001</v>
      </c>
      <c r="L95" s="12">
        <v>0.74</v>
      </c>
      <c r="M95" s="12">
        <v>8.9599999999999999E-2</v>
      </c>
      <c r="N95" s="12">
        <v>0</v>
      </c>
      <c r="O95" s="12">
        <v>6</v>
      </c>
      <c r="P95" s="13">
        <v>6</v>
      </c>
    </row>
    <row r="96" spans="1:16" x14ac:dyDescent="0.25">
      <c r="A96" s="6">
        <v>95</v>
      </c>
      <c r="B96" s="7">
        <v>40548</v>
      </c>
      <c r="C96" s="8">
        <v>2</v>
      </c>
      <c r="D96" s="8" t="b">
        <v>0</v>
      </c>
      <c r="E96" s="8" t="str">
        <f t="shared" si="3"/>
        <v>Working Day</v>
      </c>
      <c r="F96" s="8">
        <v>3</v>
      </c>
      <c r="G96" s="8" t="str">
        <f t="shared" si="4"/>
        <v>Wed</v>
      </c>
      <c r="H96" s="8">
        <v>1</v>
      </c>
      <c r="I96" s="8" t="str">
        <f t="shared" si="5"/>
        <v>mist/cloudy</v>
      </c>
      <c r="J96" s="8">
        <v>0.16</v>
      </c>
      <c r="K96" s="8">
        <v>0.19700000000000001</v>
      </c>
      <c r="L96" s="8">
        <v>0.74</v>
      </c>
      <c r="M96" s="8">
        <v>8.9599999999999999E-2</v>
      </c>
      <c r="N96" s="8">
        <v>0</v>
      </c>
      <c r="O96" s="8">
        <v>2</v>
      </c>
      <c r="P96" s="9">
        <v>2</v>
      </c>
    </row>
    <row r="97" spans="1:16" x14ac:dyDescent="0.25">
      <c r="A97" s="10">
        <v>96</v>
      </c>
      <c r="B97" s="11">
        <v>40548</v>
      </c>
      <c r="C97" s="12">
        <v>4</v>
      </c>
      <c r="D97" s="12" t="b">
        <v>0</v>
      </c>
      <c r="E97" s="12" t="str">
        <f t="shared" si="3"/>
        <v>Working Day</v>
      </c>
      <c r="F97" s="12">
        <v>3</v>
      </c>
      <c r="G97" s="12" t="str">
        <f t="shared" si="4"/>
        <v>Wed</v>
      </c>
      <c r="H97" s="12">
        <v>1</v>
      </c>
      <c r="I97" s="12" t="str">
        <f t="shared" si="5"/>
        <v>mist/cloudy</v>
      </c>
      <c r="J97" s="12">
        <v>0.24</v>
      </c>
      <c r="K97" s="12">
        <v>0.2273</v>
      </c>
      <c r="L97" s="12">
        <v>0.48</v>
      </c>
      <c r="M97" s="12">
        <v>0.22389999999999999</v>
      </c>
      <c r="N97" s="12">
        <v>0</v>
      </c>
      <c r="O97" s="12">
        <v>2</v>
      </c>
      <c r="P97" s="13">
        <v>2</v>
      </c>
    </row>
    <row r="98" spans="1:16" x14ac:dyDescent="0.25">
      <c r="A98" s="6">
        <v>97</v>
      </c>
      <c r="B98" s="7">
        <v>40548</v>
      </c>
      <c r="C98" s="8">
        <v>5</v>
      </c>
      <c r="D98" s="8" t="b">
        <v>0</v>
      </c>
      <c r="E98" s="8" t="str">
        <f t="shared" si="3"/>
        <v>Working Day</v>
      </c>
      <c r="F98" s="8">
        <v>3</v>
      </c>
      <c r="G98" s="8" t="str">
        <f t="shared" si="4"/>
        <v>Wed</v>
      </c>
      <c r="H98" s="8">
        <v>1</v>
      </c>
      <c r="I98" s="8" t="str">
        <f t="shared" si="5"/>
        <v>mist/cloudy</v>
      </c>
      <c r="J98" s="8">
        <v>0.22</v>
      </c>
      <c r="K98" s="8">
        <v>0.2273</v>
      </c>
      <c r="L98" s="8">
        <v>0.47</v>
      </c>
      <c r="M98" s="8">
        <v>0.16420000000000001</v>
      </c>
      <c r="N98" s="8">
        <v>0</v>
      </c>
      <c r="O98" s="8">
        <v>3</v>
      </c>
      <c r="P98" s="9">
        <v>3</v>
      </c>
    </row>
    <row r="99" spans="1:16" x14ac:dyDescent="0.25">
      <c r="A99" s="10">
        <v>98</v>
      </c>
      <c r="B99" s="11">
        <v>40548</v>
      </c>
      <c r="C99" s="12">
        <v>6</v>
      </c>
      <c r="D99" s="12" t="b">
        <v>0</v>
      </c>
      <c r="E99" s="12" t="str">
        <f t="shared" si="3"/>
        <v>Working Day</v>
      </c>
      <c r="F99" s="12">
        <v>3</v>
      </c>
      <c r="G99" s="12" t="str">
        <f t="shared" si="4"/>
        <v>Wed</v>
      </c>
      <c r="H99" s="12">
        <v>1</v>
      </c>
      <c r="I99" s="12" t="str">
        <f t="shared" si="5"/>
        <v>mist/cloudy</v>
      </c>
      <c r="J99" s="12">
        <v>0.2</v>
      </c>
      <c r="K99" s="12">
        <v>0.19700000000000001</v>
      </c>
      <c r="L99" s="12">
        <v>0.47</v>
      </c>
      <c r="M99" s="12">
        <v>0.22389999999999999</v>
      </c>
      <c r="N99" s="12">
        <v>0</v>
      </c>
      <c r="O99" s="12">
        <v>33</v>
      </c>
      <c r="P99" s="13">
        <v>33</v>
      </c>
    </row>
    <row r="100" spans="1:16" x14ac:dyDescent="0.25">
      <c r="A100" s="6">
        <v>99</v>
      </c>
      <c r="B100" s="7">
        <v>40548</v>
      </c>
      <c r="C100" s="8">
        <v>7</v>
      </c>
      <c r="D100" s="8" t="b">
        <v>0</v>
      </c>
      <c r="E100" s="8" t="str">
        <f t="shared" si="3"/>
        <v>Working Day</v>
      </c>
      <c r="F100" s="8">
        <v>3</v>
      </c>
      <c r="G100" s="8" t="str">
        <f t="shared" si="4"/>
        <v>Wed</v>
      </c>
      <c r="H100" s="8">
        <v>1</v>
      </c>
      <c r="I100" s="8" t="str">
        <f t="shared" si="5"/>
        <v>mist/cloudy</v>
      </c>
      <c r="J100" s="8">
        <v>0.18</v>
      </c>
      <c r="K100" s="8">
        <v>0.18179999999999999</v>
      </c>
      <c r="L100" s="8">
        <v>0.43</v>
      </c>
      <c r="M100" s="8">
        <v>0.19400000000000001</v>
      </c>
      <c r="N100" s="8">
        <v>1</v>
      </c>
      <c r="O100" s="8">
        <v>87</v>
      </c>
      <c r="P100" s="9">
        <v>88</v>
      </c>
    </row>
    <row r="101" spans="1:16" x14ac:dyDescent="0.25">
      <c r="A101" s="10">
        <v>100</v>
      </c>
      <c r="B101" s="11">
        <v>40548</v>
      </c>
      <c r="C101" s="12">
        <v>8</v>
      </c>
      <c r="D101" s="12" t="b">
        <v>0</v>
      </c>
      <c r="E101" s="12" t="str">
        <f t="shared" si="3"/>
        <v>Working Day</v>
      </c>
      <c r="F101" s="12">
        <v>3</v>
      </c>
      <c r="G101" s="12" t="str">
        <f t="shared" si="4"/>
        <v>Wed</v>
      </c>
      <c r="H101" s="12">
        <v>1</v>
      </c>
      <c r="I101" s="12" t="str">
        <f t="shared" si="5"/>
        <v>mist/cloudy</v>
      </c>
      <c r="J101" s="12">
        <v>0.2</v>
      </c>
      <c r="K101" s="12">
        <v>0.18179999999999999</v>
      </c>
      <c r="L101" s="12">
        <v>0.4</v>
      </c>
      <c r="M101" s="12">
        <v>0.29849999999999999</v>
      </c>
      <c r="N101" s="12">
        <v>3</v>
      </c>
      <c r="O101" s="12">
        <v>192</v>
      </c>
      <c r="P101" s="13">
        <v>195</v>
      </c>
    </row>
    <row r="102" spans="1:16" x14ac:dyDescent="0.25">
      <c r="A102" s="6">
        <v>101</v>
      </c>
      <c r="B102" s="7">
        <v>40548</v>
      </c>
      <c r="C102" s="8">
        <v>9</v>
      </c>
      <c r="D102" s="8" t="b">
        <v>0</v>
      </c>
      <c r="E102" s="8" t="str">
        <f t="shared" si="3"/>
        <v>Working Day</v>
      </c>
      <c r="F102" s="8">
        <v>3</v>
      </c>
      <c r="G102" s="8" t="str">
        <f t="shared" si="4"/>
        <v>Wed</v>
      </c>
      <c r="H102" s="8">
        <v>1</v>
      </c>
      <c r="I102" s="8" t="str">
        <f t="shared" si="5"/>
        <v>mist/cloudy</v>
      </c>
      <c r="J102" s="8">
        <v>0.22</v>
      </c>
      <c r="K102" s="8">
        <v>0.19700000000000001</v>
      </c>
      <c r="L102" s="8">
        <v>0.37</v>
      </c>
      <c r="M102" s="8">
        <v>0.32840000000000003</v>
      </c>
      <c r="N102" s="8">
        <v>6</v>
      </c>
      <c r="O102" s="8">
        <v>109</v>
      </c>
      <c r="P102" s="9">
        <v>115</v>
      </c>
    </row>
    <row r="103" spans="1:16" x14ac:dyDescent="0.25">
      <c r="A103" s="10">
        <v>102</v>
      </c>
      <c r="B103" s="11">
        <v>40548</v>
      </c>
      <c r="C103" s="12">
        <v>10</v>
      </c>
      <c r="D103" s="12" t="b">
        <v>0</v>
      </c>
      <c r="E103" s="12" t="str">
        <f t="shared" si="3"/>
        <v>Working Day</v>
      </c>
      <c r="F103" s="12">
        <v>3</v>
      </c>
      <c r="G103" s="12" t="str">
        <f t="shared" si="4"/>
        <v>Wed</v>
      </c>
      <c r="H103" s="12">
        <v>1</v>
      </c>
      <c r="I103" s="12" t="str">
        <f t="shared" si="5"/>
        <v>mist/cloudy</v>
      </c>
      <c r="J103" s="12">
        <v>0.22</v>
      </c>
      <c r="K103" s="12">
        <v>0.19700000000000001</v>
      </c>
      <c r="L103" s="12">
        <v>0.37</v>
      </c>
      <c r="M103" s="12">
        <v>0.32840000000000003</v>
      </c>
      <c r="N103" s="12">
        <v>4</v>
      </c>
      <c r="O103" s="12">
        <v>53</v>
      </c>
      <c r="P103" s="13">
        <v>57</v>
      </c>
    </row>
    <row r="104" spans="1:16" x14ac:dyDescent="0.25">
      <c r="A104" s="6">
        <v>103</v>
      </c>
      <c r="B104" s="7">
        <v>40548</v>
      </c>
      <c r="C104" s="8">
        <v>11</v>
      </c>
      <c r="D104" s="8" t="b">
        <v>0</v>
      </c>
      <c r="E104" s="8" t="str">
        <f t="shared" si="3"/>
        <v>Working Day</v>
      </c>
      <c r="F104" s="8">
        <v>3</v>
      </c>
      <c r="G104" s="8" t="str">
        <f t="shared" si="4"/>
        <v>Wed</v>
      </c>
      <c r="H104" s="8">
        <v>1</v>
      </c>
      <c r="I104" s="8" t="str">
        <f t="shared" si="5"/>
        <v>mist/cloudy</v>
      </c>
      <c r="J104" s="8">
        <v>0.26</v>
      </c>
      <c r="K104" s="8">
        <v>0.2273</v>
      </c>
      <c r="L104" s="8">
        <v>0.33</v>
      </c>
      <c r="M104" s="8">
        <v>0.32840000000000003</v>
      </c>
      <c r="N104" s="8">
        <v>12</v>
      </c>
      <c r="O104" s="8">
        <v>34</v>
      </c>
      <c r="P104" s="9">
        <v>46</v>
      </c>
    </row>
    <row r="105" spans="1:16" x14ac:dyDescent="0.25">
      <c r="A105" s="10">
        <v>104</v>
      </c>
      <c r="B105" s="11">
        <v>40548</v>
      </c>
      <c r="C105" s="12">
        <v>12</v>
      </c>
      <c r="D105" s="12" t="b">
        <v>0</v>
      </c>
      <c r="E105" s="12" t="str">
        <f t="shared" si="3"/>
        <v>Working Day</v>
      </c>
      <c r="F105" s="12">
        <v>3</v>
      </c>
      <c r="G105" s="12" t="str">
        <f t="shared" si="4"/>
        <v>Wed</v>
      </c>
      <c r="H105" s="12">
        <v>1</v>
      </c>
      <c r="I105" s="12" t="str">
        <f t="shared" si="5"/>
        <v>mist/cloudy</v>
      </c>
      <c r="J105" s="12">
        <v>0.26</v>
      </c>
      <c r="K105" s="12">
        <v>0.2273</v>
      </c>
      <c r="L105" s="12">
        <v>0.33</v>
      </c>
      <c r="M105" s="12">
        <v>0.32840000000000003</v>
      </c>
      <c r="N105" s="12">
        <v>5</v>
      </c>
      <c r="O105" s="12">
        <v>74</v>
      </c>
      <c r="P105" s="13">
        <v>79</v>
      </c>
    </row>
    <row r="106" spans="1:16" x14ac:dyDescent="0.25">
      <c r="A106" s="6">
        <v>105</v>
      </c>
      <c r="B106" s="7">
        <v>40548</v>
      </c>
      <c r="C106" s="8">
        <v>13</v>
      </c>
      <c r="D106" s="8" t="b">
        <v>0</v>
      </c>
      <c r="E106" s="8" t="str">
        <f t="shared" si="3"/>
        <v>Working Day</v>
      </c>
      <c r="F106" s="8">
        <v>3</v>
      </c>
      <c r="G106" s="8" t="str">
        <f t="shared" si="4"/>
        <v>Wed</v>
      </c>
      <c r="H106" s="8">
        <v>1</v>
      </c>
      <c r="I106" s="8" t="str">
        <f t="shared" si="5"/>
        <v>mist/cloudy</v>
      </c>
      <c r="J106" s="8">
        <v>0.28000000000000003</v>
      </c>
      <c r="K106" s="8">
        <v>0.2576</v>
      </c>
      <c r="L106" s="8">
        <v>0.3</v>
      </c>
      <c r="M106" s="8">
        <v>0.29849999999999999</v>
      </c>
      <c r="N106" s="8">
        <v>6</v>
      </c>
      <c r="O106" s="8">
        <v>65</v>
      </c>
      <c r="P106" s="9">
        <v>71</v>
      </c>
    </row>
    <row r="107" spans="1:16" x14ac:dyDescent="0.25">
      <c r="A107" s="10">
        <v>106</v>
      </c>
      <c r="B107" s="11">
        <v>40548</v>
      </c>
      <c r="C107" s="12">
        <v>14</v>
      </c>
      <c r="D107" s="12" t="b">
        <v>0</v>
      </c>
      <c r="E107" s="12" t="str">
        <f t="shared" si="3"/>
        <v>Working Day</v>
      </c>
      <c r="F107" s="12">
        <v>3</v>
      </c>
      <c r="G107" s="12" t="str">
        <f t="shared" si="4"/>
        <v>Wed</v>
      </c>
      <c r="H107" s="12">
        <v>1</v>
      </c>
      <c r="I107" s="12" t="str">
        <f t="shared" si="5"/>
        <v>mist/cloudy</v>
      </c>
      <c r="J107" s="12">
        <v>0.3</v>
      </c>
      <c r="K107" s="12">
        <v>0.28789999999999999</v>
      </c>
      <c r="L107" s="12">
        <v>0.28000000000000003</v>
      </c>
      <c r="M107" s="12">
        <v>0.19400000000000001</v>
      </c>
      <c r="N107" s="12">
        <v>10</v>
      </c>
      <c r="O107" s="12">
        <v>52</v>
      </c>
      <c r="P107" s="13">
        <v>62</v>
      </c>
    </row>
    <row r="108" spans="1:16" x14ac:dyDescent="0.25">
      <c r="A108" s="6">
        <v>107</v>
      </c>
      <c r="B108" s="7">
        <v>40548</v>
      </c>
      <c r="C108" s="8">
        <v>15</v>
      </c>
      <c r="D108" s="8" t="b">
        <v>0</v>
      </c>
      <c r="E108" s="8" t="str">
        <f t="shared" si="3"/>
        <v>Working Day</v>
      </c>
      <c r="F108" s="8">
        <v>3</v>
      </c>
      <c r="G108" s="8" t="str">
        <f t="shared" si="4"/>
        <v>Wed</v>
      </c>
      <c r="H108" s="8">
        <v>1</v>
      </c>
      <c r="I108" s="8" t="str">
        <f t="shared" si="5"/>
        <v>mist/cloudy</v>
      </c>
      <c r="J108" s="8">
        <v>0.3</v>
      </c>
      <c r="K108" s="8">
        <v>0.28789999999999999</v>
      </c>
      <c r="L108" s="8">
        <v>0.28000000000000003</v>
      </c>
      <c r="M108" s="8">
        <v>0.19400000000000001</v>
      </c>
      <c r="N108" s="8">
        <v>7</v>
      </c>
      <c r="O108" s="8">
        <v>55</v>
      </c>
      <c r="P108" s="9">
        <v>62</v>
      </c>
    </row>
    <row r="109" spans="1:16" x14ac:dyDescent="0.25">
      <c r="A109" s="10">
        <v>108</v>
      </c>
      <c r="B109" s="11">
        <v>40548</v>
      </c>
      <c r="C109" s="12">
        <v>16</v>
      </c>
      <c r="D109" s="12" t="b">
        <v>0</v>
      </c>
      <c r="E109" s="12" t="str">
        <f t="shared" si="3"/>
        <v>Working Day</v>
      </c>
      <c r="F109" s="12">
        <v>3</v>
      </c>
      <c r="G109" s="12" t="str">
        <f t="shared" si="4"/>
        <v>Wed</v>
      </c>
      <c r="H109" s="12">
        <v>1</v>
      </c>
      <c r="I109" s="12" t="str">
        <f t="shared" si="5"/>
        <v>mist/cloudy</v>
      </c>
      <c r="J109" s="12">
        <v>0.3</v>
      </c>
      <c r="K109" s="12">
        <v>0.31819999999999998</v>
      </c>
      <c r="L109" s="12">
        <v>0.28000000000000003</v>
      </c>
      <c r="M109" s="12">
        <v>8.9599999999999999E-2</v>
      </c>
      <c r="N109" s="12">
        <v>4</v>
      </c>
      <c r="O109" s="12">
        <v>85</v>
      </c>
      <c r="P109" s="13">
        <v>89</v>
      </c>
    </row>
    <row r="110" spans="1:16" x14ac:dyDescent="0.25">
      <c r="A110" s="6">
        <v>109</v>
      </c>
      <c r="B110" s="7">
        <v>40548</v>
      </c>
      <c r="C110" s="8">
        <v>17</v>
      </c>
      <c r="D110" s="8" t="b">
        <v>0</v>
      </c>
      <c r="E110" s="8" t="str">
        <f t="shared" si="3"/>
        <v>Working Day</v>
      </c>
      <c r="F110" s="8">
        <v>3</v>
      </c>
      <c r="G110" s="8" t="str">
        <f t="shared" si="4"/>
        <v>Wed</v>
      </c>
      <c r="H110" s="8">
        <v>1</v>
      </c>
      <c r="I110" s="8" t="str">
        <f t="shared" si="5"/>
        <v>mist/cloudy</v>
      </c>
      <c r="J110" s="8">
        <v>0.24</v>
      </c>
      <c r="K110" s="8">
        <v>0.2273</v>
      </c>
      <c r="L110" s="8">
        <v>0.38</v>
      </c>
      <c r="M110" s="8">
        <v>0.19400000000000001</v>
      </c>
      <c r="N110" s="8">
        <v>4</v>
      </c>
      <c r="O110" s="8">
        <v>186</v>
      </c>
      <c r="P110" s="9">
        <v>190</v>
      </c>
    </row>
    <row r="111" spans="1:16" x14ac:dyDescent="0.25">
      <c r="A111" s="10">
        <v>110</v>
      </c>
      <c r="B111" s="11">
        <v>40548</v>
      </c>
      <c r="C111" s="12">
        <v>18</v>
      </c>
      <c r="D111" s="12" t="b">
        <v>0</v>
      </c>
      <c r="E111" s="12" t="str">
        <f t="shared" si="3"/>
        <v>Working Day</v>
      </c>
      <c r="F111" s="12">
        <v>3</v>
      </c>
      <c r="G111" s="12" t="str">
        <f t="shared" si="4"/>
        <v>Wed</v>
      </c>
      <c r="H111" s="12">
        <v>1</v>
      </c>
      <c r="I111" s="12" t="str">
        <f t="shared" si="5"/>
        <v>mist/cloudy</v>
      </c>
      <c r="J111" s="12">
        <v>0.24</v>
      </c>
      <c r="K111" s="12">
        <v>0.2424</v>
      </c>
      <c r="L111" s="12">
        <v>0.38</v>
      </c>
      <c r="M111" s="12">
        <v>0.1343</v>
      </c>
      <c r="N111" s="12">
        <v>3</v>
      </c>
      <c r="O111" s="12">
        <v>166</v>
      </c>
      <c r="P111" s="13">
        <v>169</v>
      </c>
    </row>
    <row r="112" spans="1:16" x14ac:dyDescent="0.25">
      <c r="A112" s="6">
        <v>111</v>
      </c>
      <c r="B112" s="7">
        <v>40548</v>
      </c>
      <c r="C112" s="8">
        <v>19</v>
      </c>
      <c r="D112" s="8" t="b">
        <v>0</v>
      </c>
      <c r="E112" s="8" t="str">
        <f t="shared" si="3"/>
        <v>Working Day</v>
      </c>
      <c r="F112" s="8">
        <v>3</v>
      </c>
      <c r="G112" s="8" t="str">
        <f t="shared" si="4"/>
        <v>Wed</v>
      </c>
      <c r="H112" s="8">
        <v>1</v>
      </c>
      <c r="I112" s="8" t="str">
        <f t="shared" si="5"/>
        <v>mist/cloudy</v>
      </c>
      <c r="J112" s="8">
        <v>0.24</v>
      </c>
      <c r="K112" s="8">
        <v>0.2576</v>
      </c>
      <c r="L112" s="8">
        <v>0.38</v>
      </c>
      <c r="M112" s="8">
        <v>0.1045</v>
      </c>
      <c r="N112" s="8">
        <v>5</v>
      </c>
      <c r="O112" s="8">
        <v>127</v>
      </c>
      <c r="P112" s="9">
        <v>132</v>
      </c>
    </row>
    <row r="113" spans="1:16" x14ac:dyDescent="0.25">
      <c r="A113" s="10">
        <v>112</v>
      </c>
      <c r="B113" s="11">
        <v>40548</v>
      </c>
      <c r="C113" s="12">
        <v>20</v>
      </c>
      <c r="D113" s="12" t="b">
        <v>0</v>
      </c>
      <c r="E113" s="12" t="str">
        <f t="shared" si="3"/>
        <v>Working Day</v>
      </c>
      <c r="F113" s="12">
        <v>3</v>
      </c>
      <c r="G113" s="12" t="str">
        <f t="shared" si="4"/>
        <v>Wed</v>
      </c>
      <c r="H113" s="12">
        <v>1</v>
      </c>
      <c r="I113" s="12" t="str">
        <f t="shared" si="5"/>
        <v>mist/cloudy</v>
      </c>
      <c r="J113" s="12">
        <v>0.22</v>
      </c>
      <c r="K113" s="12">
        <v>0.2273</v>
      </c>
      <c r="L113" s="12">
        <v>0.47</v>
      </c>
      <c r="M113" s="12">
        <v>0.16420000000000001</v>
      </c>
      <c r="N113" s="12">
        <v>7</v>
      </c>
      <c r="O113" s="12">
        <v>82</v>
      </c>
      <c r="P113" s="13">
        <v>89</v>
      </c>
    </row>
    <row r="114" spans="1:16" x14ac:dyDescent="0.25">
      <c r="A114" s="6">
        <v>113</v>
      </c>
      <c r="B114" s="7">
        <v>40548</v>
      </c>
      <c r="C114" s="8">
        <v>21</v>
      </c>
      <c r="D114" s="8" t="b">
        <v>0</v>
      </c>
      <c r="E114" s="8" t="str">
        <f t="shared" si="3"/>
        <v>Working Day</v>
      </c>
      <c r="F114" s="8">
        <v>3</v>
      </c>
      <c r="G114" s="8" t="str">
        <f t="shared" si="4"/>
        <v>Wed</v>
      </c>
      <c r="H114" s="8">
        <v>1</v>
      </c>
      <c r="I114" s="8" t="str">
        <f t="shared" si="5"/>
        <v>mist/cloudy</v>
      </c>
      <c r="J114" s="8">
        <v>0.2</v>
      </c>
      <c r="K114" s="8">
        <v>0.19700000000000001</v>
      </c>
      <c r="L114" s="8">
        <v>0.51</v>
      </c>
      <c r="M114" s="8">
        <v>0.19400000000000001</v>
      </c>
      <c r="N114" s="8">
        <v>3</v>
      </c>
      <c r="O114" s="8">
        <v>40</v>
      </c>
      <c r="P114" s="9">
        <v>43</v>
      </c>
    </row>
    <row r="115" spans="1:16" x14ac:dyDescent="0.25">
      <c r="A115" s="10">
        <v>114</v>
      </c>
      <c r="B115" s="11">
        <v>40548</v>
      </c>
      <c r="C115" s="12">
        <v>22</v>
      </c>
      <c r="D115" s="12" t="b">
        <v>0</v>
      </c>
      <c r="E115" s="12" t="str">
        <f t="shared" si="3"/>
        <v>Working Day</v>
      </c>
      <c r="F115" s="12">
        <v>3</v>
      </c>
      <c r="G115" s="12" t="str">
        <f t="shared" si="4"/>
        <v>Wed</v>
      </c>
      <c r="H115" s="12">
        <v>1</v>
      </c>
      <c r="I115" s="12" t="str">
        <f t="shared" si="5"/>
        <v>mist/cloudy</v>
      </c>
      <c r="J115" s="12">
        <v>0.18</v>
      </c>
      <c r="K115" s="12">
        <v>0.19700000000000001</v>
      </c>
      <c r="L115" s="12">
        <v>0.55000000000000004</v>
      </c>
      <c r="M115" s="12">
        <v>0.1343</v>
      </c>
      <c r="N115" s="12">
        <v>1</v>
      </c>
      <c r="O115" s="12">
        <v>41</v>
      </c>
      <c r="P115" s="13">
        <v>42</v>
      </c>
    </row>
    <row r="116" spans="1:16" x14ac:dyDescent="0.25">
      <c r="A116" s="6">
        <v>115</v>
      </c>
      <c r="B116" s="7">
        <v>40548</v>
      </c>
      <c r="C116" s="8">
        <v>23</v>
      </c>
      <c r="D116" s="8" t="b">
        <v>0</v>
      </c>
      <c r="E116" s="8" t="str">
        <f t="shared" si="3"/>
        <v>Working Day</v>
      </c>
      <c r="F116" s="8">
        <v>3</v>
      </c>
      <c r="G116" s="8" t="str">
        <f t="shared" si="4"/>
        <v>Wed</v>
      </c>
      <c r="H116" s="8">
        <v>1</v>
      </c>
      <c r="I116" s="8" t="str">
        <f t="shared" si="5"/>
        <v>mist/cloudy</v>
      </c>
      <c r="J116" s="8">
        <v>0.2</v>
      </c>
      <c r="K116" s="8">
        <v>0.2576</v>
      </c>
      <c r="L116" s="8">
        <v>0.47</v>
      </c>
      <c r="M116" s="8">
        <v>0</v>
      </c>
      <c r="N116" s="8">
        <v>1</v>
      </c>
      <c r="O116" s="8">
        <v>18</v>
      </c>
      <c r="P116" s="9">
        <v>19</v>
      </c>
    </row>
    <row r="117" spans="1:16" x14ac:dyDescent="0.25">
      <c r="A117" s="10">
        <v>116</v>
      </c>
      <c r="B117" s="11">
        <v>40549</v>
      </c>
      <c r="C117" s="12">
        <v>0</v>
      </c>
      <c r="D117" s="12" t="b">
        <v>0</v>
      </c>
      <c r="E117" s="12" t="str">
        <f t="shared" si="3"/>
        <v>Working Day</v>
      </c>
      <c r="F117" s="12">
        <v>4</v>
      </c>
      <c r="G117" s="12" t="str">
        <f t="shared" si="4"/>
        <v>Thu</v>
      </c>
      <c r="H117" s="12">
        <v>1</v>
      </c>
      <c r="I117" s="12" t="str">
        <f t="shared" si="5"/>
        <v>mist/cloudy</v>
      </c>
      <c r="J117" s="12">
        <v>0.18</v>
      </c>
      <c r="K117" s="12">
        <v>0.2424</v>
      </c>
      <c r="L117" s="12">
        <v>0.55000000000000004</v>
      </c>
      <c r="M117" s="12">
        <v>0</v>
      </c>
      <c r="N117" s="12">
        <v>0</v>
      </c>
      <c r="O117" s="12">
        <v>11</v>
      </c>
      <c r="P117" s="13">
        <v>11</v>
      </c>
    </row>
    <row r="118" spans="1:16" x14ac:dyDescent="0.25">
      <c r="A118" s="6">
        <v>117</v>
      </c>
      <c r="B118" s="7">
        <v>40549</v>
      </c>
      <c r="C118" s="8">
        <v>1</v>
      </c>
      <c r="D118" s="8" t="b">
        <v>0</v>
      </c>
      <c r="E118" s="8" t="str">
        <f t="shared" si="3"/>
        <v>Working Day</v>
      </c>
      <c r="F118" s="8">
        <v>4</v>
      </c>
      <c r="G118" s="8" t="str">
        <f t="shared" si="4"/>
        <v>Thu</v>
      </c>
      <c r="H118" s="8">
        <v>1</v>
      </c>
      <c r="I118" s="8" t="str">
        <f t="shared" si="5"/>
        <v>mist/cloudy</v>
      </c>
      <c r="J118" s="8">
        <v>0.16</v>
      </c>
      <c r="K118" s="8">
        <v>0.2273</v>
      </c>
      <c r="L118" s="8">
        <v>0.64</v>
      </c>
      <c r="M118" s="8">
        <v>0</v>
      </c>
      <c r="N118" s="8">
        <v>0</v>
      </c>
      <c r="O118" s="8">
        <v>4</v>
      </c>
      <c r="P118" s="9">
        <v>4</v>
      </c>
    </row>
    <row r="119" spans="1:16" x14ac:dyDescent="0.25">
      <c r="A119" s="10">
        <v>118</v>
      </c>
      <c r="B119" s="11">
        <v>40549</v>
      </c>
      <c r="C119" s="12">
        <v>2</v>
      </c>
      <c r="D119" s="12" t="b">
        <v>0</v>
      </c>
      <c r="E119" s="12" t="str">
        <f t="shared" si="3"/>
        <v>Working Day</v>
      </c>
      <c r="F119" s="12">
        <v>4</v>
      </c>
      <c r="G119" s="12" t="str">
        <f t="shared" si="4"/>
        <v>Thu</v>
      </c>
      <c r="H119" s="12">
        <v>1</v>
      </c>
      <c r="I119" s="12" t="str">
        <f t="shared" si="5"/>
        <v>mist/cloudy</v>
      </c>
      <c r="J119" s="12">
        <v>0.16</v>
      </c>
      <c r="K119" s="12">
        <v>0.2273</v>
      </c>
      <c r="L119" s="12">
        <v>0.64</v>
      </c>
      <c r="M119" s="12">
        <v>0</v>
      </c>
      <c r="N119" s="12">
        <v>0</v>
      </c>
      <c r="O119" s="12">
        <v>2</v>
      </c>
      <c r="P119" s="13">
        <v>2</v>
      </c>
    </row>
    <row r="120" spans="1:16" x14ac:dyDescent="0.25">
      <c r="A120" s="6">
        <v>119</v>
      </c>
      <c r="B120" s="7">
        <v>40549</v>
      </c>
      <c r="C120" s="8">
        <v>4</v>
      </c>
      <c r="D120" s="8" t="b">
        <v>0</v>
      </c>
      <c r="E120" s="8" t="str">
        <f t="shared" si="3"/>
        <v>Working Day</v>
      </c>
      <c r="F120" s="8">
        <v>4</v>
      </c>
      <c r="G120" s="8" t="str">
        <f t="shared" si="4"/>
        <v>Thu</v>
      </c>
      <c r="H120" s="8">
        <v>2</v>
      </c>
      <c r="I120" s="8" t="str">
        <f t="shared" si="5"/>
        <v>light rain</v>
      </c>
      <c r="J120" s="8">
        <v>0.16</v>
      </c>
      <c r="K120" s="8">
        <v>0.19700000000000001</v>
      </c>
      <c r="L120" s="8">
        <v>0.64</v>
      </c>
      <c r="M120" s="8">
        <v>8.9599999999999999E-2</v>
      </c>
      <c r="N120" s="8">
        <v>0</v>
      </c>
      <c r="O120" s="8">
        <v>1</v>
      </c>
      <c r="P120" s="9">
        <v>1</v>
      </c>
    </row>
    <row r="121" spans="1:16" x14ac:dyDescent="0.25">
      <c r="A121" s="10">
        <v>120</v>
      </c>
      <c r="B121" s="11">
        <v>40549</v>
      </c>
      <c r="C121" s="12">
        <v>5</v>
      </c>
      <c r="D121" s="12" t="b">
        <v>0</v>
      </c>
      <c r="E121" s="12" t="str">
        <f t="shared" si="3"/>
        <v>Working Day</v>
      </c>
      <c r="F121" s="12">
        <v>4</v>
      </c>
      <c r="G121" s="12" t="str">
        <f t="shared" si="4"/>
        <v>Thu</v>
      </c>
      <c r="H121" s="12">
        <v>2</v>
      </c>
      <c r="I121" s="12" t="str">
        <f t="shared" si="5"/>
        <v>light rain</v>
      </c>
      <c r="J121" s="12">
        <v>0.14000000000000001</v>
      </c>
      <c r="K121" s="12">
        <v>0.18179999999999999</v>
      </c>
      <c r="L121" s="12">
        <v>0.69</v>
      </c>
      <c r="M121" s="12">
        <v>8.9599999999999999E-2</v>
      </c>
      <c r="N121" s="12">
        <v>0</v>
      </c>
      <c r="O121" s="12">
        <v>4</v>
      </c>
      <c r="P121" s="13">
        <v>4</v>
      </c>
    </row>
    <row r="122" spans="1:16" x14ac:dyDescent="0.25">
      <c r="A122" s="6">
        <v>121</v>
      </c>
      <c r="B122" s="7">
        <v>40549</v>
      </c>
      <c r="C122" s="8">
        <v>6</v>
      </c>
      <c r="D122" s="8" t="b">
        <v>0</v>
      </c>
      <c r="E122" s="8" t="str">
        <f t="shared" si="3"/>
        <v>Working Day</v>
      </c>
      <c r="F122" s="8">
        <v>4</v>
      </c>
      <c r="G122" s="8" t="str">
        <f t="shared" si="4"/>
        <v>Thu</v>
      </c>
      <c r="H122" s="8">
        <v>2</v>
      </c>
      <c r="I122" s="8" t="str">
        <f t="shared" si="5"/>
        <v>light rain</v>
      </c>
      <c r="J122" s="8">
        <v>0.14000000000000001</v>
      </c>
      <c r="K122" s="8">
        <v>0.16669999999999999</v>
      </c>
      <c r="L122" s="8">
        <v>0.63</v>
      </c>
      <c r="M122" s="8">
        <v>0.1045</v>
      </c>
      <c r="N122" s="8">
        <v>0</v>
      </c>
      <c r="O122" s="8">
        <v>36</v>
      </c>
      <c r="P122" s="9">
        <v>36</v>
      </c>
    </row>
    <row r="123" spans="1:16" x14ac:dyDescent="0.25">
      <c r="A123" s="10">
        <v>122</v>
      </c>
      <c r="B123" s="11">
        <v>40549</v>
      </c>
      <c r="C123" s="12">
        <v>7</v>
      </c>
      <c r="D123" s="12" t="b">
        <v>0</v>
      </c>
      <c r="E123" s="12" t="str">
        <f t="shared" si="3"/>
        <v>Working Day</v>
      </c>
      <c r="F123" s="12">
        <v>4</v>
      </c>
      <c r="G123" s="12" t="str">
        <f t="shared" si="4"/>
        <v>Thu</v>
      </c>
      <c r="H123" s="12">
        <v>2</v>
      </c>
      <c r="I123" s="12" t="str">
        <f t="shared" si="5"/>
        <v>light rain</v>
      </c>
      <c r="J123" s="12">
        <v>0.16</v>
      </c>
      <c r="K123" s="12">
        <v>0.2273</v>
      </c>
      <c r="L123" s="12">
        <v>0.59</v>
      </c>
      <c r="M123" s="12">
        <v>0</v>
      </c>
      <c r="N123" s="12">
        <v>0</v>
      </c>
      <c r="O123" s="12">
        <v>95</v>
      </c>
      <c r="P123" s="13">
        <v>95</v>
      </c>
    </row>
    <row r="124" spans="1:16" x14ac:dyDescent="0.25">
      <c r="A124" s="6">
        <v>123</v>
      </c>
      <c r="B124" s="7">
        <v>40549</v>
      </c>
      <c r="C124" s="8">
        <v>8</v>
      </c>
      <c r="D124" s="8" t="b">
        <v>0</v>
      </c>
      <c r="E124" s="8" t="str">
        <f t="shared" si="3"/>
        <v>Working Day</v>
      </c>
      <c r="F124" s="8">
        <v>4</v>
      </c>
      <c r="G124" s="8" t="str">
        <f t="shared" si="4"/>
        <v>Thu</v>
      </c>
      <c r="H124" s="8">
        <v>1</v>
      </c>
      <c r="I124" s="8" t="str">
        <f t="shared" si="5"/>
        <v>mist/cloudy</v>
      </c>
      <c r="J124" s="8">
        <v>0.16</v>
      </c>
      <c r="K124" s="8">
        <v>0.2273</v>
      </c>
      <c r="L124" s="8">
        <v>0.59</v>
      </c>
      <c r="M124" s="8">
        <v>0</v>
      </c>
      <c r="N124" s="8">
        <v>3</v>
      </c>
      <c r="O124" s="8">
        <v>216</v>
      </c>
      <c r="P124" s="9">
        <v>219</v>
      </c>
    </row>
    <row r="125" spans="1:16" x14ac:dyDescent="0.25">
      <c r="A125" s="10">
        <v>124</v>
      </c>
      <c r="B125" s="11">
        <v>40549</v>
      </c>
      <c r="C125" s="12">
        <v>9</v>
      </c>
      <c r="D125" s="12" t="b">
        <v>0</v>
      </c>
      <c r="E125" s="12" t="str">
        <f t="shared" si="3"/>
        <v>Working Day</v>
      </c>
      <c r="F125" s="12">
        <v>4</v>
      </c>
      <c r="G125" s="12" t="str">
        <f t="shared" si="4"/>
        <v>Thu</v>
      </c>
      <c r="H125" s="12">
        <v>2</v>
      </c>
      <c r="I125" s="12" t="str">
        <f t="shared" si="5"/>
        <v>light rain</v>
      </c>
      <c r="J125" s="12">
        <v>0.18</v>
      </c>
      <c r="K125" s="12">
        <v>0.2424</v>
      </c>
      <c r="L125" s="12">
        <v>0.51</v>
      </c>
      <c r="M125" s="12">
        <v>0</v>
      </c>
      <c r="N125" s="12">
        <v>6</v>
      </c>
      <c r="O125" s="12">
        <v>116</v>
      </c>
      <c r="P125" s="13">
        <v>122</v>
      </c>
    </row>
    <row r="126" spans="1:16" x14ac:dyDescent="0.25">
      <c r="A126" s="6">
        <v>125</v>
      </c>
      <c r="B126" s="7">
        <v>40549</v>
      </c>
      <c r="C126" s="8">
        <v>10</v>
      </c>
      <c r="D126" s="8" t="b">
        <v>0</v>
      </c>
      <c r="E126" s="8" t="str">
        <f t="shared" si="3"/>
        <v>Working Day</v>
      </c>
      <c r="F126" s="8">
        <v>4</v>
      </c>
      <c r="G126" s="8" t="str">
        <f t="shared" si="4"/>
        <v>Thu</v>
      </c>
      <c r="H126" s="8">
        <v>1</v>
      </c>
      <c r="I126" s="8" t="str">
        <f t="shared" si="5"/>
        <v>mist/cloudy</v>
      </c>
      <c r="J126" s="8">
        <v>0.2</v>
      </c>
      <c r="K126" s="8">
        <v>0.2576</v>
      </c>
      <c r="L126" s="8">
        <v>0.47</v>
      </c>
      <c r="M126" s="8">
        <v>0</v>
      </c>
      <c r="N126" s="8">
        <v>3</v>
      </c>
      <c r="O126" s="8">
        <v>42</v>
      </c>
      <c r="P126" s="9">
        <v>45</v>
      </c>
    </row>
    <row r="127" spans="1:16" x14ac:dyDescent="0.25">
      <c r="A127" s="10">
        <v>126</v>
      </c>
      <c r="B127" s="11">
        <v>40549</v>
      </c>
      <c r="C127" s="12">
        <v>11</v>
      </c>
      <c r="D127" s="12" t="b">
        <v>0</v>
      </c>
      <c r="E127" s="12" t="str">
        <f t="shared" si="3"/>
        <v>Working Day</v>
      </c>
      <c r="F127" s="12">
        <v>4</v>
      </c>
      <c r="G127" s="12" t="str">
        <f t="shared" si="4"/>
        <v>Thu</v>
      </c>
      <c r="H127" s="12">
        <v>1</v>
      </c>
      <c r="I127" s="12" t="str">
        <f t="shared" si="5"/>
        <v>mist/cloudy</v>
      </c>
      <c r="J127" s="12">
        <v>0.22</v>
      </c>
      <c r="K127" s="12">
        <v>0.2576</v>
      </c>
      <c r="L127" s="12">
        <v>0.44</v>
      </c>
      <c r="M127" s="12">
        <v>8.9599999999999999E-2</v>
      </c>
      <c r="N127" s="12">
        <v>2</v>
      </c>
      <c r="O127" s="12">
        <v>57</v>
      </c>
      <c r="P127" s="13">
        <v>59</v>
      </c>
    </row>
    <row r="128" spans="1:16" x14ac:dyDescent="0.25">
      <c r="A128" s="6">
        <v>127</v>
      </c>
      <c r="B128" s="7">
        <v>40549</v>
      </c>
      <c r="C128" s="8">
        <v>12</v>
      </c>
      <c r="D128" s="8" t="b">
        <v>0</v>
      </c>
      <c r="E128" s="8" t="str">
        <f t="shared" si="3"/>
        <v>Working Day</v>
      </c>
      <c r="F128" s="8">
        <v>4</v>
      </c>
      <c r="G128" s="8" t="str">
        <f t="shared" si="4"/>
        <v>Thu</v>
      </c>
      <c r="H128" s="8">
        <v>1</v>
      </c>
      <c r="I128" s="8" t="str">
        <f t="shared" si="5"/>
        <v>mist/cloudy</v>
      </c>
      <c r="J128" s="8">
        <v>0.26</v>
      </c>
      <c r="K128" s="8">
        <v>0.28789999999999999</v>
      </c>
      <c r="L128" s="8">
        <v>0.35</v>
      </c>
      <c r="M128" s="8">
        <v>0</v>
      </c>
      <c r="N128" s="8">
        <v>6</v>
      </c>
      <c r="O128" s="8">
        <v>78</v>
      </c>
      <c r="P128" s="9">
        <v>84</v>
      </c>
    </row>
    <row r="129" spans="1:16" x14ac:dyDescent="0.25">
      <c r="A129" s="10">
        <v>128</v>
      </c>
      <c r="B129" s="11">
        <v>40549</v>
      </c>
      <c r="C129" s="12">
        <v>13</v>
      </c>
      <c r="D129" s="12" t="b">
        <v>0</v>
      </c>
      <c r="E129" s="12" t="str">
        <f t="shared" si="3"/>
        <v>Working Day</v>
      </c>
      <c r="F129" s="12">
        <v>4</v>
      </c>
      <c r="G129" s="12" t="str">
        <f t="shared" si="4"/>
        <v>Thu</v>
      </c>
      <c r="H129" s="12">
        <v>1</v>
      </c>
      <c r="I129" s="12" t="str">
        <f t="shared" si="5"/>
        <v>mist/cloudy</v>
      </c>
      <c r="J129" s="12">
        <v>0.26</v>
      </c>
      <c r="K129" s="12">
        <v>0.2727</v>
      </c>
      <c r="L129" s="12">
        <v>0.35</v>
      </c>
      <c r="M129" s="12">
        <v>0.1045</v>
      </c>
      <c r="N129" s="12">
        <v>12</v>
      </c>
      <c r="O129" s="12">
        <v>55</v>
      </c>
      <c r="P129" s="13">
        <v>67</v>
      </c>
    </row>
    <row r="130" spans="1:16" x14ac:dyDescent="0.25">
      <c r="A130" s="6">
        <v>129</v>
      </c>
      <c r="B130" s="7">
        <v>40549</v>
      </c>
      <c r="C130" s="8">
        <v>14</v>
      </c>
      <c r="D130" s="8" t="b">
        <v>0</v>
      </c>
      <c r="E130" s="8" t="str">
        <f t="shared" ref="E130:E193" si="6">IF(D130=FALSE,"Working Day","Holiday")</f>
        <v>Working Day</v>
      </c>
      <c r="F130" s="8">
        <v>4</v>
      </c>
      <c r="G130" s="8" t="str">
        <f t="shared" ref="G130:G193" si="7">TEXT(F130+1, "ddd")</f>
        <v>Thu</v>
      </c>
      <c r="H130" s="8">
        <v>1</v>
      </c>
      <c r="I130" s="8" t="str">
        <f t="shared" si="5"/>
        <v>mist/cloudy</v>
      </c>
      <c r="J130" s="8">
        <v>0.28000000000000003</v>
      </c>
      <c r="K130" s="8">
        <v>0.2727</v>
      </c>
      <c r="L130" s="8">
        <v>0.36</v>
      </c>
      <c r="M130" s="8">
        <v>0.16420000000000001</v>
      </c>
      <c r="N130" s="8">
        <v>11</v>
      </c>
      <c r="O130" s="8">
        <v>59</v>
      </c>
      <c r="P130" s="9">
        <v>70</v>
      </c>
    </row>
    <row r="131" spans="1:16" x14ac:dyDescent="0.25">
      <c r="A131" s="10">
        <v>130</v>
      </c>
      <c r="B131" s="11">
        <v>40549</v>
      </c>
      <c r="C131" s="12">
        <v>15</v>
      </c>
      <c r="D131" s="12" t="b">
        <v>0</v>
      </c>
      <c r="E131" s="12" t="str">
        <f t="shared" si="6"/>
        <v>Working Day</v>
      </c>
      <c r="F131" s="12">
        <v>4</v>
      </c>
      <c r="G131" s="12" t="str">
        <f t="shared" si="7"/>
        <v>Thu</v>
      </c>
      <c r="H131" s="12">
        <v>1</v>
      </c>
      <c r="I131" s="12" t="str">
        <f t="shared" ref="I131:I194" si="8">IF(H131=0, "clear", IF(H131=1, "mist/cloudy", IF(H131=2, "light rain", IF(H131=3, "heavy rain", IF(H131=4, "extreme weather condition", "Unknown")))))</f>
        <v>mist/cloudy</v>
      </c>
      <c r="J131" s="12">
        <v>0.28000000000000003</v>
      </c>
      <c r="K131" s="12">
        <v>0.2727</v>
      </c>
      <c r="L131" s="12">
        <v>0.36</v>
      </c>
      <c r="M131" s="12">
        <v>0</v>
      </c>
      <c r="N131" s="12">
        <v>8</v>
      </c>
      <c r="O131" s="12">
        <v>54</v>
      </c>
      <c r="P131" s="13">
        <v>62</v>
      </c>
    </row>
    <row r="132" spans="1:16" x14ac:dyDescent="0.25">
      <c r="A132" s="6">
        <v>131</v>
      </c>
      <c r="B132" s="7">
        <v>40549</v>
      </c>
      <c r="C132" s="8">
        <v>16</v>
      </c>
      <c r="D132" s="8" t="b">
        <v>0</v>
      </c>
      <c r="E132" s="8" t="str">
        <f t="shared" si="6"/>
        <v>Working Day</v>
      </c>
      <c r="F132" s="8">
        <v>4</v>
      </c>
      <c r="G132" s="8" t="str">
        <f t="shared" si="7"/>
        <v>Thu</v>
      </c>
      <c r="H132" s="8">
        <v>1</v>
      </c>
      <c r="I132" s="8" t="str">
        <f t="shared" si="8"/>
        <v>mist/cloudy</v>
      </c>
      <c r="J132" s="8">
        <v>0.26</v>
      </c>
      <c r="K132" s="8">
        <v>0.2576</v>
      </c>
      <c r="L132" s="8">
        <v>0.38</v>
      </c>
      <c r="M132" s="8">
        <v>0.16420000000000001</v>
      </c>
      <c r="N132" s="8">
        <v>12</v>
      </c>
      <c r="O132" s="8">
        <v>74</v>
      </c>
      <c r="P132" s="9">
        <v>86</v>
      </c>
    </row>
    <row r="133" spans="1:16" x14ac:dyDescent="0.25">
      <c r="A133" s="10">
        <v>132</v>
      </c>
      <c r="B133" s="11">
        <v>40549</v>
      </c>
      <c r="C133" s="12">
        <v>17</v>
      </c>
      <c r="D133" s="12" t="b">
        <v>0</v>
      </c>
      <c r="E133" s="12" t="str">
        <f t="shared" si="6"/>
        <v>Working Day</v>
      </c>
      <c r="F133" s="12">
        <v>4</v>
      </c>
      <c r="G133" s="12" t="str">
        <f t="shared" si="7"/>
        <v>Thu</v>
      </c>
      <c r="H133" s="12">
        <v>1</v>
      </c>
      <c r="I133" s="12" t="str">
        <f t="shared" si="8"/>
        <v>mist/cloudy</v>
      </c>
      <c r="J133" s="12">
        <v>0.22</v>
      </c>
      <c r="K133" s="12">
        <v>0.2273</v>
      </c>
      <c r="L133" s="12">
        <v>0.51</v>
      </c>
      <c r="M133" s="12">
        <v>0.16420000000000001</v>
      </c>
      <c r="N133" s="12">
        <v>9</v>
      </c>
      <c r="O133" s="12">
        <v>163</v>
      </c>
      <c r="P133" s="13">
        <v>172</v>
      </c>
    </row>
    <row r="134" spans="1:16" x14ac:dyDescent="0.25">
      <c r="A134" s="6">
        <v>133</v>
      </c>
      <c r="B134" s="7">
        <v>40549</v>
      </c>
      <c r="C134" s="8">
        <v>18</v>
      </c>
      <c r="D134" s="8" t="b">
        <v>0</v>
      </c>
      <c r="E134" s="8" t="str">
        <f t="shared" si="6"/>
        <v>Working Day</v>
      </c>
      <c r="F134" s="8">
        <v>4</v>
      </c>
      <c r="G134" s="8" t="str">
        <f t="shared" si="7"/>
        <v>Thu</v>
      </c>
      <c r="H134" s="8">
        <v>1</v>
      </c>
      <c r="I134" s="8" t="str">
        <f t="shared" si="8"/>
        <v>mist/cloudy</v>
      </c>
      <c r="J134" s="8">
        <v>0.22</v>
      </c>
      <c r="K134" s="8">
        <v>0.2273</v>
      </c>
      <c r="L134" s="8">
        <v>0.51</v>
      </c>
      <c r="M134" s="8">
        <v>0.1343</v>
      </c>
      <c r="N134" s="8">
        <v>5</v>
      </c>
      <c r="O134" s="8">
        <v>158</v>
      </c>
      <c r="P134" s="9">
        <v>163</v>
      </c>
    </row>
    <row r="135" spans="1:16" x14ac:dyDescent="0.25">
      <c r="A135" s="10">
        <v>134</v>
      </c>
      <c r="B135" s="11">
        <v>40549</v>
      </c>
      <c r="C135" s="12">
        <v>19</v>
      </c>
      <c r="D135" s="12" t="b">
        <v>0</v>
      </c>
      <c r="E135" s="12" t="str">
        <f t="shared" si="6"/>
        <v>Working Day</v>
      </c>
      <c r="F135" s="12">
        <v>4</v>
      </c>
      <c r="G135" s="12" t="str">
        <f t="shared" si="7"/>
        <v>Thu</v>
      </c>
      <c r="H135" s="12">
        <v>1</v>
      </c>
      <c r="I135" s="12" t="str">
        <f t="shared" si="8"/>
        <v>mist/cloudy</v>
      </c>
      <c r="J135" s="12">
        <v>0.22</v>
      </c>
      <c r="K135" s="12">
        <v>0.2576</v>
      </c>
      <c r="L135" s="12">
        <v>0.55000000000000004</v>
      </c>
      <c r="M135" s="12">
        <v>8.9599999999999999E-2</v>
      </c>
      <c r="N135" s="12">
        <v>3</v>
      </c>
      <c r="O135" s="12">
        <v>109</v>
      </c>
      <c r="P135" s="13">
        <v>112</v>
      </c>
    </row>
    <row r="136" spans="1:16" x14ac:dyDescent="0.25">
      <c r="A136" s="6">
        <v>135</v>
      </c>
      <c r="B136" s="7">
        <v>40549</v>
      </c>
      <c r="C136" s="8">
        <v>20</v>
      </c>
      <c r="D136" s="8" t="b">
        <v>0</v>
      </c>
      <c r="E136" s="8" t="str">
        <f t="shared" si="6"/>
        <v>Working Day</v>
      </c>
      <c r="F136" s="8">
        <v>4</v>
      </c>
      <c r="G136" s="8" t="str">
        <f t="shared" si="7"/>
        <v>Thu</v>
      </c>
      <c r="H136" s="8">
        <v>1</v>
      </c>
      <c r="I136" s="8" t="str">
        <f t="shared" si="8"/>
        <v>mist/cloudy</v>
      </c>
      <c r="J136" s="8">
        <v>0.2</v>
      </c>
      <c r="K136" s="8">
        <v>0.21210000000000001</v>
      </c>
      <c r="L136" s="8">
        <v>0.51</v>
      </c>
      <c r="M136" s="8">
        <v>0.16420000000000001</v>
      </c>
      <c r="N136" s="8">
        <v>3</v>
      </c>
      <c r="O136" s="8">
        <v>66</v>
      </c>
      <c r="P136" s="9">
        <v>69</v>
      </c>
    </row>
    <row r="137" spans="1:16" x14ac:dyDescent="0.25">
      <c r="A137" s="10">
        <v>136</v>
      </c>
      <c r="B137" s="11">
        <v>40549</v>
      </c>
      <c r="C137" s="12">
        <v>21</v>
      </c>
      <c r="D137" s="12" t="b">
        <v>0</v>
      </c>
      <c r="E137" s="12" t="str">
        <f t="shared" si="6"/>
        <v>Working Day</v>
      </c>
      <c r="F137" s="12">
        <v>4</v>
      </c>
      <c r="G137" s="12" t="str">
        <f t="shared" si="7"/>
        <v>Thu</v>
      </c>
      <c r="H137" s="12">
        <v>2</v>
      </c>
      <c r="I137" s="12" t="str">
        <f t="shared" si="8"/>
        <v>light rain</v>
      </c>
      <c r="J137" s="12">
        <v>0.22</v>
      </c>
      <c r="K137" s="12">
        <v>0.21210000000000001</v>
      </c>
      <c r="L137" s="12">
        <v>0.55000000000000004</v>
      </c>
      <c r="M137" s="12">
        <v>0.22389999999999999</v>
      </c>
      <c r="N137" s="12">
        <v>0</v>
      </c>
      <c r="O137" s="12">
        <v>48</v>
      </c>
      <c r="P137" s="13">
        <v>48</v>
      </c>
    </row>
    <row r="138" spans="1:16" x14ac:dyDescent="0.25">
      <c r="A138" s="6">
        <v>137</v>
      </c>
      <c r="B138" s="7">
        <v>40549</v>
      </c>
      <c r="C138" s="8">
        <v>22</v>
      </c>
      <c r="D138" s="8" t="b">
        <v>0</v>
      </c>
      <c r="E138" s="8" t="str">
        <f t="shared" si="6"/>
        <v>Working Day</v>
      </c>
      <c r="F138" s="8">
        <v>4</v>
      </c>
      <c r="G138" s="8" t="str">
        <f t="shared" si="7"/>
        <v>Thu</v>
      </c>
      <c r="H138" s="8">
        <v>2</v>
      </c>
      <c r="I138" s="8" t="str">
        <f t="shared" si="8"/>
        <v>light rain</v>
      </c>
      <c r="J138" s="8">
        <v>0.22</v>
      </c>
      <c r="K138" s="8">
        <v>0.21210000000000001</v>
      </c>
      <c r="L138" s="8">
        <v>0.51</v>
      </c>
      <c r="M138" s="8">
        <v>0.28360000000000002</v>
      </c>
      <c r="N138" s="8">
        <v>1</v>
      </c>
      <c r="O138" s="8">
        <v>51</v>
      </c>
      <c r="P138" s="9">
        <v>52</v>
      </c>
    </row>
    <row r="139" spans="1:16" x14ac:dyDescent="0.25">
      <c r="A139" s="10">
        <v>138</v>
      </c>
      <c r="B139" s="11">
        <v>40549</v>
      </c>
      <c r="C139" s="12">
        <v>23</v>
      </c>
      <c r="D139" s="12" t="b">
        <v>0</v>
      </c>
      <c r="E139" s="12" t="str">
        <f t="shared" si="6"/>
        <v>Working Day</v>
      </c>
      <c r="F139" s="12">
        <v>4</v>
      </c>
      <c r="G139" s="12" t="str">
        <f t="shared" si="7"/>
        <v>Thu</v>
      </c>
      <c r="H139" s="12">
        <v>2</v>
      </c>
      <c r="I139" s="12" t="str">
        <f t="shared" si="8"/>
        <v>light rain</v>
      </c>
      <c r="J139" s="12">
        <v>0.2</v>
      </c>
      <c r="K139" s="12">
        <v>0.19700000000000001</v>
      </c>
      <c r="L139" s="12">
        <v>0.59</v>
      </c>
      <c r="M139" s="12">
        <v>0.19400000000000001</v>
      </c>
      <c r="N139" s="12">
        <v>4</v>
      </c>
      <c r="O139" s="12">
        <v>19</v>
      </c>
      <c r="P139" s="13">
        <v>23</v>
      </c>
    </row>
    <row r="140" spans="1:16" x14ac:dyDescent="0.25">
      <c r="A140" s="6">
        <v>139</v>
      </c>
      <c r="B140" s="7">
        <v>40550</v>
      </c>
      <c r="C140" s="8">
        <v>0</v>
      </c>
      <c r="D140" s="8" t="b">
        <v>0</v>
      </c>
      <c r="E140" s="8" t="str">
        <f t="shared" si="6"/>
        <v>Working Day</v>
      </c>
      <c r="F140" s="8">
        <v>5</v>
      </c>
      <c r="G140" s="8" t="str">
        <f t="shared" si="7"/>
        <v>Fri</v>
      </c>
      <c r="H140" s="8">
        <v>2</v>
      </c>
      <c r="I140" s="8" t="str">
        <f t="shared" si="8"/>
        <v>light rain</v>
      </c>
      <c r="J140" s="8">
        <v>0.2</v>
      </c>
      <c r="K140" s="8">
        <v>0.19700000000000001</v>
      </c>
      <c r="L140" s="8">
        <v>0.64</v>
      </c>
      <c r="M140" s="8">
        <v>0.19400000000000001</v>
      </c>
      <c r="N140" s="8">
        <v>4</v>
      </c>
      <c r="O140" s="8">
        <v>13</v>
      </c>
      <c r="P140" s="9">
        <v>17</v>
      </c>
    </row>
    <row r="141" spans="1:16" x14ac:dyDescent="0.25">
      <c r="A141" s="10">
        <v>140</v>
      </c>
      <c r="B141" s="11">
        <v>40550</v>
      </c>
      <c r="C141" s="12">
        <v>1</v>
      </c>
      <c r="D141" s="12" t="b">
        <v>0</v>
      </c>
      <c r="E141" s="12" t="str">
        <f t="shared" si="6"/>
        <v>Working Day</v>
      </c>
      <c r="F141" s="12">
        <v>5</v>
      </c>
      <c r="G141" s="12" t="str">
        <f t="shared" si="7"/>
        <v>Fri</v>
      </c>
      <c r="H141" s="12">
        <v>2</v>
      </c>
      <c r="I141" s="12" t="str">
        <f t="shared" si="8"/>
        <v>light rain</v>
      </c>
      <c r="J141" s="12">
        <v>0.2</v>
      </c>
      <c r="K141" s="12">
        <v>0.19700000000000001</v>
      </c>
      <c r="L141" s="12">
        <v>0.69</v>
      </c>
      <c r="M141" s="12">
        <v>0.22389999999999999</v>
      </c>
      <c r="N141" s="12">
        <v>2</v>
      </c>
      <c r="O141" s="12">
        <v>5</v>
      </c>
      <c r="P141" s="13">
        <v>7</v>
      </c>
    </row>
    <row r="142" spans="1:16" x14ac:dyDescent="0.25">
      <c r="A142" s="6">
        <v>141</v>
      </c>
      <c r="B142" s="7">
        <v>40550</v>
      </c>
      <c r="C142" s="8">
        <v>2</v>
      </c>
      <c r="D142" s="8" t="b">
        <v>0</v>
      </c>
      <c r="E142" s="8" t="str">
        <f t="shared" si="6"/>
        <v>Working Day</v>
      </c>
      <c r="F142" s="8">
        <v>5</v>
      </c>
      <c r="G142" s="8" t="str">
        <f t="shared" si="7"/>
        <v>Fri</v>
      </c>
      <c r="H142" s="8">
        <v>2</v>
      </c>
      <c r="I142" s="8" t="str">
        <f t="shared" si="8"/>
        <v>light rain</v>
      </c>
      <c r="J142" s="8">
        <v>0.2</v>
      </c>
      <c r="K142" s="8">
        <v>0.19700000000000001</v>
      </c>
      <c r="L142" s="8">
        <v>0.69</v>
      </c>
      <c r="M142" s="8">
        <v>0.22389999999999999</v>
      </c>
      <c r="N142" s="8">
        <v>0</v>
      </c>
      <c r="O142" s="8">
        <v>1</v>
      </c>
      <c r="P142" s="9">
        <v>1</v>
      </c>
    </row>
    <row r="143" spans="1:16" x14ac:dyDescent="0.25">
      <c r="A143" s="10">
        <v>142</v>
      </c>
      <c r="B143" s="11">
        <v>40550</v>
      </c>
      <c r="C143" s="12">
        <v>4</v>
      </c>
      <c r="D143" s="12" t="b">
        <v>0</v>
      </c>
      <c r="E143" s="12" t="str">
        <f t="shared" si="6"/>
        <v>Working Day</v>
      </c>
      <c r="F143" s="12">
        <v>5</v>
      </c>
      <c r="G143" s="12" t="str">
        <f t="shared" si="7"/>
        <v>Fri</v>
      </c>
      <c r="H143" s="12">
        <v>2</v>
      </c>
      <c r="I143" s="12" t="str">
        <f t="shared" si="8"/>
        <v>light rain</v>
      </c>
      <c r="J143" s="12">
        <v>0.2</v>
      </c>
      <c r="K143" s="12">
        <v>0.21210000000000001</v>
      </c>
      <c r="L143" s="12">
        <v>0.69</v>
      </c>
      <c r="M143" s="12">
        <v>0.1343</v>
      </c>
      <c r="N143" s="12">
        <v>0</v>
      </c>
      <c r="O143" s="12">
        <v>1</v>
      </c>
      <c r="P143" s="13">
        <v>1</v>
      </c>
    </row>
    <row r="144" spans="1:16" x14ac:dyDescent="0.25">
      <c r="A144" s="6">
        <v>143</v>
      </c>
      <c r="B144" s="7">
        <v>40550</v>
      </c>
      <c r="C144" s="8">
        <v>5</v>
      </c>
      <c r="D144" s="8" t="b">
        <v>0</v>
      </c>
      <c r="E144" s="8" t="str">
        <f t="shared" si="6"/>
        <v>Working Day</v>
      </c>
      <c r="F144" s="8">
        <v>5</v>
      </c>
      <c r="G144" s="8" t="str">
        <f t="shared" si="7"/>
        <v>Fri</v>
      </c>
      <c r="H144" s="8">
        <v>3</v>
      </c>
      <c r="I144" s="8" t="str">
        <f t="shared" si="8"/>
        <v>heavy rain</v>
      </c>
      <c r="J144" s="8">
        <v>0.22</v>
      </c>
      <c r="K144" s="8">
        <v>0.2727</v>
      </c>
      <c r="L144" s="8">
        <v>0.55000000000000004</v>
      </c>
      <c r="M144" s="8">
        <v>0</v>
      </c>
      <c r="N144" s="8">
        <v>0</v>
      </c>
      <c r="O144" s="8">
        <v>5</v>
      </c>
      <c r="P144" s="9">
        <v>5</v>
      </c>
    </row>
    <row r="145" spans="1:16" x14ac:dyDescent="0.25">
      <c r="A145" s="10">
        <v>144</v>
      </c>
      <c r="B145" s="11">
        <v>40550</v>
      </c>
      <c r="C145" s="12">
        <v>6</v>
      </c>
      <c r="D145" s="12" t="b">
        <v>0</v>
      </c>
      <c r="E145" s="12" t="str">
        <f t="shared" si="6"/>
        <v>Working Day</v>
      </c>
      <c r="F145" s="12">
        <v>5</v>
      </c>
      <c r="G145" s="12" t="str">
        <f t="shared" si="7"/>
        <v>Fri</v>
      </c>
      <c r="H145" s="12">
        <v>2</v>
      </c>
      <c r="I145" s="12" t="str">
        <f t="shared" si="8"/>
        <v>light rain</v>
      </c>
      <c r="J145" s="12">
        <v>0.2</v>
      </c>
      <c r="K145" s="12">
        <v>0.2576</v>
      </c>
      <c r="L145" s="12">
        <v>0.69</v>
      </c>
      <c r="M145" s="12">
        <v>0</v>
      </c>
      <c r="N145" s="12">
        <v>8</v>
      </c>
      <c r="O145" s="12">
        <v>26</v>
      </c>
      <c r="P145" s="13">
        <v>34</v>
      </c>
    </row>
    <row r="146" spans="1:16" x14ac:dyDescent="0.25">
      <c r="A146" s="6">
        <v>145</v>
      </c>
      <c r="B146" s="7">
        <v>40550</v>
      </c>
      <c r="C146" s="8">
        <v>7</v>
      </c>
      <c r="D146" s="8" t="b">
        <v>0</v>
      </c>
      <c r="E146" s="8" t="str">
        <f t="shared" si="6"/>
        <v>Working Day</v>
      </c>
      <c r="F146" s="8">
        <v>5</v>
      </c>
      <c r="G146" s="8" t="str">
        <f t="shared" si="7"/>
        <v>Fri</v>
      </c>
      <c r="H146" s="8">
        <v>1</v>
      </c>
      <c r="I146" s="8" t="str">
        <f t="shared" si="8"/>
        <v>mist/cloudy</v>
      </c>
      <c r="J146" s="8">
        <v>0.2</v>
      </c>
      <c r="K146" s="8">
        <v>0.21210000000000001</v>
      </c>
      <c r="L146" s="8">
        <v>0.69</v>
      </c>
      <c r="M146" s="8">
        <v>0.1343</v>
      </c>
      <c r="N146" s="8">
        <v>8</v>
      </c>
      <c r="O146" s="8">
        <v>76</v>
      </c>
      <c r="P146" s="9">
        <v>84</v>
      </c>
    </row>
    <row r="147" spans="1:16" x14ac:dyDescent="0.25">
      <c r="A147" s="10">
        <v>146</v>
      </c>
      <c r="B147" s="11">
        <v>40550</v>
      </c>
      <c r="C147" s="12">
        <v>8</v>
      </c>
      <c r="D147" s="12" t="b">
        <v>0</v>
      </c>
      <c r="E147" s="12" t="str">
        <f t="shared" si="6"/>
        <v>Working Day</v>
      </c>
      <c r="F147" s="12">
        <v>5</v>
      </c>
      <c r="G147" s="12" t="str">
        <f t="shared" si="7"/>
        <v>Fri</v>
      </c>
      <c r="H147" s="12">
        <v>1</v>
      </c>
      <c r="I147" s="12" t="str">
        <f t="shared" si="8"/>
        <v>mist/cloudy</v>
      </c>
      <c r="J147" s="12">
        <v>0.2</v>
      </c>
      <c r="K147" s="12">
        <v>0.19700000000000001</v>
      </c>
      <c r="L147" s="12">
        <v>0.51</v>
      </c>
      <c r="M147" s="12">
        <v>0.25369999999999998</v>
      </c>
      <c r="N147" s="12">
        <v>20</v>
      </c>
      <c r="O147" s="12">
        <v>190</v>
      </c>
      <c r="P147" s="13">
        <v>210</v>
      </c>
    </row>
    <row r="148" spans="1:16" x14ac:dyDescent="0.25">
      <c r="A148" s="6">
        <v>147</v>
      </c>
      <c r="B148" s="7">
        <v>40550</v>
      </c>
      <c r="C148" s="8">
        <v>9</v>
      </c>
      <c r="D148" s="8" t="b">
        <v>0</v>
      </c>
      <c r="E148" s="8" t="str">
        <f t="shared" si="6"/>
        <v>Working Day</v>
      </c>
      <c r="F148" s="8">
        <v>5</v>
      </c>
      <c r="G148" s="8" t="str">
        <f t="shared" si="7"/>
        <v>Fri</v>
      </c>
      <c r="H148" s="8">
        <v>1</v>
      </c>
      <c r="I148" s="8" t="str">
        <f t="shared" si="8"/>
        <v>mist/cloudy</v>
      </c>
      <c r="J148" s="8">
        <v>0.2</v>
      </c>
      <c r="K148" s="8">
        <v>0.18179999999999999</v>
      </c>
      <c r="L148" s="8">
        <v>0.47</v>
      </c>
      <c r="M148" s="8">
        <v>0.29849999999999999</v>
      </c>
      <c r="N148" s="8">
        <v>9</v>
      </c>
      <c r="O148" s="8">
        <v>125</v>
      </c>
      <c r="P148" s="9">
        <v>134</v>
      </c>
    </row>
    <row r="149" spans="1:16" x14ac:dyDescent="0.25">
      <c r="A149" s="10">
        <v>148</v>
      </c>
      <c r="B149" s="11">
        <v>40550</v>
      </c>
      <c r="C149" s="12">
        <v>10</v>
      </c>
      <c r="D149" s="12" t="b">
        <v>0</v>
      </c>
      <c r="E149" s="12" t="str">
        <f t="shared" si="6"/>
        <v>Working Day</v>
      </c>
      <c r="F149" s="12">
        <v>5</v>
      </c>
      <c r="G149" s="12" t="str">
        <f t="shared" si="7"/>
        <v>Fri</v>
      </c>
      <c r="H149" s="12">
        <v>1</v>
      </c>
      <c r="I149" s="12" t="str">
        <f t="shared" si="8"/>
        <v>mist/cloudy</v>
      </c>
      <c r="J149" s="12">
        <v>0.22</v>
      </c>
      <c r="K149" s="12">
        <v>0.19700000000000001</v>
      </c>
      <c r="L149" s="12">
        <v>0.37</v>
      </c>
      <c r="M149" s="12">
        <v>0.32840000000000003</v>
      </c>
      <c r="N149" s="12">
        <v>16</v>
      </c>
      <c r="O149" s="12">
        <v>47</v>
      </c>
      <c r="P149" s="13">
        <v>63</v>
      </c>
    </row>
    <row r="150" spans="1:16" x14ac:dyDescent="0.25">
      <c r="A150" s="6">
        <v>149</v>
      </c>
      <c r="B150" s="7">
        <v>40550</v>
      </c>
      <c r="C150" s="8">
        <v>11</v>
      </c>
      <c r="D150" s="8" t="b">
        <v>0</v>
      </c>
      <c r="E150" s="8" t="str">
        <f t="shared" si="6"/>
        <v>Working Day</v>
      </c>
      <c r="F150" s="8">
        <v>5</v>
      </c>
      <c r="G150" s="8" t="str">
        <f t="shared" si="7"/>
        <v>Fri</v>
      </c>
      <c r="H150" s="8">
        <v>2</v>
      </c>
      <c r="I150" s="8" t="str">
        <f t="shared" si="8"/>
        <v>light rain</v>
      </c>
      <c r="J150" s="8">
        <v>0.2</v>
      </c>
      <c r="K150" s="8">
        <v>0.19700000000000001</v>
      </c>
      <c r="L150" s="8">
        <v>0.4</v>
      </c>
      <c r="M150" s="8">
        <v>0.22389999999999999</v>
      </c>
      <c r="N150" s="8">
        <v>19</v>
      </c>
      <c r="O150" s="8">
        <v>48</v>
      </c>
      <c r="P150" s="9">
        <v>67</v>
      </c>
    </row>
    <row r="151" spans="1:16" x14ac:dyDescent="0.25">
      <c r="A151" s="10">
        <v>150</v>
      </c>
      <c r="B151" s="11">
        <v>40550</v>
      </c>
      <c r="C151" s="12">
        <v>12</v>
      </c>
      <c r="D151" s="12" t="b">
        <v>0</v>
      </c>
      <c r="E151" s="12" t="str">
        <f t="shared" si="6"/>
        <v>Working Day</v>
      </c>
      <c r="F151" s="12">
        <v>5</v>
      </c>
      <c r="G151" s="12" t="str">
        <f t="shared" si="7"/>
        <v>Fri</v>
      </c>
      <c r="H151" s="12">
        <v>2</v>
      </c>
      <c r="I151" s="12" t="str">
        <f t="shared" si="8"/>
        <v>light rain</v>
      </c>
      <c r="J151" s="12">
        <v>0.2</v>
      </c>
      <c r="K151" s="12">
        <v>0.19700000000000001</v>
      </c>
      <c r="L151" s="12">
        <v>0.37</v>
      </c>
      <c r="M151" s="12">
        <v>0.25369999999999998</v>
      </c>
      <c r="N151" s="12">
        <v>9</v>
      </c>
      <c r="O151" s="12">
        <v>50</v>
      </c>
      <c r="P151" s="13">
        <v>59</v>
      </c>
    </row>
    <row r="152" spans="1:16" x14ac:dyDescent="0.25">
      <c r="A152" s="6">
        <v>151</v>
      </c>
      <c r="B152" s="7">
        <v>40550</v>
      </c>
      <c r="C152" s="8">
        <v>13</v>
      </c>
      <c r="D152" s="8" t="b">
        <v>0</v>
      </c>
      <c r="E152" s="8" t="str">
        <f t="shared" si="6"/>
        <v>Working Day</v>
      </c>
      <c r="F152" s="8">
        <v>5</v>
      </c>
      <c r="G152" s="8" t="str">
        <f t="shared" si="7"/>
        <v>Fri</v>
      </c>
      <c r="H152" s="8">
        <v>2</v>
      </c>
      <c r="I152" s="8" t="str">
        <f t="shared" si="8"/>
        <v>light rain</v>
      </c>
      <c r="J152" s="8">
        <v>0.2</v>
      </c>
      <c r="K152" s="8">
        <v>0.18179999999999999</v>
      </c>
      <c r="L152" s="8">
        <v>0.37</v>
      </c>
      <c r="M152" s="8">
        <v>0.28360000000000002</v>
      </c>
      <c r="N152" s="8">
        <v>9</v>
      </c>
      <c r="O152" s="8">
        <v>64</v>
      </c>
      <c r="P152" s="9">
        <v>73</v>
      </c>
    </row>
    <row r="153" spans="1:16" x14ac:dyDescent="0.25">
      <c r="A153" s="10">
        <v>152</v>
      </c>
      <c r="B153" s="11">
        <v>40550</v>
      </c>
      <c r="C153" s="12">
        <v>14</v>
      </c>
      <c r="D153" s="12" t="b">
        <v>0</v>
      </c>
      <c r="E153" s="12" t="str">
        <f t="shared" si="6"/>
        <v>Working Day</v>
      </c>
      <c r="F153" s="12">
        <v>5</v>
      </c>
      <c r="G153" s="12" t="str">
        <f t="shared" si="7"/>
        <v>Fri</v>
      </c>
      <c r="H153" s="12">
        <v>2</v>
      </c>
      <c r="I153" s="12" t="str">
        <f t="shared" si="8"/>
        <v>light rain</v>
      </c>
      <c r="J153" s="12">
        <v>0.2</v>
      </c>
      <c r="K153" s="12">
        <v>0.19700000000000001</v>
      </c>
      <c r="L153" s="12">
        <v>0.4</v>
      </c>
      <c r="M153" s="12">
        <v>0.25369999999999998</v>
      </c>
      <c r="N153" s="12">
        <v>7</v>
      </c>
      <c r="O153" s="12">
        <v>43</v>
      </c>
      <c r="P153" s="13">
        <v>50</v>
      </c>
    </row>
    <row r="154" spans="1:16" x14ac:dyDescent="0.25">
      <c r="A154" s="6">
        <v>153</v>
      </c>
      <c r="B154" s="7">
        <v>40550</v>
      </c>
      <c r="C154" s="8">
        <v>15</v>
      </c>
      <c r="D154" s="8" t="b">
        <v>0</v>
      </c>
      <c r="E154" s="8" t="str">
        <f t="shared" si="6"/>
        <v>Working Day</v>
      </c>
      <c r="F154" s="8">
        <v>5</v>
      </c>
      <c r="G154" s="8" t="str">
        <f t="shared" si="7"/>
        <v>Fri</v>
      </c>
      <c r="H154" s="8">
        <v>2</v>
      </c>
      <c r="I154" s="8" t="str">
        <f t="shared" si="8"/>
        <v>light rain</v>
      </c>
      <c r="J154" s="8">
        <v>0.2</v>
      </c>
      <c r="K154" s="8">
        <v>0.21210000000000001</v>
      </c>
      <c r="L154" s="8">
        <v>0.37</v>
      </c>
      <c r="M154" s="8">
        <v>0.16420000000000001</v>
      </c>
      <c r="N154" s="8">
        <v>9</v>
      </c>
      <c r="O154" s="8">
        <v>63</v>
      </c>
      <c r="P154" s="9">
        <v>72</v>
      </c>
    </row>
    <row r="155" spans="1:16" x14ac:dyDescent="0.25">
      <c r="A155" s="10">
        <v>154</v>
      </c>
      <c r="B155" s="11">
        <v>40550</v>
      </c>
      <c r="C155" s="12">
        <v>16</v>
      </c>
      <c r="D155" s="12" t="b">
        <v>0</v>
      </c>
      <c r="E155" s="12" t="str">
        <f t="shared" si="6"/>
        <v>Working Day</v>
      </c>
      <c r="F155" s="12">
        <v>5</v>
      </c>
      <c r="G155" s="12" t="str">
        <f t="shared" si="7"/>
        <v>Fri</v>
      </c>
      <c r="H155" s="12">
        <v>2</v>
      </c>
      <c r="I155" s="12" t="str">
        <f t="shared" si="8"/>
        <v>light rain</v>
      </c>
      <c r="J155" s="12">
        <v>0.2</v>
      </c>
      <c r="K155" s="12">
        <v>0.21210000000000001</v>
      </c>
      <c r="L155" s="12">
        <v>0.37</v>
      </c>
      <c r="M155" s="12">
        <v>0.16420000000000001</v>
      </c>
      <c r="N155" s="12">
        <v>5</v>
      </c>
      <c r="O155" s="12">
        <v>82</v>
      </c>
      <c r="P155" s="13">
        <v>87</v>
      </c>
    </row>
    <row r="156" spans="1:16" x14ac:dyDescent="0.25">
      <c r="A156" s="6">
        <v>155</v>
      </c>
      <c r="B156" s="7">
        <v>40550</v>
      </c>
      <c r="C156" s="8">
        <v>17</v>
      </c>
      <c r="D156" s="8" t="b">
        <v>0</v>
      </c>
      <c r="E156" s="8" t="str">
        <f t="shared" si="6"/>
        <v>Working Day</v>
      </c>
      <c r="F156" s="8">
        <v>5</v>
      </c>
      <c r="G156" s="8" t="str">
        <f t="shared" si="7"/>
        <v>Fri</v>
      </c>
      <c r="H156" s="8">
        <v>2</v>
      </c>
      <c r="I156" s="8" t="str">
        <f t="shared" si="8"/>
        <v>light rain</v>
      </c>
      <c r="J156" s="8">
        <v>0.2</v>
      </c>
      <c r="K156" s="8">
        <v>0.2576</v>
      </c>
      <c r="L156" s="8">
        <v>0.37</v>
      </c>
      <c r="M156" s="8">
        <v>0</v>
      </c>
      <c r="N156" s="8">
        <v>9</v>
      </c>
      <c r="O156" s="8">
        <v>178</v>
      </c>
      <c r="P156" s="9">
        <v>187</v>
      </c>
    </row>
    <row r="157" spans="1:16" x14ac:dyDescent="0.25">
      <c r="A157" s="10">
        <v>156</v>
      </c>
      <c r="B157" s="11">
        <v>40550</v>
      </c>
      <c r="C157" s="12">
        <v>18</v>
      </c>
      <c r="D157" s="12" t="b">
        <v>0</v>
      </c>
      <c r="E157" s="12" t="str">
        <f t="shared" si="6"/>
        <v>Working Day</v>
      </c>
      <c r="F157" s="12">
        <v>5</v>
      </c>
      <c r="G157" s="12" t="str">
        <f t="shared" si="7"/>
        <v>Fri</v>
      </c>
      <c r="H157" s="12">
        <v>1</v>
      </c>
      <c r="I157" s="12" t="str">
        <f t="shared" si="8"/>
        <v>mist/cloudy</v>
      </c>
      <c r="J157" s="12">
        <v>0.2</v>
      </c>
      <c r="K157" s="12">
        <v>0.2273</v>
      </c>
      <c r="L157" s="12">
        <v>0.4</v>
      </c>
      <c r="M157" s="12">
        <v>8.9599999999999999E-2</v>
      </c>
      <c r="N157" s="12">
        <v>7</v>
      </c>
      <c r="O157" s="12">
        <v>116</v>
      </c>
      <c r="P157" s="13">
        <v>123</v>
      </c>
    </row>
    <row r="158" spans="1:16" x14ac:dyDescent="0.25">
      <c r="A158" s="6">
        <v>157</v>
      </c>
      <c r="B158" s="7">
        <v>40550</v>
      </c>
      <c r="C158" s="8">
        <v>19</v>
      </c>
      <c r="D158" s="8" t="b">
        <v>0</v>
      </c>
      <c r="E158" s="8" t="str">
        <f t="shared" si="6"/>
        <v>Working Day</v>
      </c>
      <c r="F158" s="8">
        <v>5</v>
      </c>
      <c r="G158" s="8" t="str">
        <f t="shared" si="7"/>
        <v>Fri</v>
      </c>
      <c r="H158" s="8">
        <v>1</v>
      </c>
      <c r="I158" s="8" t="str">
        <f t="shared" si="8"/>
        <v>mist/cloudy</v>
      </c>
      <c r="J158" s="8">
        <v>0.16</v>
      </c>
      <c r="K158" s="8">
        <v>0.19700000000000001</v>
      </c>
      <c r="L158" s="8">
        <v>0.55000000000000004</v>
      </c>
      <c r="M158" s="8">
        <v>8.9599999999999999E-2</v>
      </c>
      <c r="N158" s="8">
        <v>3</v>
      </c>
      <c r="O158" s="8">
        <v>92</v>
      </c>
      <c r="P158" s="9">
        <v>95</v>
      </c>
    </row>
    <row r="159" spans="1:16" x14ac:dyDescent="0.25">
      <c r="A159" s="10">
        <v>158</v>
      </c>
      <c r="B159" s="11">
        <v>40550</v>
      </c>
      <c r="C159" s="12">
        <v>20</v>
      </c>
      <c r="D159" s="12" t="b">
        <v>0</v>
      </c>
      <c r="E159" s="12" t="str">
        <f t="shared" si="6"/>
        <v>Working Day</v>
      </c>
      <c r="F159" s="12">
        <v>5</v>
      </c>
      <c r="G159" s="12" t="str">
        <f t="shared" si="7"/>
        <v>Fri</v>
      </c>
      <c r="H159" s="12">
        <v>1</v>
      </c>
      <c r="I159" s="12" t="str">
        <f t="shared" si="8"/>
        <v>mist/cloudy</v>
      </c>
      <c r="J159" s="12">
        <v>0.18</v>
      </c>
      <c r="K159" s="12">
        <v>0.21210000000000001</v>
      </c>
      <c r="L159" s="12">
        <v>0.47</v>
      </c>
      <c r="M159" s="12">
        <v>0.1045</v>
      </c>
      <c r="N159" s="12">
        <v>1</v>
      </c>
      <c r="O159" s="12">
        <v>50</v>
      </c>
      <c r="P159" s="13">
        <v>51</v>
      </c>
    </row>
    <row r="160" spans="1:16" x14ac:dyDescent="0.25">
      <c r="A160" s="6">
        <v>159</v>
      </c>
      <c r="B160" s="7">
        <v>40550</v>
      </c>
      <c r="C160" s="8">
        <v>21</v>
      </c>
      <c r="D160" s="8" t="b">
        <v>0</v>
      </c>
      <c r="E160" s="8" t="str">
        <f t="shared" si="6"/>
        <v>Working Day</v>
      </c>
      <c r="F160" s="8">
        <v>5</v>
      </c>
      <c r="G160" s="8" t="str">
        <f t="shared" si="7"/>
        <v>Fri</v>
      </c>
      <c r="H160" s="8">
        <v>1</v>
      </c>
      <c r="I160" s="8" t="str">
        <f t="shared" si="8"/>
        <v>mist/cloudy</v>
      </c>
      <c r="J160" s="8">
        <v>0.18</v>
      </c>
      <c r="K160" s="8">
        <v>0.19700000000000001</v>
      </c>
      <c r="L160" s="8">
        <v>0.47</v>
      </c>
      <c r="M160" s="8">
        <v>0.1343</v>
      </c>
      <c r="N160" s="8">
        <v>0</v>
      </c>
      <c r="O160" s="8">
        <v>39</v>
      </c>
      <c r="P160" s="9">
        <v>39</v>
      </c>
    </row>
    <row r="161" spans="1:16" x14ac:dyDescent="0.25">
      <c r="A161" s="10">
        <v>160</v>
      </c>
      <c r="B161" s="11">
        <v>40550</v>
      </c>
      <c r="C161" s="12">
        <v>22</v>
      </c>
      <c r="D161" s="12" t="b">
        <v>0</v>
      </c>
      <c r="E161" s="12" t="str">
        <f t="shared" si="6"/>
        <v>Working Day</v>
      </c>
      <c r="F161" s="12">
        <v>5</v>
      </c>
      <c r="G161" s="12" t="str">
        <f t="shared" si="7"/>
        <v>Fri</v>
      </c>
      <c r="H161" s="12">
        <v>2</v>
      </c>
      <c r="I161" s="12" t="str">
        <f t="shared" si="8"/>
        <v>light rain</v>
      </c>
      <c r="J161" s="12">
        <v>0.18</v>
      </c>
      <c r="K161" s="12">
        <v>0.19700000000000001</v>
      </c>
      <c r="L161" s="12">
        <v>0.43</v>
      </c>
      <c r="M161" s="12">
        <v>0.16420000000000001</v>
      </c>
      <c r="N161" s="12">
        <v>2</v>
      </c>
      <c r="O161" s="12">
        <v>34</v>
      </c>
      <c r="P161" s="13">
        <v>36</v>
      </c>
    </row>
    <row r="162" spans="1:16" x14ac:dyDescent="0.25">
      <c r="A162" s="6">
        <v>161</v>
      </c>
      <c r="B162" s="7">
        <v>40550</v>
      </c>
      <c r="C162" s="8">
        <v>23</v>
      </c>
      <c r="D162" s="8" t="b">
        <v>0</v>
      </c>
      <c r="E162" s="8" t="str">
        <f t="shared" si="6"/>
        <v>Working Day</v>
      </c>
      <c r="F162" s="8">
        <v>5</v>
      </c>
      <c r="G162" s="8" t="str">
        <f t="shared" si="7"/>
        <v>Fri</v>
      </c>
      <c r="H162" s="8">
        <v>2</v>
      </c>
      <c r="I162" s="8" t="str">
        <f t="shared" si="8"/>
        <v>light rain</v>
      </c>
      <c r="J162" s="8">
        <v>0.18</v>
      </c>
      <c r="K162" s="8">
        <v>0.19700000000000001</v>
      </c>
      <c r="L162" s="8">
        <v>0.51</v>
      </c>
      <c r="M162" s="8">
        <v>0.16420000000000001</v>
      </c>
      <c r="N162" s="8">
        <v>1</v>
      </c>
      <c r="O162" s="8">
        <v>14</v>
      </c>
      <c r="P162" s="9">
        <v>15</v>
      </c>
    </row>
    <row r="163" spans="1:16" x14ac:dyDescent="0.25">
      <c r="A163" s="10">
        <v>162</v>
      </c>
      <c r="B163" s="11">
        <v>40551</v>
      </c>
      <c r="C163" s="12">
        <v>0</v>
      </c>
      <c r="D163" s="12" t="b">
        <v>0</v>
      </c>
      <c r="E163" s="12" t="str">
        <f t="shared" si="6"/>
        <v>Working Day</v>
      </c>
      <c r="F163" s="12">
        <v>6</v>
      </c>
      <c r="G163" s="12" t="str">
        <f t="shared" si="7"/>
        <v>Sat</v>
      </c>
      <c r="H163" s="12">
        <v>2</v>
      </c>
      <c r="I163" s="12" t="str">
        <f t="shared" si="8"/>
        <v>light rain</v>
      </c>
      <c r="J163" s="12">
        <v>0.18</v>
      </c>
      <c r="K163" s="12">
        <v>0.19700000000000001</v>
      </c>
      <c r="L163" s="12">
        <v>0.51</v>
      </c>
      <c r="M163" s="12">
        <v>0.16420000000000001</v>
      </c>
      <c r="N163" s="12">
        <v>1</v>
      </c>
      <c r="O163" s="12">
        <v>24</v>
      </c>
      <c r="P163" s="13">
        <v>25</v>
      </c>
    </row>
    <row r="164" spans="1:16" x14ac:dyDescent="0.25">
      <c r="A164" s="6">
        <v>163</v>
      </c>
      <c r="B164" s="7">
        <v>40551</v>
      </c>
      <c r="C164" s="8">
        <v>1</v>
      </c>
      <c r="D164" s="8" t="b">
        <v>0</v>
      </c>
      <c r="E164" s="8" t="str">
        <f t="shared" si="6"/>
        <v>Working Day</v>
      </c>
      <c r="F164" s="8">
        <v>6</v>
      </c>
      <c r="G164" s="8" t="str">
        <f t="shared" si="7"/>
        <v>Sat</v>
      </c>
      <c r="H164" s="8">
        <v>2</v>
      </c>
      <c r="I164" s="8" t="str">
        <f t="shared" si="8"/>
        <v>light rain</v>
      </c>
      <c r="J164" s="8">
        <v>0.18</v>
      </c>
      <c r="K164" s="8">
        <v>0.21210000000000001</v>
      </c>
      <c r="L164" s="8">
        <v>0.55000000000000004</v>
      </c>
      <c r="M164" s="8">
        <v>8.9599999999999999E-2</v>
      </c>
      <c r="N164" s="8">
        <v>1</v>
      </c>
      <c r="O164" s="8">
        <v>15</v>
      </c>
      <c r="P164" s="9">
        <v>16</v>
      </c>
    </row>
    <row r="165" spans="1:16" x14ac:dyDescent="0.25">
      <c r="A165" s="10">
        <v>164</v>
      </c>
      <c r="B165" s="11">
        <v>40551</v>
      </c>
      <c r="C165" s="12">
        <v>2</v>
      </c>
      <c r="D165" s="12" t="b">
        <v>0</v>
      </c>
      <c r="E165" s="12" t="str">
        <f t="shared" si="6"/>
        <v>Working Day</v>
      </c>
      <c r="F165" s="12">
        <v>6</v>
      </c>
      <c r="G165" s="12" t="str">
        <f t="shared" si="7"/>
        <v>Sat</v>
      </c>
      <c r="H165" s="12">
        <v>2</v>
      </c>
      <c r="I165" s="12" t="str">
        <f t="shared" si="8"/>
        <v>light rain</v>
      </c>
      <c r="J165" s="12">
        <v>0.18</v>
      </c>
      <c r="K165" s="12">
        <v>0.2424</v>
      </c>
      <c r="L165" s="12">
        <v>0.55000000000000004</v>
      </c>
      <c r="M165" s="12">
        <v>0</v>
      </c>
      <c r="N165" s="12">
        <v>3</v>
      </c>
      <c r="O165" s="12">
        <v>13</v>
      </c>
      <c r="P165" s="13">
        <v>16</v>
      </c>
    </row>
    <row r="166" spans="1:16" x14ac:dyDescent="0.25">
      <c r="A166" s="6">
        <v>165</v>
      </c>
      <c r="B166" s="7">
        <v>40551</v>
      </c>
      <c r="C166" s="8">
        <v>3</v>
      </c>
      <c r="D166" s="8" t="b">
        <v>0</v>
      </c>
      <c r="E166" s="8" t="str">
        <f t="shared" si="6"/>
        <v>Working Day</v>
      </c>
      <c r="F166" s="8">
        <v>6</v>
      </c>
      <c r="G166" s="8" t="str">
        <f t="shared" si="7"/>
        <v>Sat</v>
      </c>
      <c r="H166" s="8">
        <v>3</v>
      </c>
      <c r="I166" s="8" t="str">
        <f t="shared" si="8"/>
        <v>heavy rain</v>
      </c>
      <c r="J166" s="8">
        <v>0.18</v>
      </c>
      <c r="K166" s="8">
        <v>0.19700000000000001</v>
      </c>
      <c r="L166" s="8">
        <v>0.55000000000000004</v>
      </c>
      <c r="M166" s="8">
        <v>0.16420000000000001</v>
      </c>
      <c r="N166" s="8">
        <v>0</v>
      </c>
      <c r="O166" s="8">
        <v>7</v>
      </c>
      <c r="P166" s="9">
        <v>7</v>
      </c>
    </row>
    <row r="167" spans="1:16" x14ac:dyDescent="0.25">
      <c r="A167" s="10">
        <v>166</v>
      </c>
      <c r="B167" s="11">
        <v>40551</v>
      </c>
      <c r="C167" s="12">
        <v>4</v>
      </c>
      <c r="D167" s="12" t="b">
        <v>0</v>
      </c>
      <c r="E167" s="12" t="str">
        <f t="shared" si="6"/>
        <v>Working Day</v>
      </c>
      <c r="F167" s="12">
        <v>6</v>
      </c>
      <c r="G167" s="12" t="str">
        <f t="shared" si="7"/>
        <v>Sat</v>
      </c>
      <c r="H167" s="12">
        <v>3</v>
      </c>
      <c r="I167" s="12" t="str">
        <f t="shared" si="8"/>
        <v>heavy rain</v>
      </c>
      <c r="J167" s="12">
        <v>0.18</v>
      </c>
      <c r="K167" s="12">
        <v>0.19700000000000001</v>
      </c>
      <c r="L167" s="12">
        <v>0.55000000000000004</v>
      </c>
      <c r="M167" s="12">
        <v>0.16420000000000001</v>
      </c>
      <c r="N167" s="12">
        <v>0</v>
      </c>
      <c r="O167" s="12">
        <v>1</v>
      </c>
      <c r="P167" s="13">
        <v>1</v>
      </c>
    </row>
    <row r="168" spans="1:16" x14ac:dyDescent="0.25">
      <c r="A168" s="6">
        <v>167</v>
      </c>
      <c r="B168" s="7">
        <v>40551</v>
      </c>
      <c r="C168" s="8">
        <v>5</v>
      </c>
      <c r="D168" s="8" t="b">
        <v>0</v>
      </c>
      <c r="E168" s="8" t="str">
        <f t="shared" si="6"/>
        <v>Working Day</v>
      </c>
      <c r="F168" s="8">
        <v>6</v>
      </c>
      <c r="G168" s="8" t="str">
        <f t="shared" si="7"/>
        <v>Sat</v>
      </c>
      <c r="H168" s="8">
        <v>2</v>
      </c>
      <c r="I168" s="8" t="str">
        <f t="shared" si="8"/>
        <v>light rain</v>
      </c>
      <c r="J168" s="8">
        <v>0.16</v>
      </c>
      <c r="K168" s="8">
        <v>0.16669999999999999</v>
      </c>
      <c r="L168" s="8">
        <v>0.74</v>
      </c>
      <c r="M168" s="8">
        <v>0.16420000000000001</v>
      </c>
      <c r="N168" s="8">
        <v>0</v>
      </c>
      <c r="O168" s="8">
        <v>5</v>
      </c>
      <c r="P168" s="9">
        <v>5</v>
      </c>
    </row>
    <row r="169" spans="1:16" x14ac:dyDescent="0.25">
      <c r="A169" s="10">
        <v>168</v>
      </c>
      <c r="B169" s="11">
        <v>40551</v>
      </c>
      <c r="C169" s="12">
        <v>6</v>
      </c>
      <c r="D169" s="12" t="b">
        <v>0</v>
      </c>
      <c r="E169" s="12" t="str">
        <f t="shared" si="6"/>
        <v>Working Day</v>
      </c>
      <c r="F169" s="12">
        <v>6</v>
      </c>
      <c r="G169" s="12" t="str">
        <f t="shared" si="7"/>
        <v>Sat</v>
      </c>
      <c r="H169" s="12">
        <v>2</v>
      </c>
      <c r="I169" s="12" t="str">
        <f t="shared" si="8"/>
        <v>light rain</v>
      </c>
      <c r="J169" s="12">
        <v>0.16</v>
      </c>
      <c r="K169" s="12">
        <v>0.16669999999999999</v>
      </c>
      <c r="L169" s="12">
        <v>0.74</v>
      </c>
      <c r="M169" s="12">
        <v>0.16420000000000001</v>
      </c>
      <c r="N169" s="12">
        <v>0</v>
      </c>
      <c r="O169" s="12">
        <v>2</v>
      </c>
      <c r="P169" s="13">
        <v>2</v>
      </c>
    </row>
    <row r="170" spans="1:16" x14ac:dyDescent="0.25">
      <c r="A170" s="6">
        <v>169</v>
      </c>
      <c r="B170" s="7">
        <v>40551</v>
      </c>
      <c r="C170" s="8">
        <v>7</v>
      </c>
      <c r="D170" s="8" t="b">
        <v>0</v>
      </c>
      <c r="E170" s="8" t="str">
        <f t="shared" si="6"/>
        <v>Working Day</v>
      </c>
      <c r="F170" s="8">
        <v>6</v>
      </c>
      <c r="G170" s="8" t="str">
        <f t="shared" si="7"/>
        <v>Sat</v>
      </c>
      <c r="H170" s="8">
        <v>2</v>
      </c>
      <c r="I170" s="8" t="str">
        <f t="shared" si="8"/>
        <v>light rain</v>
      </c>
      <c r="J170" s="8">
        <v>0.16</v>
      </c>
      <c r="K170" s="8">
        <v>0.18179999999999999</v>
      </c>
      <c r="L170" s="8">
        <v>0.74</v>
      </c>
      <c r="M170" s="8">
        <v>0.1045</v>
      </c>
      <c r="N170" s="8">
        <v>1</v>
      </c>
      <c r="O170" s="8">
        <v>8</v>
      </c>
      <c r="P170" s="9">
        <v>9</v>
      </c>
    </row>
    <row r="171" spans="1:16" x14ac:dyDescent="0.25">
      <c r="A171" s="10">
        <v>170</v>
      </c>
      <c r="B171" s="11">
        <v>40551</v>
      </c>
      <c r="C171" s="12">
        <v>8</v>
      </c>
      <c r="D171" s="12" t="b">
        <v>0</v>
      </c>
      <c r="E171" s="12" t="str">
        <f t="shared" si="6"/>
        <v>Working Day</v>
      </c>
      <c r="F171" s="12">
        <v>6</v>
      </c>
      <c r="G171" s="12" t="str">
        <f t="shared" si="7"/>
        <v>Sat</v>
      </c>
      <c r="H171" s="12">
        <v>3</v>
      </c>
      <c r="I171" s="12" t="str">
        <f t="shared" si="8"/>
        <v>heavy rain</v>
      </c>
      <c r="J171" s="12">
        <v>0.16</v>
      </c>
      <c r="K171" s="12">
        <v>0.18179999999999999</v>
      </c>
      <c r="L171" s="12">
        <v>0.93</v>
      </c>
      <c r="M171" s="12">
        <v>0.1045</v>
      </c>
      <c r="N171" s="12">
        <v>0</v>
      </c>
      <c r="O171" s="12">
        <v>15</v>
      </c>
      <c r="P171" s="13">
        <v>15</v>
      </c>
    </row>
    <row r="172" spans="1:16" x14ac:dyDescent="0.25">
      <c r="A172" s="6">
        <v>171</v>
      </c>
      <c r="B172" s="7">
        <v>40551</v>
      </c>
      <c r="C172" s="8">
        <v>9</v>
      </c>
      <c r="D172" s="8" t="b">
        <v>0</v>
      </c>
      <c r="E172" s="8" t="str">
        <f t="shared" si="6"/>
        <v>Working Day</v>
      </c>
      <c r="F172" s="8">
        <v>6</v>
      </c>
      <c r="G172" s="8" t="str">
        <f t="shared" si="7"/>
        <v>Sat</v>
      </c>
      <c r="H172" s="8">
        <v>3</v>
      </c>
      <c r="I172" s="8" t="str">
        <f t="shared" si="8"/>
        <v>heavy rain</v>
      </c>
      <c r="J172" s="8">
        <v>0.16</v>
      </c>
      <c r="K172" s="8">
        <v>0.18179999999999999</v>
      </c>
      <c r="L172" s="8">
        <v>0.93</v>
      </c>
      <c r="M172" s="8">
        <v>0.1045</v>
      </c>
      <c r="N172" s="8">
        <v>0</v>
      </c>
      <c r="O172" s="8">
        <v>20</v>
      </c>
      <c r="P172" s="9">
        <v>20</v>
      </c>
    </row>
    <row r="173" spans="1:16" x14ac:dyDescent="0.25">
      <c r="A173" s="10">
        <v>172</v>
      </c>
      <c r="B173" s="11">
        <v>40551</v>
      </c>
      <c r="C173" s="12">
        <v>10</v>
      </c>
      <c r="D173" s="12" t="b">
        <v>0</v>
      </c>
      <c r="E173" s="12" t="str">
        <f t="shared" si="6"/>
        <v>Working Day</v>
      </c>
      <c r="F173" s="12">
        <v>6</v>
      </c>
      <c r="G173" s="12" t="str">
        <f t="shared" si="7"/>
        <v>Sat</v>
      </c>
      <c r="H173" s="12">
        <v>2</v>
      </c>
      <c r="I173" s="12" t="str">
        <f t="shared" si="8"/>
        <v>light rain</v>
      </c>
      <c r="J173" s="12">
        <v>0.18</v>
      </c>
      <c r="K173" s="12">
        <v>0.19700000000000001</v>
      </c>
      <c r="L173" s="12">
        <v>0.8</v>
      </c>
      <c r="M173" s="12">
        <v>0.16420000000000001</v>
      </c>
      <c r="N173" s="12">
        <v>5</v>
      </c>
      <c r="O173" s="12">
        <v>56</v>
      </c>
      <c r="P173" s="13">
        <v>61</v>
      </c>
    </row>
    <row r="174" spans="1:16" x14ac:dyDescent="0.25">
      <c r="A174" s="6">
        <v>173</v>
      </c>
      <c r="B174" s="7">
        <v>40551</v>
      </c>
      <c r="C174" s="8">
        <v>11</v>
      </c>
      <c r="D174" s="8" t="b">
        <v>0</v>
      </c>
      <c r="E174" s="8" t="str">
        <f t="shared" si="6"/>
        <v>Working Day</v>
      </c>
      <c r="F174" s="8">
        <v>6</v>
      </c>
      <c r="G174" s="8" t="str">
        <f t="shared" si="7"/>
        <v>Sat</v>
      </c>
      <c r="H174" s="8">
        <v>2</v>
      </c>
      <c r="I174" s="8" t="str">
        <f t="shared" si="8"/>
        <v>light rain</v>
      </c>
      <c r="J174" s="8">
        <v>0.2</v>
      </c>
      <c r="K174" s="8">
        <v>0.18179999999999999</v>
      </c>
      <c r="L174" s="8">
        <v>0.69</v>
      </c>
      <c r="M174" s="8">
        <v>0.3881</v>
      </c>
      <c r="N174" s="8">
        <v>2</v>
      </c>
      <c r="O174" s="8">
        <v>60</v>
      </c>
      <c r="P174" s="9">
        <v>62</v>
      </c>
    </row>
    <row r="175" spans="1:16" x14ac:dyDescent="0.25">
      <c r="A175" s="10">
        <v>174</v>
      </c>
      <c r="B175" s="11">
        <v>40551</v>
      </c>
      <c r="C175" s="12">
        <v>12</v>
      </c>
      <c r="D175" s="12" t="b">
        <v>0</v>
      </c>
      <c r="E175" s="12" t="str">
        <f t="shared" si="6"/>
        <v>Working Day</v>
      </c>
      <c r="F175" s="12">
        <v>6</v>
      </c>
      <c r="G175" s="12" t="str">
        <f t="shared" si="7"/>
        <v>Sat</v>
      </c>
      <c r="H175" s="12">
        <v>2</v>
      </c>
      <c r="I175" s="12" t="str">
        <f t="shared" si="8"/>
        <v>light rain</v>
      </c>
      <c r="J175" s="12">
        <v>0.2</v>
      </c>
      <c r="K175" s="12">
        <v>0.18179999999999999</v>
      </c>
      <c r="L175" s="12">
        <v>0.59</v>
      </c>
      <c r="M175" s="12">
        <v>0.35820000000000002</v>
      </c>
      <c r="N175" s="12">
        <v>8</v>
      </c>
      <c r="O175" s="12">
        <v>90</v>
      </c>
      <c r="P175" s="13">
        <v>98</v>
      </c>
    </row>
    <row r="176" spans="1:16" x14ac:dyDescent="0.25">
      <c r="A176" s="6">
        <v>175</v>
      </c>
      <c r="B176" s="7">
        <v>40551</v>
      </c>
      <c r="C176" s="8">
        <v>13</v>
      </c>
      <c r="D176" s="8" t="b">
        <v>0</v>
      </c>
      <c r="E176" s="8" t="str">
        <f t="shared" si="6"/>
        <v>Working Day</v>
      </c>
      <c r="F176" s="8">
        <v>6</v>
      </c>
      <c r="G176" s="8" t="str">
        <f t="shared" si="7"/>
        <v>Sat</v>
      </c>
      <c r="H176" s="8">
        <v>1</v>
      </c>
      <c r="I176" s="8" t="str">
        <f t="shared" si="8"/>
        <v>mist/cloudy</v>
      </c>
      <c r="J176" s="8">
        <v>0.2</v>
      </c>
      <c r="K176" s="8">
        <v>0.18179999999999999</v>
      </c>
      <c r="L176" s="8">
        <v>0.44</v>
      </c>
      <c r="M176" s="8">
        <v>0.32840000000000003</v>
      </c>
      <c r="N176" s="8">
        <v>7</v>
      </c>
      <c r="O176" s="8">
        <v>95</v>
      </c>
      <c r="P176" s="9">
        <v>102</v>
      </c>
    </row>
    <row r="177" spans="1:16" x14ac:dyDescent="0.25">
      <c r="A177" s="10">
        <v>176</v>
      </c>
      <c r="B177" s="11">
        <v>40551</v>
      </c>
      <c r="C177" s="12">
        <v>14</v>
      </c>
      <c r="D177" s="12" t="b">
        <v>0</v>
      </c>
      <c r="E177" s="12" t="str">
        <f t="shared" si="6"/>
        <v>Working Day</v>
      </c>
      <c r="F177" s="12">
        <v>6</v>
      </c>
      <c r="G177" s="12" t="str">
        <f t="shared" si="7"/>
        <v>Sat</v>
      </c>
      <c r="H177" s="12">
        <v>1</v>
      </c>
      <c r="I177" s="12" t="str">
        <f t="shared" si="8"/>
        <v>mist/cloudy</v>
      </c>
      <c r="J177" s="12">
        <v>0.2</v>
      </c>
      <c r="K177" s="12">
        <v>0.16669999999999999</v>
      </c>
      <c r="L177" s="12">
        <v>0.32</v>
      </c>
      <c r="M177" s="12">
        <v>0.49249999999999999</v>
      </c>
      <c r="N177" s="12">
        <v>12</v>
      </c>
      <c r="O177" s="12">
        <v>83</v>
      </c>
      <c r="P177" s="13">
        <v>95</v>
      </c>
    </row>
    <row r="178" spans="1:16" x14ac:dyDescent="0.25">
      <c r="A178" s="6">
        <v>177</v>
      </c>
      <c r="B178" s="7">
        <v>40551</v>
      </c>
      <c r="C178" s="8">
        <v>15</v>
      </c>
      <c r="D178" s="8" t="b">
        <v>0</v>
      </c>
      <c r="E178" s="8" t="str">
        <f t="shared" si="6"/>
        <v>Working Day</v>
      </c>
      <c r="F178" s="8">
        <v>6</v>
      </c>
      <c r="G178" s="8" t="str">
        <f t="shared" si="7"/>
        <v>Sat</v>
      </c>
      <c r="H178" s="8">
        <v>1</v>
      </c>
      <c r="I178" s="8" t="str">
        <f t="shared" si="8"/>
        <v>mist/cloudy</v>
      </c>
      <c r="J178" s="8">
        <v>0.2</v>
      </c>
      <c r="K178" s="8">
        <v>0.16669999999999999</v>
      </c>
      <c r="L178" s="8">
        <v>0.32</v>
      </c>
      <c r="M178" s="8">
        <v>0.44779999999999998</v>
      </c>
      <c r="N178" s="8">
        <v>5</v>
      </c>
      <c r="O178" s="8">
        <v>69</v>
      </c>
      <c r="P178" s="9">
        <v>74</v>
      </c>
    </row>
    <row r="179" spans="1:16" x14ac:dyDescent="0.25">
      <c r="A179" s="10">
        <v>178</v>
      </c>
      <c r="B179" s="11">
        <v>40551</v>
      </c>
      <c r="C179" s="12">
        <v>16</v>
      </c>
      <c r="D179" s="12" t="b">
        <v>0</v>
      </c>
      <c r="E179" s="12" t="str">
        <f t="shared" si="6"/>
        <v>Working Day</v>
      </c>
      <c r="F179" s="12">
        <v>6</v>
      </c>
      <c r="G179" s="12" t="str">
        <f t="shared" si="7"/>
        <v>Sat</v>
      </c>
      <c r="H179" s="12">
        <v>1</v>
      </c>
      <c r="I179" s="12" t="str">
        <f t="shared" si="8"/>
        <v>mist/cloudy</v>
      </c>
      <c r="J179" s="12">
        <v>0.18</v>
      </c>
      <c r="K179" s="12">
        <v>0.13639999999999999</v>
      </c>
      <c r="L179" s="12">
        <v>0.28999999999999998</v>
      </c>
      <c r="M179" s="12">
        <v>0.44779999999999998</v>
      </c>
      <c r="N179" s="12">
        <v>8</v>
      </c>
      <c r="O179" s="12">
        <v>68</v>
      </c>
      <c r="P179" s="13">
        <v>76</v>
      </c>
    </row>
    <row r="180" spans="1:16" x14ac:dyDescent="0.25">
      <c r="A180" s="6">
        <v>179</v>
      </c>
      <c r="B180" s="7">
        <v>40551</v>
      </c>
      <c r="C180" s="8">
        <v>17</v>
      </c>
      <c r="D180" s="8" t="b">
        <v>0</v>
      </c>
      <c r="E180" s="8" t="str">
        <f t="shared" si="6"/>
        <v>Working Day</v>
      </c>
      <c r="F180" s="8">
        <v>6</v>
      </c>
      <c r="G180" s="8" t="str">
        <f t="shared" si="7"/>
        <v>Sat</v>
      </c>
      <c r="H180" s="8">
        <v>1</v>
      </c>
      <c r="I180" s="8" t="str">
        <f t="shared" si="8"/>
        <v>mist/cloudy</v>
      </c>
      <c r="J180" s="8">
        <v>0.16</v>
      </c>
      <c r="K180" s="8">
        <v>0.1212</v>
      </c>
      <c r="L180" s="8">
        <v>0.37</v>
      </c>
      <c r="M180" s="8">
        <v>0.55220000000000002</v>
      </c>
      <c r="N180" s="8">
        <v>5</v>
      </c>
      <c r="O180" s="8">
        <v>64</v>
      </c>
      <c r="P180" s="9">
        <v>69</v>
      </c>
    </row>
    <row r="181" spans="1:16" x14ac:dyDescent="0.25">
      <c r="A181" s="10">
        <v>180</v>
      </c>
      <c r="B181" s="11">
        <v>40551</v>
      </c>
      <c r="C181" s="12">
        <v>18</v>
      </c>
      <c r="D181" s="12" t="b">
        <v>0</v>
      </c>
      <c r="E181" s="12" t="str">
        <f t="shared" si="6"/>
        <v>Working Day</v>
      </c>
      <c r="F181" s="12">
        <v>6</v>
      </c>
      <c r="G181" s="12" t="str">
        <f t="shared" si="7"/>
        <v>Sat</v>
      </c>
      <c r="H181" s="12">
        <v>1</v>
      </c>
      <c r="I181" s="12" t="str">
        <f t="shared" si="8"/>
        <v>mist/cloudy</v>
      </c>
      <c r="J181" s="12">
        <v>0.14000000000000001</v>
      </c>
      <c r="K181" s="12">
        <v>0.1212</v>
      </c>
      <c r="L181" s="12">
        <v>0.39</v>
      </c>
      <c r="M181" s="12">
        <v>0.29849999999999999</v>
      </c>
      <c r="N181" s="12">
        <v>3</v>
      </c>
      <c r="O181" s="12">
        <v>52</v>
      </c>
      <c r="P181" s="13">
        <v>55</v>
      </c>
    </row>
    <row r="182" spans="1:16" x14ac:dyDescent="0.25">
      <c r="A182" s="6">
        <v>181</v>
      </c>
      <c r="B182" s="7">
        <v>40551</v>
      </c>
      <c r="C182" s="8">
        <v>19</v>
      </c>
      <c r="D182" s="8" t="b">
        <v>0</v>
      </c>
      <c r="E182" s="8" t="str">
        <f t="shared" si="6"/>
        <v>Working Day</v>
      </c>
      <c r="F182" s="8">
        <v>6</v>
      </c>
      <c r="G182" s="8" t="str">
        <f t="shared" si="7"/>
        <v>Sat</v>
      </c>
      <c r="H182" s="8">
        <v>1</v>
      </c>
      <c r="I182" s="8" t="str">
        <f t="shared" si="8"/>
        <v>mist/cloudy</v>
      </c>
      <c r="J182" s="8">
        <v>0.14000000000000001</v>
      </c>
      <c r="K182" s="8">
        <v>0.1212</v>
      </c>
      <c r="L182" s="8">
        <v>0.36</v>
      </c>
      <c r="M182" s="8">
        <v>0.25369999999999998</v>
      </c>
      <c r="N182" s="8">
        <v>4</v>
      </c>
      <c r="O182" s="8">
        <v>26</v>
      </c>
      <c r="P182" s="9">
        <v>30</v>
      </c>
    </row>
    <row r="183" spans="1:16" x14ac:dyDescent="0.25">
      <c r="A183" s="10">
        <v>182</v>
      </c>
      <c r="B183" s="11">
        <v>40551</v>
      </c>
      <c r="C183" s="12">
        <v>20</v>
      </c>
      <c r="D183" s="12" t="b">
        <v>0</v>
      </c>
      <c r="E183" s="12" t="str">
        <f t="shared" si="6"/>
        <v>Working Day</v>
      </c>
      <c r="F183" s="12">
        <v>6</v>
      </c>
      <c r="G183" s="12" t="str">
        <f t="shared" si="7"/>
        <v>Sat</v>
      </c>
      <c r="H183" s="12">
        <v>1</v>
      </c>
      <c r="I183" s="12" t="str">
        <f t="shared" si="8"/>
        <v>mist/cloudy</v>
      </c>
      <c r="J183" s="12">
        <v>0.12</v>
      </c>
      <c r="K183" s="12">
        <v>0.1212</v>
      </c>
      <c r="L183" s="12">
        <v>0.36</v>
      </c>
      <c r="M183" s="12">
        <v>0.25369999999999998</v>
      </c>
      <c r="N183" s="12">
        <v>0</v>
      </c>
      <c r="O183" s="12">
        <v>28</v>
      </c>
      <c r="P183" s="13">
        <v>28</v>
      </c>
    </row>
    <row r="184" spans="1:16" x14ac:dyDescent="0.25">
      <c r="A184" s="6">
        <v>183</v>
      </c>
      <c r="B184" s="7">
        <v>40551</v>
      </c>
      <c r="C184" s="8">
        <v>21</v>
      </c>
      <c r="D184" s="8" t="b">
        <v>0</v>
      </c>
      <c r="E184" s="8" t="str">
        <f t="shared" si="6"/>
        <v>Working Day</v>
      </c>
      <c r="F184" s="8">
        <v>6</v>
      </c>
      <c r="G184" s="8" t="str">
        <f t="shared" si="7"/>
        <v>Sat</v>
      </c>
      <c r="H184" s="8">
        <v>1</v>
      </c>
      <c r="I184" s="8" t="str">
        <f t="shared" si="8"/>
        <v>mist/cloudy</v>
      </c>
      <c r="J184" s="8">
        <v>0.12</v>
      </c>
      <c r="K184" s="8">
        <v>0.1061</v>
      </c>
      <c r="L184" s="8">
        <v>0.39</v>
      </c>
      <c r="M184" s="8">
        <v>0.35820000000000002</v>
      </c>
      <c r="N184" s="8">
        <v>2</v>
      </c>
      <c r="O184" s="8">
        <v>35</v>
      </c>
      <c r="P184" s="9">
        <v>37</v>
      </c>
    </row>
    <row r="185" spans="1:16" x14ac:dyDescent="0.25">
      <c r="A185" s="10">
        <v>184</v>
      </c>
      <c r="B185" s="11">
        <v>40551</v>
      </c>
      <c r="C185" s="12">
        <v>22</v>
      </c>
      <c r="D185" s="12" t="b">
        <v>0</v>
      </c>
      <c r="E185" s="12" t="str">
        <f t="shared" si="6"/>
        <v>Working Day</v>
      </c>
      <c r="F185" s="12">
        <v>6</v>
      </c>
      <c r="G185" s="12" t="str">
        <f t="shared" si="7"/>
        <v>Sat</v>
      </c>
      <c r="H185" s="12">
        <v>1</v>
      </c>
      <c r="I185" s="12" t="str">
        <f t="shared" si="8"/>
        <v>mist/cloudy</v>
      </c>
      <c r="J185" s="12">
        <v>0.12</v>
      </c>
      <c r="K185" s="12">
        <v>0.1061</v>
      </c>
      <c r="L185" s="12">
        <v>0.36</v>
      </c>
      <c r="M185" s="12">
        <v>0.3881</v>
      </c>
      <c r="N185" s="12">
        <v>1</v>
      </c>
      <c r="O185" s="12">
        <v>33</v>
      </c>
      <c r="P185" s="13">
        <v>34</v>
      </c>
    </row>
    <row r="186" spans="1:16" x14ac:dyDescent="0.25">
      <c r="A186" s="6">
        <v>185</v>
      </c>
      <c r="B186" s="7">
        <v>40551</v>
      </c>
      <c r="C186" s="8">
        <v>23</v>
      </c>
      <c r="D186" s="8" t="b">
        <v>0</v>
      </c>
      <c r="E186" s="8" t="str">
        <f t="shared" si="6"/>
        <v>Working Day</v>
      </c>
      <c r="F186" s="8">
        <v>6</v>
      </c>
      <c r="G186" s="8" t="str">
        <f t="shared" si="7"/>
        <v>Sat</v>
      </c>
      <c r="H186" s="8">
        <v>1</v>
      </c>
      <c r="I186" s="8" t="str">
        <f t="shared" si="8"/>
        <v>mist/cloudy</v>
      </c>
      <c r="J186" s="8">
        <v>0.1</v>
      </c>
      <c r="K186" s="8">
        <v>6.0600000000000001E-2</v>
      </c>
      <c r="L186" s="8">
        <v>0.39</v>
      </c>
      <c r="M186" s="8">
        <v>0.44779999999999998</v>
      </c>
      <c r="N186" s="8">
        <v>0</v>
      </c>
      <c r="O186" s="8">
        <v>22</v>
      </c>
      <c r="P186" s="9">
        <v>22</v>
      </c>
    </row>
    <row r="187" spans="1:16" x14ac:dyDescent="0.25">
      <c r="A187" s="10">
        <v>186</v>
      </c>
      <c r="B187" s="11">
        <v>40552</v>
      </c>
      <c r="C187" s="12">
        <v>0</v>
      </c>
      <c r="D187" s="12" t="b">
        <v>0</v>
      </c>
      <c r="E187" s="12" t="str">
        <f t="shared" si="6"/>
        <v>Working Day</v>
      </c>
      <c r="F187" s="12">
        <v>0</v>
      </c>
      <c r="G187" s="12" t="str">
        <f t="shared" si="7"/>
        <v>Sun</v>
      </c>
      <c r="H187" s="12">
        <v>1</v>
      </c>
      <c r="I187" s="12" t="str">
        <f t="shared" si="8"/>
        <v>mist/cloudy</v>
      </c>
      <c r="J187" s="12">
        <v>0.1</v>
      </c>
      <c r="K187" s="12">
        <v>7.5800000000000006E-2</v>
      </c>
      <c r="L187" s="12">
        <v>0.42</v>
      </c>
      <c r="M187" s="12">
        <v>0.3881</v>
      </c>
      <c r="N187" s="12">
        <v>1</v>
      </c>
      <c r="O187" s="12">
        <v>24</v>
      </c>
      <c r="P187" s="13">
        <v>25</v>
      </c>
    </row>
    <row r="188" spans="1:16" x14ac:dyDescent="0.25">
      <c r="A188" s="6">
        <v>187</v>
      </c>
      <c r="B188" s="7">
        <v>40552</v>
      </c>
      <c r="C188" s="8">
        <v>1</v>
      </c>
      <c r="D188" s="8" t="b">
        <v>0</v>
      </c>
      <c r="E188" s="8" t="str">
        <f t="shared" si="6"/>
        <v>Working Day</v>
      </c>
      <c r="F188" s="8">
        <v>0</v>
      </c>
      <c r="G188" s="8" t="str">
        <f t="shared" si="7"/>
        <v>Sun</v>
      </c>
      <c r="H188" s="8">
        <v>1</v>
      </c>
      <c r="I188" s="8" t="str">
        <f t="shared" si="8"/>
        <v>mist/cloudy</v>
      </c>
      <c r="J188" s="8">
        <v>0.1</v>
      </c>
      <c r="K188" s="8">
        <v>6.0600000000000001E-2</v>
      </c>
      <c r="L188" s="8">
        <v>0.42</v>
      </c>
      <c r="M188" s="8">
        <v>0.4627</v>
      </c>
      <c r="N188" s="8">
        <v>0</v>
      </c>
      <c r="O188" s="8">
        <v>12</v>
      </c>
      <c r="P188" s="9">
        <v>12</v>
      </c>
    </row>
    <row r="189" spans="1:16" x14ac:dyDescent="0.25">
      <c r="A189" s="10">
        <v>188</v>
      </c>
      <c r="B189" s="11">
        <v>40552</v>
      </c>
      <c r="C189" s="12">
        <v>2</v>
      </c>
      <c r="D189" s="12" t="b">
        <v>0</v>
      </c>
      <c r="E189" s="12" t="str">
        <f t="shared" si="6"/>
        <v>Working Day</v>
      </c>
      <c r="F189" s="12">
        <v>0</v>
      </c>
      <c r="G189" s="12" t="str">
        <f t="shared" si="7"/>
        <v>Sun</v>
      </c>
      <c r="H189" s="12">
        <v>1</v>
      </c>
      <c r="I189" s="12" t="str">
        <f t="shared" si="8"/>
        <v>mist/cloudy</v>
      </c>
      <c r="J189" s="12">
        <v>0.1</v>
      </c>
      <c r="K189" s="12">
        <v>6.0600000000000001E-2</v>
      </c>
      <c r="L189" s="12">
        <v>0.46</v>
      </c>
      <c r="M189" s="12">
        <v>0.4627</v>
      </c>
      <c r="N189" s="12">
        <v>0</v>
      </c>
      <c r="O189" s="12">
        <v>11</v>
      </c>
      <c r="P189" s="13">
        <v>11</v>
      </c>
    </row>
    <row r="190" spans="1:16" x14ac:dyDescent="0.25">
      <c r="A190" s="6">
        <v>189</v>
      </c>
      <c r="B190" s="7">
        <v>40552</v>
      </c>
      <c r="C190" s="8">
        <v>3</v>
      </c>
      <c r="D190" s="8" t="b">
        <v>0</v>
      </c>
      <c r="E190" s="8" t="str">
        <f t="shared" si="6"/>
        <v>Working Day</v>
      </c>
      <c r="F190" s="8">
        <v>0</v>
      </c>
      <c r="G190" s="8" t="str">
        <f t="shared" si="7"/>
        <v>Sun</v>
      </c>
      <c r="H190" s="8">
        <v>1</v>
      </c>
      <c r="I190" s="8" t="str">
        <f t="shared" si="8"/>
        <v>mist/cloudy</v>
      </c>
      <c r="J190" s="8">
        <v>0.1</v>
      </c>
      <c r="K190" s="8">
        <v>7.5800000000000006E-2</v>
      </c>
      <c r="L190" s="8">
        <v>0.46</v>
      </c>
      <c r="M190" s="8">
        <v>0.41789999999999999</v>
      </c>
      <c r="N190" s="8">
        <v>0</v>
      </c>
      <c r="O190" s="8">
        <v>4</v>
      </c>
      <c r="P190" s="9">
        <v>4</v>
      </c>
    </row>
    <row r="191" spans="1:16" x14ac:dyDescent="0.25">
      <c r="A191" s="10">
        <v>190</v>
      </c>
      <c r="B191" s="11">
        <v>40552</v>
      </c>
      <c r="C191" s="12">
        <v>4</v>
      </c>
      <c r="D191" s="12" t="b">
        <v>0</v>
      </c>
      <c r="E191" s="12" t="str">
        <f t="shared" si="6"/>
        <v>Working Day</v>
      </c>
      <c r="F191" s="12">
        <v>0</v>
      </c>
      <c r="G191" s="12" t="str">
        <f t="shared" si="7"/>
        <v>Sun</v>
      </c>
      <c r="H191" s="12">
        <v>1</v>
      </c>
      <c r="I191" s="12" t="str">
        <f t="shared" si="8"/>
        <v>mist/cloudy</v>
      </c>
      <c r="J191" s="12">
        <v>0.08</v>
      </c>
      <c r="K191" s="12">
        <v>9.0899999999999995E-2</v>
      </c>
      <c r="L191" s="12">
        <v>0.53</v>
      </c>
      <c r="M191" s="12">
        <v>0.19400000000000001</v>
      </c>
      <c r="N191" s="12">
        <v>0</v>
      </c>
      <c r="O191" s="12">
        <v>1</v>
      </c>
      <c r="P191" s="13">
        <v>1</v>
      </c>
    </row>
    <row r="192" spans="1:16" x14ac:dyDescent="0.25">
      <c r="A192" s="6">
        <v>191</v>
      </c>
      <c r="B192" s="7">
        <v>40552</v>
      </c>
      <c r="C192" s="8">
        <v>5</v>
      </c>
      <c r="D192" s="8" t="b">
        <v>0</v>
      </c>
      <c r="E192" s="8" t="str">
        <f t="shared" si="6"/>
        <v>Working Day</v>
      </c>
      <c r="F192" s="8">
        <v>0</v>
      </c>
      <c r="G192" s="8" t="str">
        <f t="shared" si="7"/>
        <v>Sun</v>
      </c>
      <c r="H192" s="8">
        <v>1</v>
      </c>
      <c r="I192" s="8" t="str">
        <f t="shared" si="8"/>
        <v>mist/cloudy</v>
      </c>
      <c r="J192" s="8">
        <v>0.08</v>
      </c>
      <c r="K192" s="8">
        <v>9.0899999999999995E-2</v>
      </c>
      <c r="L192" s="8">
        <v>0.53</v>
      </c>
      <c r="M192" s="8">
        <v>0.19400000000000001</v>
      </c>
      <c r="N192" s="8">
        <v>0</v>
      </c>
      <c r="O192" s="8">
        <v>1</v>
      </c>
      <c r="P192" s="9">
        <v>1</v>
      </c>
    </row>
    <row r="193" spans="1:16" x14ac:dyDescent="0.25">
      <c r="A193" s="10">
        <v>192</v>
      </c>
      <c r="B193" s="11">
        <v>40552</v>
      </c>
      <c r="C193" s="12">
        <v>6</v>
      </c>
      <c r="D193" s="12" t="b">
        <v>0</v>
      </c>
      <c r="E193" s="12" t="str">
        <f t="shared" si="6"/>
        <v>Working Day</v>
      </c>
      <c r="F193" s="12">
        <v>0</v>
      </c>
      <c r="G193" s="12" t="str">
        <f t="shared" si="7"/>
        <v>Sun</v>
      </c>
      <c r="H193" s="12">
        <v>1</v>
      </c>
      <c r="I193" s="12" t="str">
        <f t="shared" si="8"/>
        <v>mist/cloudy</v>
      </c>
      <c r="J193" s="12">
        <v>0.1</v>
      </c>
      <c r="K193" s="12">
        <v>9.0899999999999995E-2</v>
      </c>
      <c r="L193" s="12">
        <v>0.49</v>
      </c>
      <c r="M193" s="12">
        <v>0.28360000000000002</v>
      </c>
      <c r="N193" s="12">
        <v>0</v>
      </c>
      <c r="O193" s="12">
        <v>1</v>
      </c>
      <c r="P193" s="13">
        <v>1</v>
      </c>
    </row>
    <row r="194" spans="1:16" x14ac:dyDescent="0.25">
      <c r="A194" s="6">
        <v>193</v>
      </c>
      <c r="B194" s="7">
        <v>40552</v>
      </c>
      <c r="C194" s="8">
        <v>7</v>
      </c>
      <c r="D194" s="8" t="b">
        <v>0</v>
      </c>
      <c r="E194" s="8" t="str">
        <f t="shared" ref="E194:E257" si="9">IF(D194=FALSE,"Working Day","Holiday")</f>
        <v>Working Day</v>
      </c>
      <c r="F194" s="8">
        <v>0</v>
      </c>
      <c r="G194" s="8" t="str">
        <f t="shared" ref="G194:G257" si="10">TEXT(F194+1, "ddd")</f>
        <v>Sun</v>
      </c>
      <c r="H194" s="8">
        <v>1</v>
      </c>
      <c r="I194" s="8" t="str">
        <f t="shared" si="8"/>
        <v>mist/cloudy</v>
      </c>
      <c r="J194" s="8">
        <v>0.08</v>
      </c>
      <c r="K194" s="8">
        <v>9.0899999999999995E-2</v>
      </c>
      <c r="L194" s="8">
        <v>0.53</v>
      </c>
      <c r="M194" s="8">
        <v>0.19400000000000001</v>
      </c>
      <c r="N194" s="8">
        <v>1</v>
      </c>
      <c r="O194" s="8">
        <v>5</v>
      </c>
      <c r="P194" s="9">
        <v>6</v>
      </c>
    </row>
    <row r="195" spans="1:16" x14ac:dyDescent="0.25">
      <c r="A195" s="10">
        <v>194</v>
      </c>
      <c r="B195" s="11">
        <v>40552</v>
      </c>
      <c r="C195" s="12">
        <v>8</v>
      </c>
      <c r="D195" s="12" t="b">
        <v>0</v>
      </c>
      <c r="E195" s="12" t="str">
        <f t="shared" si="9"/>
        <v>Working Day</v>
      </c>
      <c r="F195" s="12">
        <v>0</v>
      </c>
      <c r="G195" s="12" t="str">
        <f t="shared" si="10"/>
        <v>Sun</v>
      </c>
      <c r="H195" s="12">
        <v>1</v>
      </c>
      <c r="I195" s="12" t="str">
        <f t="shared" ref="I195:I258" si="11">IF(H195=0, "clear", IF(H195=1, "mist/cloudy", IF(H195=2, "light rain", IF(H195=3, "heavy rain", IF(H195=4, "extreme weather condition", "Unknown")))))</f>
        <v>mist/cloudy</v>
      </c>
      <c r="J195" s="12">
        <v>0.1</v>
      </c>
      <c r="K195" s="12">
        <v>9.0899999999999995E-2</v>
      </c>
      <c r="L195" s="12">
        <v>0.49</v>
      </c>
      <c r="M195" s="12">
        <v>0.28360000000000002</v>
      </c>
      <c r="N195" s="12">
        <v>0</v>
      </c>
      <c r="O195" s="12">
        <v>10</v>
      </c>
      <c r="P195" s="13">
        <v>10</v>
      </c>
    </row>
    <row r="196" spans="1:16" x14ac:dyDescent="0.25">
      <c r="A196" s="6">
        <v>195</v>
      </c>
      <c r="B196" s="7">
        <v>40552</v>
      </c>
      <c r="C196" s="8">
        <v>9</v>
      </c>
      <c r="D196" s="8" t="b">
        <v>0</v>
      </c>
      <c r="E196" s="8" t="str">
        <f t="shared" si="9"/>
        <v>Working Day</v>
      </c>
      <c r="F196" s="8">
        <v>0</v>
      </c>
      <c r="G196" s="8" t="str">
        <f t="shared" si="10"/>
        <v>Sun</v>
      </c>
      <c r="H196" s="8">
        <v>1</v>
      </c>
      <c r="I196" s="8" t="str">
        <f t="shared" si="11"/>
        <v>mist/cloudy</v>
      </c>
      <c r="J196" s="8">
        <v>0.12</v>
      </c>
      <c r="K196" s="8">
        <v>7.5800000000000006E-2</v>
      </c>
      <c r="L196" s="8">
        <v>0.46</v>
      </c>
      <c r="M196" s="8">
        <v>0.52239999999999998</v>
      </c>
      <c r="N196" s="8">
        <v>0</v>
      </c>
      <c r="O196" s="8">
        <v>19</v>
      </c>
      <c r="P196" s="9">
        <v>19</v>
      </c>
    </row>
    <row r="197" spans="1:16" x14ac:dyDescent="0.25">
      <c r="A197" s="10">
        <v>196</v>
      </c>
      <c r="B197" s="11">
        <v>40552</v>
      </c>
      <c r="C197" s="12">
        <v>10</v>
      </c>
      <c r="D197" s="12" t="b">
        <v>0</v>
      </c>
      <c r="E197" s="12" t="str">
        <f t="shared" si="9"/>
        <v>Working Day</v>
      </c>
      <c r="F197" s="12">
        <v>0</v>
      </c>
      <c r="G197" s="12" t="str">
        <f t="shared" si="10"/>
        <v>Sun</v>
      </c>
      <c r="H197" s="12">
        <v>1</v>
      </c>
      <c r="I197" s="12" t="str">
        <f t="shared" si="11"/>
        <v>mist/cloudy</v>
      </c>
      <c r="J197" s="12">
        <v>0.14000000000000001</v>
      </c>
      <c r="K197" s="12">
        <v>0.1061</v>
      </c>
      <c r="L197" s="12">
        <v>0.43</v>
      </c>
      <c r="M197" s="12">
        <v>0.3881</v>
      </c>
      <c r="N197" s="12">
        <v>0</v>
      </c>
      <c r="O197" s="12">
        <v>49</v>
      </c>
      <c r="P197" s="13">
        <v>49</v>
      </c>
    </row>
    <row r="198" spans="1:16" x14ac:dyDescent="0.25">
      <c r="A198" s="6">
        <v>197</v>
      </c>
      <c r="B198" s="7">
        <v>40552</v>
      </c>
      <c r="C198" s="8">
        <v>11</v>
      </c>
      <c r="D198" s="8" t="b">
        <v>0</v>
      </c>
      <c r="E198" s="8" t="str">
        <f t="shared" si="9"/>
        <v>Working Day</v>
      </c>
      <c r="F198" s="8">
        <v>0</v>
      </c>
      <c r="G198" s="8" t="str">
        <f t="shared" si="10"/>
        <v>Sun</v>
      </c>
      <c r="H198" s="8">
        <v>1</v>
      </c>
      <c r="I198" s="8" t="str">
        <f t="shared" si="11"/>
        <v>mist/cloudy</v>
      </c>
      <c r="J198" s="8">
        <v>0.16</v>
      </c>
      <c r="K198" s="8">
        <v>0.1212</v>
      </c>
      <c r="L198" s="8">
        <v>0.4</v>
      </c>
      <c r="M198" s="8">
        <v>0.52239999999999998</v>
      </c>
      <c r="N198" s="8">
        <v>2</v>
      </c>
      <c r="O198" s="8">
        <v>47</v>
      </c>
      <c r="P198" s="9">
        <v>49</v>
      </c>
    </row>
    <row r="199" spans="1:16" x14ac:dyDescent="0.25">
      <c r="A199" s="10">
        <v>198</v>
      </c>
      <c r="B199" s="11">
        <v>40552</v>
      </c>
      <c r="C199" s="12">
        <v>12</v>
      </c>
      <c r="D199" s="12" t="b">
        <v>0</v>
      </c>
      <c r="E199" s="12" t="str">
        <f t="shared" si="9"/>
        <v>Working Day</v>
      </c>
      <c r="F199" s="12">
        <v>0</v>
      </c>
      <c r="G199" s="12" t="str">
        <f t="shared" si="10"/>
        <v>Sun</v>
      </c>
      <c r="H199" s="12">
        <v>1</v>
      </c>
      <c r="I199" s="12" t="str">
        <f t="shared" si="11"/>
        <v>mist/cloudy</v>
      </c>
      <c r="J199" s="12">
        <v>0.18</v>
      </c>
      <c r="K199" s="12">
        <v>0.13639999999999999</v>
      </c>
      <c r="L199" s="12">
        <v>0.37</v>
      </c>
      <c r="M199" s="12">
        <v>0.44779999999999998</v>
      </c>
      <c r="N199" s="12">
        <v>4</v>
      </c>
      <c r="O199" s="12">
        <v>79</v>
      </c>
      <c r="P199" s="13">
        <v>83</v>
      </c>
    </row>
    <row r="200" spans="1:16" x14ac:dyDescent="0.25">
      <c r="A200" s="6">
        <v>199</v>
      </c>
      <c r="B200" s="7">
        <v>40552</v>
      </c>
      <c r="C200" s="8">
        <v>13</v>
      </c>
      <c r="D200" s="8" t="b">
        <v>0</v>
      </c>
      <c r="E200" s="8" t="str">
        <f t="shared" si="9"/>
        <v>Working Day</v>
      </c>
      <c r="F200" s="8">
        <v>0</v>
      </c>
      <c r="G200" s="8" t="str">
        <f t="shared" si="10"/>
        <v>Sun</v>
      </c>
      <c r="H200" s="8">
        <v>1</v>
      </c>
      <c r="I200" s="8" t="str">
        <f t="shared" si="11"/>
        <v>mist/cloudy</v>
      </c>
      <c r="J200" s="8">
        <v>0.2</v>
      </c>
      <c r="K200" s="8">
        <v>0.16669999999999999</v>
      </c>
      <c r="L200" s="8">
        <v>0.34</v>
      </c>
      <c r="M200" s="8">
        <v>0.44779999999999998</v>
      </c>
      <c r="N200" s="8">
        <v>6</v>
      </c>
      <c r="O200" s="8">
        <v>69</v>
      </c>
      <c r="P200" s="9">
        <v>75</v>
      </c>
    </row>
    <row r="201" spans="1:16" x14ac:dyDescent="0.25">
      <c r="A201" s="10">
        <v>200</v>
      </c>
      <c r="B201" s="11">
        <v>40552</v>
      </c>
      <c r="C201" s="12">
        <v>14</v>
      </c>
      <c r="D201" s="12" t="b">
        <v>0</v>
      </c>
      <c r="E201" s="12" t="str">
        <f t="shared" si="9"/>
        <v>Working Day</v>
      </c>
      <c r="F201" s="12">
        <v>0</v>
      </c>
      <c r="G201" s="12" t="str">
        <f t="shared" si="10"/>
        <v>Sun</v>
      </c>
      <c r="H201" s="12">
        <v>1</v>
      </c>
      <c r="I201" s="12" t="str">
        <f t="shared" si="11"/>
        <v>mist/cloudy</v>
      </c>
      <c r="J201" s="12">
        <v>0.22</v>
      </c>
      <c r="K201" s="12">
        <v>0.18179999999999999</v>
      </c>
      <c r="L201" s="12">
        <v>0.32</v>
      </c>
      <c r="M201" s="12">
        <v>0.4627</v>
      </c>
      <c r="N201" s="12">
        <v>8</v>
      </c>
      <c r="O201" s="12">
        <v>64</v>
      </c>
      <c r="P201" s="13">
        <v>72</v>
      </c>
    </row>
    <row r="202" spans="1:16" x14ac:dyDescent="0.25">
      <c r="A202" s="6">
        <v>201</v>
      </c>
      <c r="B202" s="7">
        <v>40552</v>
      </c>
      <c r="C202" s="8">
        <v>15</v>
      </c>
      <c r="D202" s="8" t="b">
        <v>0</v>
      </c>
      <c r="E202" s="8" t="str">
        <f t="shared" si="9"/>
        <v>Working Day</v>
      </c>
      <c r="F202" s="8">
        <v>0</v>
      </c>
      <c r="G202" s="8" t="str">
        <f t="shared" si="10"/>
        <v>Sun</v>
      </c>
      <c r="H202" s="8">
        <v>1</v>
      </c>
      <c r="I202" s="8" t="str">
        <f t="shared" si="11"/>
        <v>mist/cloudy</v>
      </c>
      <c r="J202" s="8">
        <v>0.22</v>
      </c>
      <c r="K202" s="8">
        <v>0.19700000000000001</v>
      </c>
      <c r="L202" s="8">
        <v>0.35</v>
      </c>
      <c r="M202" s="8">
        <v>0.35820000000000002</v>
      </c>
      <c r="N202" s="8">
        <v>5</v>
      </c>
      <c r="O202" s="8">
        <v>77</v>
      </c>
      <c r="P202" s="9">
        <v>82</v>
      </c>
    </row>
    <row r="203" spans="1:16" x14ac:dyDescent="0.25">
      <c r="A203" s="10">
        <v>202</v>
      </c>
      <c r="B203" s="11">
        <v>40552</v>
      </c>
      <c r="C203" s="12">
        <v>16</v>
      </c>
      <c r="D203" s="12" t="b">
        <v>0</v>
      </c>
      <c r="E203" s="12" t="str">
        <f t="shared" si="9"/>
        <v>Working Day</v>
      </c>
      <c r="F203" s="12">
        <v>0</v>
      </c>
      <c r="G203" s="12" t="str">
        <f t="shared" si="10"/>
        <v>Sun</v>
      </c>
      <c r="H203" s="12">
        <v>1</v>
      </c>
      <c r="I203" s="12" t="str">
        <f t="shared" si="11"/>
        <v>mist/cloudy</v>
      </c>
      <c r="J203" s="12">
        <v>0.2</v>
      </c>
      <c r="K203" s="12">
        <v>0.16669999999999999</v>
      </c>
      <c r="L203" s="12">
        <v>0.34</v>
      </c>
      <c r="M203" s="12">
        <v>0.44779999999999998</v>
      </c>
      <c r="N203" s="12">
        <v>13</v>
      </c>
      <c r="O203" s="12">
        <v>79</v>
      </c>
      <c r="P203" s="13">
        <v>92</v>
      </c>
    </row>
    <row r="204" spans="1:16" x14ac:dyDescent="0.25">
      <c r="A204" s="6">
        <v>203</v>
      </c>
      <c r="B204" s="7">
        <v>40552</v>
      </c>
      <c r="C204" s="8">
        <v>17</v>
      </c>
      <c r="D204" s="8" t="b">
        <v>0</v>
      </c>
      <c r="E204" s="8" t="str">
        <f t="shared" si="9"/>
        <v>Working Day</v>
      </c>
      <c r="F204" s="8">
        <v>0</v>
      </c>
      <c r="G204" s="8" t="str">
        <f t="shared" si="10"/>
        <v>Sun</v>
      </c>
      <c r="H204" s="8">
        <v>1</v>
      </c>
      <c r="I204" s="8" t="str">
        <f t="shared" si="11"/>
        <v>mist/cloudy</v>
      </c>
      <c r="J204" s="8">
        <v>0.18</v>
      </c>
      <c r="K204" s="8">
        <v>0.1515</v>
      </c>
      <c r="L204" s="8">
        <v>0.37</v>
      </c>
      <c r="M204" s="8">
        <v>0.3881</v>
      </c>
      <c r="N204" s="8">
        <v>3</v>
      </c>
      <c r="O204" s="8">
        <v>59</v>
      </c>
      <c r="P204" s="9">
        <v>62</v>
      </c>
    </row>
    <row r="205" spans="1:16" x14ac:dyDescent="0.25">
      <c r="A205" s="10">
        <v>204</v>
      </c>
      <c r="B205" s="11">
        <v>40552</v>
      </c>
      <c r="C205" s="12">
        <v>18</v>
      </c>
      <c r="D205" s="12" t="b">
        <v>0</v>
      </c>
      <c r="E205" s="12" t="str">
        <f t="shared" si="9"/>
        <v>Working Day</v>
      </c>
      <c r="F205" s="12">
        <v>0</v>
      </c>
      <c r="G205" s="12" t="str">
        <f t="shared" si="10"/>
        <v>Sun</v>
      </c>
      <c r="H205" s="12">
        <v>1</v>
      </c>
      <c r="I205" s="12" t="str">
        <f t="shared" si="11"/>
        <v>mist/cloudy</v>
      </c>
      <c r="J205" s="12">
        <v>0.16</v>
      </c>
      <c r="K205" s="12">
        <v>0.13639999999999999</v>
      </c>
      <c r="L205" s="12">
        <v>0.4</v>
      </c>
      <c r="M205" s="12">
        <v>0.32840000000000003</v>
      </c>
      <c r="N205" s="12">
        <v>4</v>
      </c>
      <c r="O205" s="12">
        <v>44</v>
      </c>
      <c r="P205" s="13">
        <v>48</v>
      </c>
    </row>
    <row r="206" spans="1:16" x14ac:dyDescent="0.25">
      <c r="A206" s="6">
        <v>205</v>
      </c>
      <c r="B206" s="7">
        <v>40552</v>
      </c>
      <c r="C206" s="8">
        <v>19</v>
      </c>
      <c r="D206" s="8" t="b">
        <v>0</v>
      </c>
      <c r="E206" s="8" t="str">
        <f t="shared" si="9"/>
        <v>Working Day</v>
      </c>
      <c r="F206" s="8">
        <v>0</v>
      </c>
      <c r="G206" s="8" t="str">
        <f t="shared" si="10"/>
        <v>Sun</v>
      </c>
      <c r="H206" s="8">
        <v>1</v>
      </c>
      <c r="I206" s="8" t="str">
        <f t="shared" si="11"/>
        <v>mist/cloudy</v>
      </c>
      <c r="J206" s="8">
        <v>0.16</v>
      </c>
      <c r="K206" s="8">
        <v>0.13639999999999999</v>
      </c>
      <c r="L206" s="8">
        <v>0.43</v>
      </c>
      <c r="M206" s="8">
        <v>0.32840000000000003</v>
      </c>
      <c r="N206" s="8">
        <v>1</v>
      </c>
      <c r="O206" s="8">
        <v>40</v>
      </c>
      <c r="P206" s="9">
        <v>41</v>
      </c>
    </row>
    <row r="207" spans="1:16" x14ac:dyDescent="0.25">
      <c r="A207" s="10">
        <v>206</v>
      </c>
      <c r="B207" s="11">
        <v>40552</v>
      </c>
      <c r="C207" s="12">
        <v>20</v>
      </c>
      <c r="D207" s="12" t="b">
        <v>0</v>
      </c>
      <c r="E207" s="12" t="str">
        <f t="shared" si="9"/>
        <v>Working Day</v>
      </c>
      <c r="F207" s="12">
        <v>0</v>
      </c>
      <c r="G207" s="12" t="str">
        <f t="shared" si="10"/>
        <v>Sun</v>
      </c>
      <c r="H207" s="12">
        <v>1</v>
      </c>
      <c r="I207" s="12" t="str">
        <f t="shared" si="11"/>
        <v>mist/cloudy</v>
      </c>
      <c r="J207" s="12">
        <v>0.14000000000000001</v>
      </c>
      <c r="K207" s="12">
        <v>0.1212</v>
      </c>
      <c r="L207" s="12">
        <v>0.46</v>
      </c>
      <c r="M207" s="12">
        <v>0.25369999999999998</v>
      </c>
      <c r="N207" s="12">
        <v>0</v>
      </c>
      <c r="O207" s="12">
        <v>38</v>
      </c>
      <c r="P207" s="13">
        <v>38</v>
      </c>
    </row>
    <row r="208" spans="1:16" x14ac:dyDescent="0.25">
      <c r="A208" s="6">
        <v>207</v>
      </c>
      <c r="B208" s="7">
        <v>40552</v>
      </c>
      <c r="C208" s="8">
        <v>21</v>
      </c>
      <c r="D208" s="8" t="b">
        <v>0</v>
      </c>
      <c r="E208" s="8" t="str">
        <f t="shared" si="9"/>
        <v>Working Day</v>
      </c>
      <c r="F208" s="8">
        <v>0</v>
      </c>
      <c r="G208" s="8" t="str">
        <f t="shared" si="10"/>
        <v>Sun</v>
      </c>
      <c r="H208" s="8">
        <v>1</v>
      </c>
      <c r="I208" s="8" t="str">
        <f t="shared" si="11"/>
        <v>mist/cloudy</v>
      </c>
      <c r="J208" s="8">
        <v>0.14000000000000001</v>
      </c>
      <c r="K208" s="8">
        <v>0.1061</v>
      </c>
      <c r="L208" s="8">
        <v>0.46</v>
      </c>
      <c r="M208" s="8">
        <v>0.41789999999999999</v>
      </c>
      <c r="N208" s="8">
        <v>1</v>
      </c>
      <c r="O208" s="8">
        <v>19</v>
      </c>
      <c r="P208" s="9">
        <v>20</v>
      </c>
    </row>
    <row r="209" spans="1:16" x14ac:dyDescent="0.25">
      <c r="A209" s="10">
        <v>208</v>
      </c>
      <c r="B209" s="11">
        <v>40552</v>
      </c>
      <c r="C209" s="12">
        <v>22</v>
      </c>
      <c r="D209" s="12" t="b">
        <v>0</v>
      </c>
      <c r="E209" s="12" t="str">
        <f t="shared" si="9"/>
        <v>Working Day</v>
      </c>
      <c r="F209" s="12">
        <v>0</v>
      </c>
      <c r="G209" s="12" t="str">
        <f t="shared" si="10"/>
        <v>Sun</v>
      </c>
      <c r="H209" s="12">
        <v>1</v>
      </c>
      <c r="I209" s="12" t="str">
        <f t="shared" si="11"/>
        <v>mist/cloudy</v>
      </c>
      <c r="J209" s="12">
        <v>0.14000000000000001</v>
      </c>
      <c r="K209" s="12">
        <v>0.1212</v>
      </c>
      <c r="L209" s="12">
        <v>0.46</v>
      </c>
      <c r="M209" s="12">
        <v>0.29849999999999999</v>
      </c>
      <c r="N209" s="12">
        <v>5</v>
      </c>
      <c r="O209" s="12">
        <v>10</v>
      </c>
      <c r="P209" s="13">
        <v>15</v>
      </c>
    </row>
    <row r="210" spans="1:16" x14ac:dyDescent="0.25">
      <c r="A210" s="6">
        <v>209</v>
      </c>
      <c r="B210" s="7">
        <v>40552</v>
      </c>
      <c r="C210" s="8">
        <v>23</v>
      </c>
      <c r="D210" s="8" t="b">
        <v>0</v>
      </c>
      <c r="E210" s="8" t="str">
        <f t="shared" si="9"/>
        <v>Working Day</v>
      </c>
      <c r="F210" s="8">
        <v>0</v>
      </c>
      <c r="G210" s="8" t="str">
        <f t="shared" si="10"/>
        <v>Sun</v>
      </c>
      <c r="H210" s="8">
        <v>1</v>
      </c>
      <c r="I210" s="8" t="str">
        <f t="shared" si="11"/>
        <v>mist/cloudy</v>
      </c>
      <c r="J210" s="8">
        <v>0.12</v>
      </c>
      <c r="K210" s="8">
        <v>0.13639999999999999</v>
      </c>
      <c r="L210" s="8">
        <v>0.5</v>
      </c>
      <c r="M210" s="8">
        <v>0.19400000000000001</v>
      </c>
      <c r="N210" s="8">
        <v>0</v>
      </c>
      <c r="O210" s="8">
        <v>6</v>
      </c>
      <c r="P210" s="9">
        <v>6</v>
      </c>
    </row>
    <row r="211" spans="1:16" x14ac:dyDescent="0.25">
      <c r="A211" s="10">
        <v>210</v>
      </c>
      <c r="B211" s="11">
        <v>40553</v>
      </c>
      <c r="C211" s="12">
        <v>0</v>
      </c>
      <c r="D211" s="12" t="b">
        <v>0</v>
      </c>
      <c r="E211" s="12" t="str">
        <f t="shared" si="9"/>
        <v>Working Day</v>
      </c>
      <c r="F211" s="12">
        <v>1</v>
      </c>
      <c r="G211" s="12" t="str">
        <f t="shared" si="10"/>
        <v>Mon</v>
      </c>
      <c r="H211" s="12">
        <v>1</v>
      </c>
      <c r="I211" s="12" t="str">
        <f t="shared" si="11"/>
        <v>mist/cloudy</v>
      </c>
      <c r="J211" s="12">
        <v>0.12</v>
      </c>
      <c r="K211" s="12">
        <v>0.1212</v>
      </c>
      <c r="L211" s="12">
        <v>0.5</v>
      </c>
      <c r="M211" s="12">
        <v>0.28360000000000002</v>
      </c>
      <c r="N211" s="12">
        <v>2</v>
      </c>
      <c r="O211" s="12">
        <v>3</v>
      </c>
      <c r="P211" s="13">
        <v>5</v>
      </c>
    </row>
    <row r="212" spans="1:16" x14ac:dyDescent="0.25">
      <c r="A212" s="6">
        <v>211</v>
      </c>
      <c r="B212" s="7">
        <v>40553</v>
      </c>
      <c r="C212" s="8">
        <v>1</v>
      </c>
      <c r="D212" s="8" t="b">
        <v>0</v>
      </c>
      <c r="E212" s="8" t="str">
        <f t="shared" si="9"/>
        <v>Working Day</v>
      </c>
      <c r="F212" s="8">
        <v>1</v>
      </c>
      <c r="G212" s="8" t="str">
        <f t="shared" si="10"/>
        <v>Mon</v>
      </c>
      <c r="H212" s="8">
        <v>1</v>
      </c>
      <c r="I212" s="8" t="str">
        <f t="shared" si="11"/>
        <v>mist/cloudy</v>
      </c>
      <c r="J212" s="8">
        <v>0.12</v>
      </c>
      <c r="K212" s="8">
        <v>0.1212</v>
      </c>
      <c r="L212" s="8">
        <v>0.5</v>
      </c>
      <c r="M212" s="8">
        <v>0.28360000000000002</v>
      </c>
      <c r="N212" s="8">
        <v>1</v>
      </c>
      <c r="O212" s="8">
        <v>0</v>
      </c>
      <c r="P212" s="9">
        <v>1</v>
      </c>
    </row>
    <row r="213" spans="1:16" x14ac:dyDescent="0.25">
      <c r="A213" s="10">
        <v>212</v>
      </c>
      <c r="B213" s="11">
        <v>40553</v>
      </c>
      <c r="C213" s="12">
        <v>2</v>
      </c>
      <c r="D213" s="12" t="b">
        <v>0</v>
      </c>
      <c r="E213" s="12" t="str">
        <f t="shared" si="9"/>
        <v>Working Day</v>
      </c>
      <c r="F213" s="12">
        <v>1</v>
      </c>
      <c r="G213" s="12" t="str">
        <f t="shared" si="10"/>
        <v>Mon</v>
      </c>
      <c r="H213" s="12">
        <v>1</v>
      </c>
      <c r="I213" s="12" t="str">
        <f t="shared" si="11"/>
        <v>mist/cloudy</v>
      </c>
      <c r="J213" s="12">
        <v>0.12</v>
      </c>
      <c r="K213" s="12">
        <v>0.1212</v>
      </c>
      <c r="L213" s="12">
        <v>0.5</v>
      </c>
      <c r="M213" s="12">
        <v>0.22389999999999999</v>
      </c>
      <c r="N213" s="12">
        <v>0</v>
      </c>
      <c r="O213" s="12">
        <v>3</v>
      </c>
      <c r="P213" s="13">
        <v>3</v>
      </c>
    </row>
    <row r="214" spans="1:16" x14ac:dyDescent="0.25">
      <c r="A214" s="6">
        <v>213</v>
      </c>
      <c r="B214" s="7">
        <v>40553</v>
      </c>
      <c r="C214" s="8">
        <v>3</v>
      </c>
      <c r="D214" s="8" t="b">
        <v>0</v>
      </c>
      <c r="E214" s="8" t="str">
        <f t="shared" si="9"/>
        <v>Working Day</v>
      </c>
      <c r="F214" s="8">
        <v>1</v>
      </c>
      <c r="G214" s="8" t="str">
        <f t="shared" si="10"/>
        <v>Mon</v>
      </c>
      <c r="H214" s="8">
        <v>1</v>
      </c>
      <c r="I214" s="8" t="str">
        <f t="shared" si="11"/>
        <v>mist/cloudy</v>
      </c>
      <c r="J214" s="8">
        <v>0.12</v>
      </c>
      <c r="K214" s="8">
        <v>0.1212</v>
      </c>
      <c r="L214" s="8">
        <v>0.5</v>
      </c>
      <c r="M214" s="8">
        <v>0.22389999999999999</v>
      </c>
      <c r="N214" s="8">
        <v>0</v>
      </c>
      <c r="O214" s="8">
        <v>1</v>
      </c>
      <c r="P214" s="9">
        <v>1</v>
      </c>
    </row>
    <row r="215" spans="1:16" x14ac:dyDescent="0.25">
      <c r="A215" s="10">
        <v>214</v>
      </c>
      <c r="B215" s="11">
        <v>40553</v>
      </c>
      <c r="C215" s="12">
        <v>4</v>
      </c>
      <c r="D215" s="12" t="b">
        <v>0</v>
      </c>
      <c r="E215" s="12" t="str">
        <f t="shared" si="9"/>
        <v>Working Day</v>
      </c>
      <c r="F215" s="12">
        <v>1</v>
      </c>
      <c r="G215" s="12" t="str">
        <f t="shared" si="10"/>
        <v>Mon</v>
      </c>
      <c r="H215" s="12">
        <v>1</v>
      </c>
      <c r="I215" s="12" t="str">
        <f t="shared" si="11"/>
        <v>mist/cloudy</v>
      </c>
      <c r="J215" s="12">
        <v>0.1</v>
      </c>
      <c r="K215" s="12">
        <v>0.1212</v>
      </c>
      <c r="L215" s="12">
        <v>0.54</v>
      </c>
      <c r="M215" s="12">
        <v>0.1343</v>
      </c>
      <c r="N215" s="12">
        <v>1</v>
      </c>
      <c r="O215" s="12">
        <v>2</v>
      </c>
      <c r="P215" s="13">
        <v>3</v>
      </c>
    </row>
    <row r="216" spans="1:16" x14ac:dyDescent="0.25">
      <c r="A216" s="6">
        <v>215</v>
      </c>
      <c r="B216" s="7">
        <v>40553</v>
      </c>
      <c r="C216" s="8">
        <v>5</v>
      </c>
      <c r="D216" s="8" t="b">
        <v>0</v>
      </c>
      <c r="E216" s="8" t="str">
        <f t="shared" si="9"/>
        <v>Working Day</v>
      </c>
      <c r="F216" s="8">
        <v>1</v>
      </c>
      <c r="G216" s="8" t="str">
        <f t="shared" si="10"/>
        <v>Mon</v>
      </c>
      <c r="H216" s="8">
        <v>1</v>
      </c>
      <c r="I216" s="8" t="str">
        <f t="shared" si="11"/>
        <v>mist/cloudy</v>
      </c>
      <c r="J216" s="8">
        <v>0.1</v>
      </c>
      <c r="K216" s="8">
        <v>0.1061</v>
      </c>
      <c r="L216" s="8">
        <v>0.54</v>
      </c>
      <c r="M216" s="8">
        <v>0.25369999999999998</v>
      </c>
      <c r="N216" s="8">
        <v>0</v>
      </c>
      <c r="O216" s="8">
        <v>3</v>
      </c>
      <c r="P216" s="9">
        <v>3</v>
      </c>
    </row>
    <row r="217" spans="1:16" x14ac:dyDescent="0.25">
      <c r="A217" s="10">
        <v>216</v>
      </c>
      <c r="B217" s="11">
        <v>40553</v>
      </c>
      <c r="C217" s="12">
        <v>6</v>
      </c>
      <c r="D217" s="12" t="b">
        <v>0</v>
      </c>
      <c r="E217" s="12" t="str">
        <f t="shared" si="9"/>
        <v>Working Day</v>
      </c>
      <c r="F217" s="12">
        <v>1</v>
      </c>
      <c r="G217" s="12" t="str">
        <f t="shared" si="10"/>
        <v>Mon</v>
      </c>
      <c r="H217" s="12">
        <v>1</v>
      </c>
      <c r="I217" s="12" t="str">
        <f t="shared" si="11"/>
        <v>mist/cloudy</v>
      </c>
      <c r="J217" s="12">
        <v>0.12</v>
      </c>
      <c r="K217" s="12">
        <v>0.1212</v>
      </c>
      <c r="L217" s="12">
        <v>0.5</v>
      </c>
      <c r="M217" s="12">
        <v>0.28360000000000002</v>
      </c>
      <c r="N217" s="12">
        <v>0</v>
      </c>
      <c r="O217" s="12">
        <v>31</v>
      </c>
      <c r="P217" s="13">
        <v>31</v>
      </c>
    </row>
    <row r="218" spans="1:16" x14ac:dyDescent="0.25">
      <c r="A218" s="6">
        <v>217</v>
      </c>
      <c r="B218" s="7">
        <v>40553</v>
      </c>
      <c r="C218" s="8">
        <v>7</v>
      </c>
      <c r="D218" s="8" t="b">
        <v>0</v>
      </c>
      <c r="E218" s="8" t="str">
        <f t="shared" si="9"/>
        <v>Working Day</v>
      </c>
      <c r="F218" s="8">
        <v>1</v>
      </c>
      <c r="G218" s="8" t="str">
        <f t="shared" si="10"/>
        <v>Mon</v>
      </c>
      <c r="H218" s="8">
        <v>1</v>
      </c>
      <c r="I218" s="8" t="str">
        <f t="shared" si="11"/>
        <v>mist/cloudy</v>
      </c>
      <c r="J218" s="8">
        <v>0.12</v>
      </c>
      <c r="K218" s="8">
        <v>0.1212</v>
      </c>
      <c r="L218" s="8">
        <v>0.5</v>
      </c>
      <c r="M218" s="8">
        <v>0.22389999999999999</v>
      </c>
      <c r="N218" s="8">
        <v>2</v>
      </c>
      <c r="O218" s="8">
        <v>75</v>
      </c>
      <c r="P218" s="9">
        <v>77</v>
      </c>
    </row>
    <row r="219" spans="1:16" x14ac:dyDescent="0.25">
      <c r="A219" s="10">
        <v>218</v>
      </c>
      <c r="B219" s="11">
        <v>40553</v>
      </c>
      <c r="C219" s="12">
        <v>8</v>
      </c>
      <c r="D219" s="12" t="b">
        <v>0</v>
      </c>
      <c r="E219" s="12" t="str">
        <f t="shared" si="9"/>
        <v>Working Day</v>
      </c>
      <c r="F219" s="12">
        <v>1</v>
      </c>
      <c r="G219" s="12" t="str">
        <f t="shared" si="10"/>
        <v>Mon</v>
      </c>
      <c r="H219" s="12">
        <v>2</v>
      </c>
      <c r="I219" s="12" t="str">
        <f t="shared" si="11"/>
        <v>light rain</v>
      </c>
      <c r="J219" s="12">
        <v>0.12</v>
      </c>
      <c r="K219" s="12">
        <v>0.1212</v>
      </c>
      <c r="L219" s="12">
        <v>0.5</v>
      </c>
      <c r="M219" s="12">
        <v>0.28360000000000002</v>
      </c>
      <c r="N219" s="12">
        <v>4</v>
      </c>
      <c r="O219" s="12">
        <v>184</v>
      </c>
      <c r="P219" s="13">
        <v>188</v>
      </c>
    </row>
    <row r="220" spans="1:16" x14ac:dyDescent="0.25">
      <c r="A220" s="6">
        <v>219</v>
      </c>
      <c r="B220" s="7">
        <v>40553</v>
      </c>
      <c r="C220" s="8">
        <v>9</v>
      </c>
      <c r="D220" s="8" t="b">
        <v>0</v>
      </c>
      <c r="E220" s="8" t="str">
        <f t="shared" si="9"/>
        <v>Working Day</v>
      </c>
      <c r="F220" s="8">
        <v>1</v>
      </c>
      <c r="G220" s="8" t="str">
        <f t="shared" si="10"/>
        <v>Mon</v>
      </c>
      <c r="H220" s="8">
        <v>2</v>
      </c>
      <c r="I220" s="8" t="str">
        <f t="shared" si="11"/>
        <v>light rain</v>
      </c>
      <c r="J220" s="8">
        <v>0.14000000000000001</v>
      </c>
      <c r="K220" s="8">
        <v>0.1212</v>
      </c>
      <c r="L220" s="8">
        <v>0.5</v>
      </c>
      <c r="M220" s="8">
        <v>0.25369999999999998</v>
      </c>
      <c r="N220" s="8">
        <v>2</v>
      </c>
      <c r="O220" s="8">
        <v>92</v>
      </c>
      <c r="P220" s="9">
        <v>94</v>
      </c>
    </row>
    <row r="221" spans="1:16" x14ac:dyDescent="0.25">
      <c r="A221" s="10">
        <v>220</v>
      </c>
      <c r="B221" s="11">
        <v>40553</v>
      </c>
      <c r="C221" s="12">
        <v>10</v>
      </c>
      <c r="D221" s="12" t="b">
        <v>0</v>
      </c>
      <c r="E221" s="12" t="str">
        <f t="shared" si="9"/>
        <v>Working Day</v>
      </c>
      <c r="F221" s="12">
        <v>1</v>
      </c>
      <c r="G221" s="12" t="str">
        <f t="shared" si="10"/>
        <v>Mon</v>
      </c>
      <c r="H221" s="12">
        <v>2</v>
      </c>
      <c r="I221" s="12" t="str">
        <f t="shared" si="11"/>
        <v>light rain</v>
      </c>
      <c r="J221" s="12">
        <v>0.14000000000000001</v>
      </c>
      <c r="K221" s="12">
        <v>0.1212</v>
      </c>
      <c r="L221" s="12">
        <v>0.5</v>
      </c>
      <c r="M221" s="12">
        <v>0.29849999999999999</v>
      </c>
      <c r="N221" s="12">
        <v>0</v>
      </c>
      <c r="O221" s="12">
        <v>31</v>
      </c>
      <c r="P221" s="13">
        <v>31</v>
      </c>
    </row>
    <row r="222" spans="1:16" x14ac:dyDescent="0.25">
      <c r="A222" s="6">
        <v>221</v>
      </c>
      <c r="B222" s="7">
        <v>40553</v>
      </c>
      <c r="C222" s="8">
        <v>11</v>
      </c>
      <c r="D222" s="8" t="b">
        <v>0</v>
      </c>
      <c r="E222" s="8" t="str">
        <f t="shared" si="9"/>
        <v>Working Day</v>
      </c>
      <c r="F222" s="8">
        <v>1</v>
      </c>
      <c r="G222" s="8" t="str">
        <f t="shared" si="10"/>
        <v>Mon</v>
      </c>
      <c r="H222" s="8">
        <v>2</v>
      </c>
      <c r="I222" s="8" t="str">
        <f t="shared" si="11"/>
        <v>light rain</v>
      </c>
      <c r="J222" s="8">
        <v>0.16</v>
      </c>
      <c r="K222" s="8">
        <v>0.13639999999999999</v>
      </c>
      <c r="L222" s="8">
        <v>0.47</v>
      </c>
      <c r="M222" s="8">
        <v>0.28360000000000002</v>
      </c>
      <c r="N222" s="8">
        <v>2</v>
      </c>
      <c r="O222" s="8">
        <v>28</v>
      </c>
      <c r="P222" s="9">
        <v>30</v>
      </c>
    </row>
    <row r="223" spans="1:16" x14ac:dyDescent="0.25">
      <c r="A223" s="10">
        <v>222</v>
      </c>
      <c r="B223" s="11">
        <v>40553</v>
      </c>
      <c r="C223" s="12">
        <v>12</v>
      </c>
      <c r="D223" s="12" t="b">
        <v>0</v>
      </c>
      <c r="E223" s="12" t="str">
        <f t="shared" si="9"/>
        <v>Working Day</v>
      </c>
      <c r="F223" s="12">
        <v>1</v>
      </c>
      <c r="G223" s="12" t="str">
        <f t="shared" si="10"/>
        <v>Mon</v>
      </c>
      <c r="H223" s="12">
        <v>2</v>
      </c>
      <c r="I223" s="12" t="str">
        <f t="shared" si="11"/>
        <v>light rain</v>
      </c>
      <c r="J223" s="12">
        <v>0.2</v>
      </c>
      <c r="K223" s="12">
        <v>0.18179999999999999</v>
      </c>
      <c r="L223" s="12">
        <v>0.4</v>
      </c>
      <c r="M223" s="12">
        <v>0.28360000000000002</v>
      </c>
      <c r="N223" s="12">
        <v>5</v>
      </c>
      <c r="O223" s="12">
        <v>47</v>
      </c>
      <c r="P223" s="13">
        <v>52</v>
      </c>
    </row>
    <row r="224" spans="1:16" x14ac:dyDescent="0.25">
      <c r="A224" s="6">
        <v>223</v>
      </c>
      <c r="B224" s="7">
        <v>40553</v>
      </c>
      <c r="C224" s="8">
        <v>13</v>
      </c>
      <c r="D224" s="8" t="b">
        <v>0</v>
      </c>
      <c r="E224" s="8" t="str">
        <f t="shared" si="9"/>
        <v>Working Day</v>
      </c>
      <c r="F224" s="8">
        <v>1</v>
      </c>
      <c r="G224" s="8" t="str">
        <f t="shared" si="10"/>
        <v>Mon</v>
      </c>
      <c r="H224" s="8">
        <v>2</v>
      </c>
      <c r="I224" s="8" t="str">
        <f t="shared" si="11"/>
        <v>light rain</v>
      </c>
      <c r="J224" s="8">
        <v>0.2</v>
      </c>
      <c r="K224" s="8">
        <v>0.18179999999999999</v>
      </c>
      <c r="L224" s="8">
        <v>0.4</v>
      </c>
      <c r="M224" s="8">
        <v>0.28360000000000002</v>
      </c>
      <c r="N224" s="8">
        <v>4</v>
      </c>
      <c r="O224" s="8">
        <v>50</v>
      </c>
      <c r="P224" s="9">
        <v>54</v>
      </c>
    </row>
    <row r="225" spans="1:16" x14ac:dyDescent="0.25">
      <c r="A225" s="10">
        <v>224</v>
      </c>
      <c r="B225" s="11">
        <v>40553</v>
      </c>
      <c r="C225" s="12">
        <v>14</v>
      </c>
      <c r="D225" s="12" t="b">
        <v>0</v>
      </c>
      <c r="E225" s="12" t="str">
        <f t="shared" si="9"/>
        <v>Working Day</v>
      </c>
      <c r="F225" s="12">
        <v>1</v>
      </c>
      <c r="G225" s="12" t="str">
        <f t="shared" si="10"/>
        <v>Mon</v>
      </c>
      <c r="H225" s="12">
        <v>2</v>
      </c>
      <c r="I225" s="12" t="str">
        <f t="shared" si="11"/>
        <v>light rain</v>
      </c>
      <c r="J225" s="12">
        <v>0.2</v>
      </c>
      <c r="K225" s="12">
        <v>0.19700000000000001</v>
      </c>
      <c r="L225" s="12">
        <v>0.4</v>
      </c>
      <c r="M225" s="12">
        <v>0.22389999999999999</v>
      </c>
      <c r="N225" s="12">
        <v>0</v>
      </c>
      <c r="O225" s="12">
        <v>47</v>
      </c>
      <c r="P225" s="13">
        <v>47</v>
      </c>
    </row>
    <row r="226" spans="1:16" x14ac:dyDescent="0.25">
      <c r="A226" s="6">
        <v>225</v>
      </c>
      <c r="B226" s="7">
        <v>40553</v>
      </c>
      <c r="C226" s="8">
        <v>15</v>
      </c>
      <c r="D226" s="8" t="b">
        <v>0</v>
      </c>
      <c r="E226" s="8" t="str">
        <f t="shared" si="9"/>
        <v>Working Day</v>
      </c>
      <c r="F226" s="8">
        <v>1</v>
      </c>
      <c r="G226" s="8" t="str">
        <f t="shared" si="10"/>
        <v>Mon</v>
      </c>
      <c r="H226" s="8">
        <v>2</v>
      </c>
      <c r="I226" s="8" t="str">
        <f t="shared" si="11"/>
        <v>light rain</v>
      </c>
      <c r="J226" s="8">
        <v>0.2</v>
      </c>
      <c r="K226" s="8">
        <v>0.19700000000000001</v>
      </c>
      <c r="L226" s="8">
        <v>0.4</v>
      </c>
      <c r="M226" s="8">
        <v>0.22389999999999999</v>
      </c>
      <c r="N226" s="8">
        <v>2</v>
      </c>
      <c r="O226" s="8">
        <v>43</v>
      </c>
      <c r="P226" s="9">
        <v>45</v>
      </c>
    </row>
    <row r="227" spans="1:16" x14ac:dyDescent="0.25">
      <c r="A227" s="10">
        <v>226</v>
      </c>
      <c r="B227" s="11">
        <v>40553</v>
      </c>
      <c r="C227" s="12">
        <v>16</v>
      </c>
      <c r="D227" s="12" t="b">
        <v>0</v>
      </c>
      <c r="E227" s="12" t="str">
        <f t="shared" si="9"/>
        <v>Working Day</v>
      </c>
      <c r="F227" s="12">
        <v>1</v>
      </c>
      <c r="G227" s="12" t="str">
        <f t="shared" si="10"/>
        <v>Mon</v>
      </c>
      <c r="H227" s="12">
        <v>1</v>
      </c>
      <c r="I227" s="12" t="str">
        <f t="shared" si="11"/>
        <v>mist/cloudy</v>
      </c>
      <c r="J227" s="12">
        <v>0.2</v>
      </c>
      <c r="K227" s="12">
        <v>0.21210000000000001</v>
      </c>
      <c r="L227" s="12">
        <v>0.4</v>
      </c>
      <c r="M227" s="12">
        <v>0.1343</v>
      </c>
      <c r="N227" s="12">
        <v>4</v>
      </c>
      <c r="O227" s="12">
        <v>70</v>
      </c>
      <c r="P227" s="13">
        <v>74</v>
      </c>
    </row>
    <row r="228" spans="1:16" x14ac:dyDescent="0.25">
      <c r="A228" s="6">
        <v>227</v>
      </c>
      <c r="B228" s="7">
        <v>40553</v>
      </c>
      <c r="C228" s="8">
        <v>17</v>
      </c>
      <c r="D228" s="8" t="b">
        <v>0</v>
      </c>
      <c r="E228" s="8" t="str">
        <f t="shared" si="9"/>
        <v>Working Day</v>
      </c>
      <c r="F228" s="8">
        <v>1</v>
      </c>
      <c r="G228" s="8" t="str">
        <f t="shared" si="10"/>
        <v>Mon</v>
      </c>
      <c r="H228" s="8">
        <v>1</v>
      </c>
      <c r="I228" s="8" t="str">
        <f t="shared" si="11"/>
        <v>mist/cloudy</v>
      </c>
      <c r="J228" s="8">
        <v>0.2</v>
      </c>
      <c r="K228" s="8">
        <v>0.2273</v>
      </c>
      <c r="L228" s="8">
        <v>0.4</v>
      </c>
      <c r="M228" s="8">
        <v>0.1045</v>
      </c>
      <c r="N228" s="8">
        <v>4</v>
      </c>
      <c r="O228" s="8">
        <v>174</v>
      </c>
      <c r="P228" s="9">
        <v>178</v>
      </c>
    </row>
    <row r="229" spans="1:16" x14ac:dyDescent="0.25">
      <c r="A229" s="10">
        <v>228</v>
      </c>
      <c r="B229" s="11">
        <v>40553</v>
      </c>
      <c r="C229" s="12">
        <v>18</v>
      </c>
      <c r="D229" s="12" t="b">
        <v>0</v>
      </c>
      <c r="E229" s="12" t="str">
        <f t="shared" si="9"/>
        <v>Working Day</v>
      </c>
      <c r="F229" s="12">
        <v>1</v>
      </c>
      <c r="G229" s="12" t="str">
        <f t="shared" si="10"/>
        <v>Mon</v>
      </c>
      <c r="H229" s="12">
        <v>1</v>
      </c>
      <c r="I229" s="12" t="str">
        <f t="shared" si="11"/>
        <v>mist/cloudy</v>
      </c>
      <c r="J229" s="12">
        <v>0.2</v>
      </c>
      <c r="K229" s="12">
        <v>0.19700000000000001</v>
      </c>
      <c r="L229" s="12">
        <v>0.4</v>
      </c>
      <c r="M229" s="12">
        <v>0.22389999999999999</v>
      </c>
      <c r="N229" s="12">
        <v>1</v>
      </c>
      <c r="O229" s="12">
        <v>154</v>
      </c>
      <c r="P229" s="13">
        <v>155</v>
      </c>
    </row>
    <row r="230" spans="1:16" x14ac:dyDescent="0.25">
      <c r="A230" s="6">
        <v>229</v>
      </c>
      <c r="B230" s="7">
        <v>40553</v>
      </c>
      <c r="C230" s="8">
        <v>19</v>
      </c>
      <c r="D230" s="8" t="b">
        <v>0</v>
      </c>
      <c r="E230" s="8" t="str">
        <f t="shared" si="9"/>
        <v>Working Day</v>
      </c>
      <c r="F230" s="8">
        <v>1</v>
      </c>
      <c r="G230" s="8" t="str">
        <f t="shared" si="10"/>
        <v>Mon</v>
      </c>
      <c r="H230" s="8">
        <v>1</v>
      </c>
      <c r="I230" s="8" t="str">
        <f t="shared" si="11"/>
        <v>mist/cloudy</v>
      </c>
      <c r="J230" s="8">
        <v>0.16</v>
      </c>
      <c r="K230" s="8">
        <v>0.16669999999999999</v>
      </c>
      <c r="L230" s="8">
        <v>0.47</v>
      </c>
      <c r="M230" s="8">
        <v>0.16420000000000001</v>
      </c>
      <c r="N230" s="8">
        <v>3</v>
      </c>
      <c r="O230" s="8">
        <v>92</v>
      </c>
      <c r="P230" s="9">
        <v>95</v>
      </c>
    </row>
    <row r="231" spans="1:16" x14ac:dyDescent="0.25">
      <c r="A231" s="10">
        <v>230</v>
      </c>
      <c r="B231" s="11">
        <v>40553</v>
      </c>
      <c r="C231" s="12">
        <v>20</v>
      </c>
      <c r="D231" s="12" t="b">
        <v>0</v>
      </c>
      <c r="E231" s="12" t="str">
        <f t="shared" si="9"/>
        <v>Working Day</v>
      </c>
      <c r="F231" s="12">
        <v>1</v>
      </c>
      <c r="G231" s="12" t="str">
        <f t="shared" si="10"/>
        <v>Mon</v>
      </c>
      <c r="H231" s="12">
        <v>1</v>
      </c>
      <c r="I231" s="12" t="str">
        <f t="shared" si="11"/>
        <v>mist/cloudy</v>
      </c>
      <c r="J231" s="12">
        <v>0.16</v>
      </c>
      <c r="K231" s="12">
        <v>0.16669999999999999</v>
      </c>
      <c r="L231" s="12">
        <v>0.5</v>
      </c>
      <c r="M231" s="12">
        <v>0.16420000000000001</v>
      </c>
      <c r="N231" s="12">
        <v>1</v>
      </c>
      <c r="O231" s="12">
        <v>73</v>
      </c>
      <c r="P231" s="13">
        <v>74</v>
      </c>
    </row>
    <row r="232" spans="1:16" x14ac:dyDescent="0.25">
      <c r="A232" s="6">
        <v>231</v>
      </c>
      <c r="B232" s="7">
        <v>40553</v>
      </c>
      <c r="C232" s="8">
        <v>21</v>
      </c>
      <c r="D232" s="8" t="b">
        <v>0</v>
      </c>
      <c r="E232" s="8" t="str">
        <f t="shared" si="9"/>
        <v>Working Day</v>
      </c>
      <c r="F232" s="8">
        <v>1</v>
      </c>
      <c r="G232" s="8" t="str">
        <f t="shared" si="10"/>
        <v>Mon</v>
      </c>
      <c r="H232" s="8">
        <v>1</v>
      </c>
      <c r="I232" s="8" t="str">
        <f t="shared" si="11"/>
        <v>mist/cloudy</v>
      </c>
      <c r="J232" s="8">
        <v>0.14000000000000001</v>
      </c>
      <c r="K232" s="8">
        <v>0.13639999999999999</v>
      </c>
      <c r="L232" s="8">
        <v>0.59</v>
      </c>
      <c r="M232" s="8">
        <v>0.19400000000000001</v>
      </c>
      <c r="N232" s="8">
        <v>1</v>
      </c>
      <c r="O232" s="8">
        <v>37</v>
      </c>
      <c r="P232" s="9">
        <v>38</v>
      </c>
    </row>
    <row r="233" spans="1:16" x14ac:dyDescent="0.25">
      <c r="A233" s="10">
        <v>232</v>
      </c>
      <c r="B233" s="11">
        <v>40553</v>
      </c>
      <c r="C233" s="12">
        <v>22</v>
      </c>
      <c r="D233" s="12" t="b">
        <v>0</v>
      </c>
      <c r="E233" s="12" t="str">
        <f t="shared" si="9"/>
        <v>Working Day</v>
      </c>
      <c r="F233" s="12">
        <v>1</v>
      </c>
      <c r="G233" s="12" t="str">
        <f t="shared" si="10"/>
        <v>Mon</v>
      </c>
      <c r="H233" s="12">
        <v>1</v>
      </c>
      <c r="I233" s="12" t="str">
        <f t="shared" si="11"/>
        <v>mist/cloudy</v>
      </c>
      <c r="J233" s="12">
        <v>0.14000000000000001</v>
      </c>
      <c r="K233" s="12">
        <v>0.1515</v>
      </c>
      <c r="L233" s="12">
        <v>0.59</v>
      </c>
      <c r="M233" s="12">
        <v>0.16420000000000001</v>
      </c>
      <c r="N233" s="12">
        <v>2</v>
      </c>
      <c r="O233" s="12">
        <v>22</v>
      </c>
      <c r="P233" s="13">
        <v>24</v>
      </c>
    </row>
    <row r="234" spans="1:16" x14ac:dyDescent="0.25">
      <c r="A234" s="6">
        <v>233</v>
      </c>
      <c r="B234" s="7">
        <v>40553</v>
      </c>
      <c r="C234" s="8">
        <v>23</v>
      </c>
      <c r="D234" s="8" t="b">
        <v>0</v>
      </c>
      <c r="E234" s="8" t="str">
        <f t="shared" si="9"/>
        <v>Working Day</v>
      </c>
      <c r="F234" s="8">
        <v>1</v>
      </c>
      <c r="G234" s="8" t="str">
        <f t="shared" si="10"/>
        <v>Mon</v>
      </c>
      <c r="H234" s="8">
        <v>1</v>
      </c>
      <c r="I234" s="8" t="str">
        <f t="shared" si="11"/>
        <v>mist/cloudy</v>
      </c>
      <c r="J234" s="8">
        <v>0.14000000000000001</v>
      </c>
      <c r="K234" s="8">
        <v>0.1515</v>
      </c>
      <c r="L234" s="8">
        <v>0.59</v>
      </c>
      <c r="M234" s="8">
        <v>0.16420000000000001</v>
      </c>
      <c r="N234" s="8">
        <v>0</v>
      </c>
      <c r="O234" s="8">
        <v>18</v>
      </c>
      <c r="P234" s="9">
        <v>18</v>
      </c>
    </row>
    <row r="235" spans="1:16" x14ac:dyDescent="0.25">
      <c r="A235" s="10">
        <v>234</v>
      </c>
      <c r="B235" s="11">
        <v>40554</v>
      </c>
      <c r="C235" s="12">
        <v>0</v>
      </c>
      <c r="D235" s="12" t="b">
        <v>0</v>
      </c>
      <c r="E235" s="12" t="str">
        <f t="shared" si="9"/>
        <v>Working Day</v>
      </c>
      <c r="F235" s="12">
        <v>2</v>
      </c>
      <c r="G235" s="12" t="str">
        <f t="shared" si="10"/>
        <v>Tue</v>
      </c>
      <c r="H235" s="12">
        <v>1</v>
      </c>
      <c r="I235" s="12" t="str">
        <f t="shared" si="11"/>
        <v>mist/cloudy</v>
      </c>
      <c r="J235" s="12">
        <v>0.14000000000000001</v>
      </c>
      <c r="K235" s="12">
        <v>0.16669999999999999</v>
      </c>
      <c r="L235" s="12">
        <v>0.59</v>
      </c>
      <c r="M235" s="12">
        <v>0.1045</v>
      </c>
      <c r="N235" s="12">
        <v>2</v>
      </c>
      <c r="O235" s="12">
        <v>10</v>
      </c>
      <c r="P235" s="13">
        <v>12</v>
      </c>
    </row>
    <row r="236" spans="1:16" x14ac:dyDescent="0.25">
      <c r="A236" s="6">
        <v>235</v>
      </c>
      <c r="B236" s="7">
        <v>40554</v>
      </c>
      <c r="C236" s="8">
        <v>1</v>
      </c>
      <c r="D236" s="8" t="b">
        <v>0</v>
      </c>
      <c r="E236" s="8" t="str">
        <f t="shared" si="9"/>
        <v>Working Day</v>
      </c>
      <c r="F236" s="8">
        <v>2</v>
      </c>
      <c r="G236" s="8" t="str">
        <f t="shared" si="10"/>
        <v>Tue</v>
      </c>
      <c r="H236" s="8">
        <v>1</v>
      </c>
      <c r="I236" s="8" t="str">
        <f t="shared" si="11"/>
        <v>mist/cloudy</v>
      </c>
      <c r="J236" s="8">
        <v>0.14000000000000001</v>
      </c>
      <c r="K236" s="8">
        <v>0.1515</v>
      </c>
      <c r="L236" s="8">
        <v>0.59</v>
      </c>
      <c r="M236" s="8">
        <v>0.16420000000000001</v>
      </c>
      <c r="N236" s="8">
        <v>0</v>
      </c>
      <c r="O236" s="8">
        <v>3</v>
      </c>
      <c r="P236" s="9">
        <v>3</v>
      </c>
    </row>
    <row r="237" spans="1:16" x14ac:dyDescent="0.25">
      <c r="A237" s="10">
        <v>236</v>
      </c>
      <c r="B237" s="11">
        <v>40554</v>
      </c>
      <c r="C237" s="12">
        <v>2</v>
      </c>
      <c r="D237" s="12" t="b">
        <v>0</v>
      </c>
      <c r="E237" s="12" t="str">
        <f t="shared" si="9"/>
        <v>Working Day</v>
      </c>
      <c r="F237" s="12">
        <v>2</v>
      </c>
      <c r="G237" s="12" t="str">
        <f t="shared" si="10"/>
        <v>Tue</v>
      </c>
      <c r="H237" s="12">
        <v>2</v>
      </c>
      <c r="I237" s="12" t="str">
        <f t="shared" si="11"/>
        <v>light rain</v>
      </c>
      <c r="J237" s="12">
        <v>0.16</v>
      </c>
      <c r="K237" s="12">
        <v>0.1515</v>
      </c>
      <c r="L237" s="12">
        <v>0.55000000000000004</v>
      </c>
      <c r="M237" s="12">
        <v>0.19400000000000001</v>
      </c>
      <c r="N237" s="12">
        <v>0</v>
      </c>
      <c r="O237" s="12">
        <v>3</v>
      </c>
      <c r="P237" s="13">
        <v>3</v>
      </c>
    </row>
    <row r="238" spans="1:16" x14ac:dyDescent="0.25">
      <c r="A238" s="6">
        <v>237</v>
      </c>
      <c r="B238" s="7">
        <v>40554</v>
      </c>
      <c r="C238" s="8">
        <v>5</v>
      </c>
      <c r="D238" s="8" t="b">
        <v>0</v>
      </c>
      <c r="E238" s="8" t="str">
        <f t="shared" si="9"/>
        <v>Working Day</v>
      </c>
      <c r="F238" s="8">
        <v>2</v>
      </c>
      <c r="G238" s="8" t="str">
        <f t="shared" si="10"/>
        <v>Tue</v>
      </c>
      <c r="H238" s="8">
        <v>2</v>
      </c>
      <c r="I238" s="8" t="str">
        <f t="shared" si="11"/>
        <v>light rain</v>
      </c>
      <c r="J238" s="8">
        <v>0.16</v>
      </c>
      <c r="K238" s="8">
        <v>0.18179999999999999</v>
      </c>
      <c r="L238" s="8">
        <v>0.55000000000000004</v>
      </c>
      <c r="M238" s="8">
        <v>0.1343</v>
      </c>
      <c r="N238" s="8">
        <v>0</v>
      </c>
      <c r="O238" s="8">
        <v>6</v>
      </c>
      <c r="P238" s="9">
        <v>6</v>
      </c>
    </row>
    <row r="239" spans="1:16" x14ac:dyDescent="0.25">
      <c r="A239" s="10">
        <v>238</v>
      </c>
      <c r="B239" s="11">
        <v>40554</v>
      </c>
      <c r="C239" s="12">
        <v>6</v>
      </c>
      <c r="D239" s="12" t="b">
        <v>0</v>
      </c>
      <c r="E239" s="12" t="str">
        <f t="shared" si="9"/>
        <v>Working Day</v>
      </c>
      <c r="F239" s="12">
        <v>2</v>
      </c>
      <c r="G239" s="12" t="str">
        <f t="shared" si="10"/>
        <v>Tue</v>
      </c>
      <c r="H239" s="12">
        <v>2</v>
      </c>
      <c r="I239" s="12" t="str">
        <f t="shared" si="11"/>
        <v>light rain</v>
      </c>
      <c r="J239" s="12">
        <v>0.16</v>
      </c>
      <c r="K239" s="12">
        <v>0.18179999999999999</v>
      </c>
      <c r="L239" s="12">
        <v>0.55000000000000004</v>
      </c>
      <c r="M239" s="12">
        <v>0.1343</v>
      </c>
      <c r="N239" s="12">
        <v>0</v>
      </c>
      <c r="O239" s="12">
        <v>27</v>
      </c>
      <c r="P239" s="13">
        <v>27</v>
      </c>
    </row>
    <row r="240" spans="1:16" x14ac:dyDescent="0.25">
      <c r="A240" s="6">
        <v>239</v>
      </c>
      <c r="B240" s="7">
        <v>40554</v>
      </c>
      <c r="C240" s="8">
        <v>7</v>
      </c>
      <c r="D240" s="8" t="b">
        <v>0</v>
      </c>
      <c r="E240" s="8" t="str">
        <f t="shared" si="9"/>
        <v>Working Day</v>
      </c>
      <c r="F240" s="8">
        <v>2</v>
      </c>
      <c r="G240" s="8" t="str">
        <f t="shared" si="10"/>
        <v>Tue</v>
      </c>
      <c r="H240" s="8">
        <v>2</v>
      </c>
      <c r="I240" s="8" t="str">
        <f t="shared" si="11"/>
        <v>light rain</v>
      </c>
      <c r="J240" s="8">
        <v>0.16</v>
      </c>
      <c r="K240" s="8">
        <v>0.2273</v>
      </c>
      <c r="L240" s="8">
        <v>0.55000000000000004</v>
      </c>
      <c r="M240" s="8">
        <v>0</v>
      </c>
      <c r="N240" s="8">
        <v>2</v>
      </c>
      <c r="O240" s="8">
        <v>97</v>
      </c>
      <c r="P240" s="9">
        <v>99</v>
      </c>
    </row>
    <row r="241" spans="1:16" x14ac:dyDescent="0.25">
      <c r="A241" s="10">
        <v>240</v>
      </c>
      <c r="B241" s="11">
        <v>40554</v>
      </c>
      <c r="C241" s="12">
        <v>8</v>
      </c>
      <c r="D241" s="12" t="b">
        <v>0</v>
      </c>
      <c r="E241" s="12" t="str">
        <f t="shared" si="9"/>
        <v>Working Day</v>
      </c>
      <c r="F241" s="12">
        <v>2</v>
      </c>
      <c r="G241" s="12" t="str">
        <f t="shared" si="10"/>
        <v>Tue</v>
      </c>
      <c r="H241" s="12">
        <v>2</v>
      </c>
      <c r="I241" s="12" t="str">
        <f t="shared" si="11"/>
        <v>light rain</v>
      </c>
      <c r="J241" s="12">
        <v>0.18</v>
      </c>
      <c r="K241" s="12">
        <v>0.21210000000000001</v>
      </c>
      <c r="L241" s="12">
        <v>0.51</v>
      </c>
      <c r="M241" s="12">
        <v>8.9599999999999999E-2</v>
      </c>
      <c r="N241" s="12">
        <v>3</v>
      </c>
      <c r="O241" s="12">
        <v>214</v>
      </c>
      <c r="P241" s="13">
        <v>217</v>
      </c>
    </row>
    <row r="242" spans="1:16" x14ac:dyDescent="0.25">
      <c r="A242" s="6">
        <v>241</v>
      </c>
      <c r="B242" s="7">
        <v>40554</v>
      </c>
      <c r="C242" s="8">
        <v>9</v>
      </c>
      <c r="D242" s="8" t="b">
        <v>0</v>
      </c>
      <c r="E242" s="8" t="str">
        <f t="shared" si="9"/>
        <v>Working Day</v>
      </c>
      <c r="F242" s="8">
        <v>2</v>
      </c>
      <c r="G242" s="8" t="str">
        <f t="shared" si="10"/>
        <v>Tue</v>
      </c>
      <c r="H242" s="8">
        <v>2</v>
      </c>
      <c r="I242" s="8" t="str">
        <f t="shared" si="11"/>
        <v>light rain</v>
      </c>
      <c r="J242" s="8">
        <v>0.18</v>
      </c>
      <c r="K242" s="8">
        <v>0.19700000000000001</v>
      </c>
      <c r="L242" s="8">
        <v>0.51</v>
      </c>
      <c r="M242" s="8">
        <v>0.16420000000000001</v>
      </c>
      <c r="N242" s="8">
        <v>3</v>
      </c>
      <c r="O242" s="8">
        <v>127</v>
      </c>
      <c r="P242" s="9">
        <v>130</v>
      </c>
    </row>
    <row r="243" spans="1:16" x14ac:dyDescent="0.25">
      <c r="A243" s="10">
        <v>242</v>
      </c>
      <c r="B243" s="11">
        <v>40554</v>
      </c>
      <c r="C243" s="12">
        <v>10</v>
      </c>
      <c r="D243" s="12" t="b">
        <v>0</v>
      </c>
      <c r="E243" s="12" t="str">
        <f t="shared" si="9"/>
        <v>Working Day</v>
      </c>
      <c r="F243" s="12">
        <v>2</v>
      </c>
      <c r="G243" s="12" t="str">
        <f t="shared" si="10"/>
        <v>Tue</v>
      </c>
      <c r="H243" s="12">
        <v>2</v>
      </c>
      <c r="I243" s="12" t="str">
        <f t="shared" si="11"/>
        <v>light rain</v>
      </c>
      <c r="J243" s="12">
        <v>0.2</v>
      </c>
      <c r="K243" s="12">
        <v>0.21210000000000001</v>
      </c>
      <c r="L243" s="12">
        <v>0.51</v>
      </c>
      <c r="M243" s="12">
        <v>0.16420000000000001</v>
      </c>
      <c r="N243" s="12">
        <v>3</v>
      </c>
      <c r="O243" s="12">
        <v>51</v>
      </c>
      <c r="P243" s="13">
        <v>54</v>
      </c>
    </row>
    <row r="244" spans="1:16" x14ac:dyDescent="0.25">
      <c r="A244" s="6">
        <v>243</v>
      </c>
      <c r="B244" s="7">
        <v>40554</v>
      </c>
      <c r="C244" s="8">
        <v>11</v>
      </c>
      <c r="D244" s="8" t="b">
        <v>0</v>
      </c>
      <c r="E244" s="8" t="str">
        <f t="shared" si="9"/>
        <v>Working Day</v>
      </c>
      <c r="F244" s="8">
        <v>2</v>
      </c>
      <c r="G244" s="8" t="str">
        <f t="shared" si="10"/>
        <v>Tue</v>
      </c>
      <c r="H244" s="8">
        <v>2</v>
      </c>
      <c r="I244" s="8" t="str">
        <f t="shared" si="11"/>
        <v>light rain</v>
      </c>
      <c r="J244" s="8">
        <v>0.2</v>
      </c>
      <c r="K244" s="8">
        <v>0.21210000000000001</v>
      </c>
      <c r="L244" s="8">
        <v>0.47</v>
      </c>
      <c r="M244" s="8">
        <v>0.1343</v>
      </c>
      <c r="N244" s="8">
        <v>4</v>
      </c>
      <c r="O244" s="8">
        <v>31</v>
      </c>
      <c r="P244" s="9">
        <v>35</v>
      </c>
    </row>
    <row r="245" spans="1:16" x14ac:dyDescent="0.25">
      <c r="A245" s="10">
        <v>244</v>
      </c>
      <c r="B245" s="11">
        <v>40554</v>
      </c>
      <c r="C245" s="12">
        <v>12</v>
      </c>
      <c r="D245" s="12" t="b">
        <v>0</v>
      </c>
      <c r="E245" s="12" t="str">
        <f t="shared" si="9"/>
        <v>Working Day</v>
      </c>
      <c r="F245" s="12">
        <v>2</v>
      </c>
      <c r="G245" s="12" t="str">
        <f t="shared" si="10"/>
        <v>Tue</v>
      </c>
      <c r="H245" s="12">
        <v>2</v>
      </c>
      <c r="I245" s="12" t="str">
        <f t="shared" si="11"/>
        <v>light rain</v>
      </c>
      <c r="J245" s="12">
        <v>0.2</v>
      </c>
      <c r="K245" s="12">
        <v>0.2273</v>
      </c>
      <c r="L245" s="12">
        <v>0.51</v>
      </c>
      <c r="M245" s="12">
        <v>0.1045</v>
      </c>
      <c r="N245" s="12">
        <v>2</v>
      </c>
      <c r="O245" s="12">
        <v>55</v>
      </c>
      <c r="P245" s="13">
        <v>57</v>
      </c>
    </row>
    <row r="246" spans="1:16" x14ac:dyDescent="0.25">
      <c r="A246" s="6">
        <v>245</v>
      </c>
      <c r="B246" s="7">
        <v>40554</v>
      </c>
      <c r="C246" s="8">
        <v>13</v>
      </c>
      <c r="D246" s="8" t="b">
        <v>0</v>
      </c>
      <c r="E246" s="8" t="str">
        <f t="shared" si="9"/>
        <v>Working Day</v>
      </c>
      <c r="F246" s="8">
        <v>2</v>
      </c>
      <c r="G246" s="8" t="str">
        <f t="shared" si="10"/>
        <v>Tue</v>
      </c>
      <c r="H246" s="8">
        <v>2</v>
      </c>
      <c r="I246" s="8" t="str">
        <f t="shared" si="11"/>
        <v>light rain</v>
      </c>
      <c r="J246" s="8">
        <v>0.2</v>
      </c>
      <c r="K246" s="8">
        <v>0.2273</v>
      </c>
      <c r="L246" s="8">
        <v>0.59</v>
      </c>
      <c r="M246" s="8">
        <v>8.9599999999999999E-2</v>
      </c>
      <c r="N246" s="8">
        <v>6</v>
      </c>
      <c r="O246" s="8">
        <v>46</v>
      </c>
      <c r="P246" s="9">
        <v>52</v>
      </c>
    </row>
    <row r="247" spans="1:16" x14ac:dyDescent="0.25">
      <c r="A247" s="10">
        <v>246</v>
      </c>
      <c r="B247" s="11">
        <v>40554</v>
      </c>
      <c r="C247" s="12">
        <v>14</v>
      </c>
      <c r="D247" s="12" t="b">
        <v>0</v>
      </c>
      <c r="E247" s="12" t="str">
        <f t="shared" si="9"/>
        <v>Working Day</v>
      </c>
      <c r="F247" s="12">
        <v>2</v>
      </c>
      <c r="G247" s="12" t="str">
        <f t="shared" si="10"/>
        <v>Tue</v>
      </c>
      <c r="H247" s="12">
        <v>2</v>
      </c>
      <c r="I247" s="12" t="str">
        <f t="shared" si="11"/>
        <v>light rain</v>
      </c>
      <c r="J247" s="12">
        <v>0.2</v>
      </c>
      <c r="K247" s="12">
        <v>0.2273</v>
      </c>
      <c r="L247" s="12">
        <v>0.59</v>
      </c>
      <c r="M247" s="12">
        <v>8.9599999999999999E-2</v>
      </c>
      <c r="N247" s="12">
        <v>3</v>
      </c>
      <c r="O247" s="12">
        <v>60</v>
      </c>
      <c r="P247" s="13">
        <v>63</v>
      </c>
    </row>
    <row r="248" spans="1:16" x14ac:dyDescent="0.25">
      <c r="A248" s="6">
        <v>247</v>
      </c>
      <c r="B248" s="7">
        <v>40554</v>
      </c>
      <c r="C248" s="8">
        <v>15</v>
      </c>
      <c r="D248" s="8" t="b">
        <v>0</v>
      </c>
      <c r="E248" s="8" t="str">
        <f t="shared" si="9"/>
        <v>Working Day</v>
      </c>
      <c r="F248" s="8">
        <v>2</v>
      </c>
      <c r="G248" s="8" t="str">
        <f t="shared" si="10"/>
        <v>Tue</v>
      </c>
      <c r="H248" s="8">
        <v>2</v>
      </c>
      <c r="I248" s="8" t="str">
        <f t="shared" si="11"/>
        <v>light rain</v>
      </c>
      <c r="J248" s="8">
        <v>0.16</v>
      </c>
      <c r="K248" s="8">
        <v>0.19700000000000001</v>
      </c>
      <c r="L248" s="8">
        <v>0.8</v>
      </c>
      <c r="M248" s="8">
        <v>8.9599999999999999E-2</v>
      </c>
      <c r="N248" s="8">
        <v>2</v>
      </c>
      <c r="O248" s="8">
        <v>45</v>
      </c>
      <c r="P248" s="9">
        <v>47</v>
      </c>
    </row>
    <row r="249" spans="1:16" x14ac:dyDescent="0.25">
      <c r="A249" s="10">
        <v>248</v>
      </c>
      <c r="B249" s="11">
        <v>40554</v>
      </c>
      <c r="C249" s="12">
        <v>16</v>
      </c>
      <c r="D249" s="12" t="b">
        <v>0</v>
      </c>
      <c r="E249" s="12" t="str">
        <f t="shared" si="9"/>
        <v>Working Day</v>
      </c>
      <c r="F249" s="12">
        <v>2</v>
      </c>
      <c r="G249" s="12" t="str">
        <f t="shared" si="10"/>
        <v>Tue</v>
      </c>
      <c r="H249" s="12">
        <v>2</v>
      </c>
      <c r="I249" s="12" t="str">
        <f t="shared" si="11"/>
        <v>light rain</v>
      </c>
      <c r="J249" s="12">
        <v>0.16</v>
      </c>
      <c r="K249" s="12">
        <v>0.1515</v>
      </c>
      <c r="L249" s="12">
        <v>0.86</v>
      </c>
      <c r="M249" s="12">
        <v>0.22389999999999999</v>
      </c>
      <c r="N249" s="12">
        <v>4</v>
      </c>
      <c r="O249" s="12">
        <v>72</v>
      </c>
      <c r="P249" s="13">
        <v>76</v>
      </c>
    </row>
    <row r="250" spans="1:16" x14ac:dyDescent="0.25">
      <c r="A250" s="6">
        <v>249</v>
      </c>
      <c r="B250" s="7">
        <v>40554</v>
      </c>
      <c r="C250" s="8">
        <v>17</v>
      </c>
      <c r="D250" s="8" t="b">
        <v>0</v>
      </c>
      <c r="E250" s="8" t="str">
        <f t="shared" si="9"/>
        <v>Working Day</v>
      </c>
      <c r="F250" s="8">
        <v>2</v>
      </c>
      <c r="G250" s="8" t="str">
        <f t="shared" si="10"/>
        <v>Tue</v>
      </c>
      <c r="H250" s="8">
        <v>2</v>
      </c>
      <c r="I250" s="8" t="str">
        <f t="shared" si="11"/>
        <v>light rain</v>
      </c>
      <c r="J250" s="8">
        <v>0.16</v>
      </c>
      <c r="K250" s="8">
        <v>0.1515</v>
      </c>
      <c r="L250" s="8">
        <v>0.86</v>
      </c>
      <c r="M250" s="8">
        <v>0.22389999999999999</v>
      </c>
      <c r="N250" s="8">
        <v>6</v>
      </c>
      <c r="O250" s="8">
        <v>130</v>
      </c>
      <c r="P250" s="9">
        <v>136</v>
      </c>
    </row>
    <row r="251" spans="1:16" x14ac:dyDescent="0.25">
      <c r="A251" s="10">
        <v>250</v>
      </c>
      <c r="B251" s="11">
        <v>40554</v>
      </c>
      <c r="C251" s="12">
        <v>18</v>
      </c>
      <c r="D251" s="12" t="b">
        <v>0</v>
      </c>
      <c r="E251" s="12" t="str">
        <f t="shared" si="9"/>
        <v>Working Day</v>
      </c>
      <c r="F251" s="12">
        <v>2</v>
      </c>
      <c r="G251" s="12" t="str">
        <f t="shared" si="10"/>
        <v>Tue</v>
      </c>
      <c r="H251" s="12">
        <v>3</v>
      </c>
      <c r="I251" s="12" t="str">
        <f t="shared" si="11"/>
        <v>heavy rain</v>
      </c>
      <c r="J251" s="12">
        <v>0.16</v>
      </c>
      <c r="K251" s="12">
        <v>0.18179999999999999</v>
      </c>
      <c r="L251" s="12">
        <v>0.93</v>
      </c>
      <c r="M251" s="12">
        <v>0.1045</v>
      </c>
      <c r="N251" s="12">
        <v>1</v>
      </c>
      <c r="O251" s="12">
        <v>94</v>
      </c>
      <c r="P251" s="13">
        <v>95</v>
      </c>
    </row>
    <row r="252" spans="1:16" x14ac:dyDescent="0.25">
      <c r="A252" s="6">
        <v>251</v>
      </c>
      <c r="B252" s="7">
        <v>40554</v>
      </c>
      <c r="C252" s="8">
        <v>19</v>
      </c>
      <c r="D252" s="8" t="b">
        <v>0</v>
      </c>
      <c r="E252" s="8" t="str">
        <f t="shared" si="9"/>
        <v>Working Day</v>
      </c>
      <c r="F252" s="8">
        <v>2</v>
      </c>
      <c r="G252" s="8" t="str">
        <f t="shared" si="10"/>
        <v>Tue</v>
      </c>
      <c r="H252" s="8">
        <v>3</v>
      </c>
      <c r="I252" s="8" t="str">
        <f t="shared" si="11"/>
        <v>heavy rain</v>
      </c>
      <c r="J252" s="8">
        <v>0.16</v>
      </c>
      <c r="K252" s="8">
        <v>0.2273</v>
      </c>
      <c r="L252" s="8">
        <v>0.93</v>
      </c>
      <c r="M252" s="8">
        <v>0</v>
      </c>
      <c r="N252" s="8">
        <v>0</v>
      </c>
      <c r="O252" s="8">
        <v>51</v>
      </c>
      <c r="P252" s="9">
        <v>51</v>
      </c>
    </row>
    <row r="253" spans="1:16" x14ac:dyDescent="0.25">
      <c r="A253" s="10">
        <v>252</v>
      </c>
      <c r="B253" s="11">
        <v>40554</v>
      </c>
      <c r="C253" s="12">
        <v>20</v>
      </c>
      <c r="D253" s="12" t="b">
        <v>0</v>
      </c>
      <c r="E253" s="12" t="str">
        <f t="shared" si="9"/>
        <v>Working Day</v>
      </c>
      <c r="F253" s="12">
        <v>2</v>
      </c>
      <c r="G253" s="12" t="str">
        <f t="shared" si="10"/>
        <v>Tue</v>
      </c>
      <c r="H253" s="12">
        <v>3</v>
      </c>
      <c r="I253" s="12" t="str">
        <f t="shared" si="11"/>
        <v>heavy rain</v>
      </c>
      <c r="J253" s="12">
        <v>0.16</v>
      </c>
      <c r="K253" s="12">
        <v>0.1515</v>
      </c>
      <c r="L253" s="12">
        <v>0.93</v>
      </c>
      <c r="M253" s="12">
        <v>0.19400000000000001</v>
      </c>
      <c r="N253" s="12">
        <v>0</v>
      </c>
      <c r="O253" s="12">
        <v>32</v>
      </c>
      <c r="P253" s="13">
        <v>32</v>
      </c>
    </row>
    <row r="254" spans="1:16" x14ac:dyDescent="0.25">
      <c r="A254" s="6">
        <v>253</v>
      </c>
      <c r="B254" s="7">
        <v>40554</v>
      </c>
      <c r="C254" s="8">
        <v>21</v>
      </c>
      <c r="D254" s="8" t="b">
        <v>0</v>
      </c>
      <c r="E254" s="8" t="str">
        <f t="shared" si="9"/>
        <v>Working Day</v>
      </c>
      <c r="F254" s="8">
        <v>2</v>
      </c>
      <c r="G254" s="8" t="str">
        <f t="shared" si="10"/>
        <v>Tue</v>
      </c>
      <c r="H254" s="8">
        <v>3</v>
      </c>
      <c r="I254" s="8" t="str">
        <f t="shared" si="11"/>
        <v>heavy rain</v>
      </c>
      <c r="J254" s="8">
        <v>0.16</v>
      </c>
      <c r="K254" s="8">
        <v>0.19700000000000001</v>
      </c>
      <c r="L254" s="8">
        <v>0.86</v>
      </c>
      <c r="M254" s="8">
        <v>8.9599999999999999E-2</v>
      </c>
      <c r="N254" s="8">
        <v>0</v>
      </c>
      <c r="O254" s="8">
        <v>20</v>
      </c>
      <c r="P254" s="9">
        <v>20</v>
      </c>
    </row>
    <row r="255" spans="1:16" x14ac:dyDescent="0.25">
      <c r="A255" s="10">
        <v>254</v>
      </c>
      <c r="B255" s="11">
        <v>40554</v>
      </c>
      <c r="C255" s="12">
        <v>22</v>
      </c>
      <c r="D255" s="12" t="b">
        <v>0</v>
      </c>
      <c r="E255" s="12" t="str">
        <f t="shared" si="9"/>
        <v>Working Day</v>
      </c>
      <c r="F255" s="12">
        <v>2</v>
      </c>
      <c r="G255" s="12" t="str">
        <f t="shared" si="10"/>
        <v>Tue</v>
      </c>
      <c r="H255" s="12">
        <v>3</v>
      </c>
      <c r="I255" s="12" t="str">
        <f t="shared" si="11"/>
        <v>heavy rain</v>
      </c>
      <c r="J255" s="12">
        <v>0.16</v>
      </c>
      <c r="K255" s="12">
        <v>0.18179999999999999</v>
      </c>
      <c r="L255" s="12">
        <v>0.93</v>
      </c>
      <c r="M255" s="12">
        <v>0.1045</v>
      </c>
      <c r="N255" s="12">
        <v>1</v>
      </c>
      <c r="O255" s="12">
        <v>28</v>
      </c>
      <c r="P255" s="13">
        <v>29</v>
      </c>
    </row>
    <row r="256" spans="1:16" x14ac:dyDescent="0.25">
      <c r="A256" s="6">
        <v>255</v>
      </c>
      <c r="B256" s="7">
        <v>40554</v>
      </c>
      <c r="C256" s="8">
        <v>23</v>
      </c>
      <c r="D256" s="8" t="b">
        <v>0</v>
      </c>
      <c r="E256" s="8" t="str">
        <f t="shared" si="9"/>
        <v>Working Day</v>
      </c>
      <c r="F256" s="8">
        <v>2</v>
      </c>
      <c r="G256" s="8" t="str">
        <f t="shared" si="10"/>
        <v>Tue</v>
      </c>
      <c r="H256" s="8">
        <v>3</v>
      </c>
      <c r="I256" s="8" t="str">
        <f t="shared" si="11"/>
        <v>heavy rain</v>
      </c>
      <c r="J256" s="8">
        <v>0.16</v>
      </c>
      <c r="K256" s="8">
        <v>0.19700000000000001</v>
      </c>
      <c r="L256" s="8">
        <v>0.93</v>
      </c>
      <c r="M256" s="8">
        <v>8.9599999999999999E-2</v>
      </c>
      <c r="N256" s="8">
        <v>1</v>
      </c>
      <c r="O256" s="8">
        <v>18</v>
      </c>
      <c r="P256" s="9">
        <v>19</v>
      </c>
    </row>
    <row r="257" spans="1:16" x14ac:dyDescent="0.25">
      <c r="A257" s="10">
        <v>256</v>
      </c>
      <c r="B257" s="11">
        <v>40555</v>
      </c>
      <c r="C257" s="12">
        <v>0</v>
      </c>
      <c r="D257" s="12" t="b">
        <v>0</v>
      </c>
      <c r="E257" s="12" t="str">
        <f t="shared" si="9"/>
        <v>Working Day</v>
      </c>
      <c r="F257" s="12">
        <v>3</v>
      </c>
      <c r="G257" s="12" t="str">
        <f t="shared" si="10"/>
        <v>Wed</v>
      </c>
      <c r="H257" s="12">
        <v>2</v>
      </c>
      <c r="I257" s="12" t="str">
        <f t="shared" si="11"/>
        <v>light rain</v>
      </c>
      <c r="J257" s="12">
        <v>0.16</v>
      </c>
      <c r="K257" s="12">
        <v>0.19700000000000001</v>
      </c>
      <c r="L257" s="12">
        <v>0.86</v>
      </c>
      <c r="M257" s="12">
        <v>8.9599999999999999E-2</v>
      </c>
      <c r="N257" s="12">
        <v>0</v>
      </c>
      <c r="O257" s="12">
        <v>7</v>
      </c>
      <c r="P257" s="13">
        <v>7</v>
      </c>
    </row>
    <row r="258" spans="1:16" x14ac:dyDescent="0.25">
      <c r="A258" s="6">
        <v>257</v>
      </c>
      <c r="B258" s="7">
        <v>40555</v>
      </c>
      <c r="C258" s="8">
        <v>1</v>
      </c>
      <c r="D258" s="8" t="b">
        <v>0</v>
      </c>
      <c r="E258" s="8" t="str">
        <f t="shared" ref="E258:E321" si="12">IF(D258=FALSE,"Working Day","Holiday")</f>
        <v>Working Day</v>
      </c>
      <c r="F258" s="8">
        <v>3</v>
      </c>
      <c r="G258" s="8" t="str">
        <f t="shared" ref="G258:G321" si="13">TEXT(F258+1, "ddd")</f>
        <v>Wed</v>
      </c>
      <c r="H258" s="8">
        <v>2</v>
      </c>
      <c r="I258" s="8" t="str">
        <f t="shared" si="11"/>
        <v>light rain</v>
      </c>
      <c r="J258" s="8">
        <v>0.16</v>
      </c>
      <c r="K258" s="8">
        <v>0.18179999999999999</v>
      </c>
      <c r="L258" s="8">
        <v>0.86</v>
      </c>
      <c r="M258" s="8">
        <v>0.1045</v>
      </c>
      <c r="N258" s="8">
        <v>0</v>
      </c>
      <c r="O258" s="8">
        <v>6</v>
      </c>
      <c r="P258" s="9">
        <v>6</v>
      </c>
    </row>
    <row r="259" spans="1:16" x14ac:dyDescent="0.25">
      <c r="A259" s="10">
        <v>258</v>
      </c>
      <c r="B259" s="11">
        <v>40555</v>
      </c>
      <c r="C259" s="12">
        <v>2</v>
      </c>
      <c r="D259" s="12" t="b">
        <v>0</v>
      </c>
      <c r="E259" s="12" t="str">
        <f t="shared" si="12"/>
        <v>Working Day</v>
      </c>
      <c r="F259" s="12">
        <v>3</v>
      </c>
      <c r="G259" s="12" t="str">
        <f t="shared" si="13"/>
        <v>Wed</v>
      </c>
      <c r="H259" s="12">
        <v>1</v>
      </c>
      <c r="I259" s="12" t="str">
        <f t="shared" ref="I259:I322" si="14">IF(H259=0, "clear", IF(H259=1, "mist/cloudy", IF(H259=2, "light rain", IF(H259=3, "heavy rain", IF(H259=4, "extreme weather condition", "Unknown")))))</f>
        <v>mist/cloudy</v>
      </c>
      <c r="J259" s="12">
        <v>0.14000000000000001</v>
      </c>
      <c r="K259" s="12">
        <v>0.1515</v>
      </c>
      <c r="L259" s="12">
        <v>0.86</v>
      </c>
      <c r="M259" s="12">
        <v>0.1343</v>
      </c>
      <c r="N259" s="12">
        <v>0</v>
      </c>
      <c r="O259" s="12">
        <v>1</v>
      </c>
      <c r="P259" s="13">
        <v>1</v>
      </c>
    </row>
    <row r="260" spans="1:16" x14ac:dyDescent="0.25">
      <c r="A260" s="6">
        <v>259</v>
      </c>
      <c r="B260" s="7">
        <v>40555</v>
      </c>
      <c r="C260" s="8">
        <v>5</v>
      </c>
      <c r="D260" s="8" t="b">
        <v>0</v>
      </c>
      <c r="E260" s="8" t="str">
        <f t="shared" si="12"/>
        <v>Working Day</v>
      </c>
      <c r="F260" s="8">
        <v>3</v>
      </c>
      <c r="G260" s="8" t="str">
        <f t="shared" si="13"/>
        <v>Wed</v>
      </c>
      <c r="H260" s="8">
        <v>1</v>
      </c>
      <c r="I260" s="8" t="str">
        <f t="shared" si="14"/>
        <v>mist/cloudy</v>
      </c>
      <c r="J260" s="8">
        <v>0.14000000000000001</v>
      </c>
      <c r="K260" s="8">
        <v>0.1515</v>
      </c>
      <c r="L260" s="8">
        <v>0.86</v>
      </c>
      <c r="M260" s="8">
        <v>0.16420000000000001</v>
      </c>
      <c r="N260" s="8">
        <v>0</v>
      </c>
      <c r="O260" s="8">
        <v>5</v>
      </c>
      <c r="P260" s="9">
        <v>5</v>
      </c>
    </row>
    <row r="261" spans="1:16" x14ac:dyDescent="0.25">
      <c r="A261" s="10">
        <v>260</v>
      </c>
      <c r="B261" s="11">
        <v>40555</v>
      </c>
      <c r="C261" s="12">
        <v>6</v>
      </c>
      <c r="D261" s="12" t="b">
        <v>0</v>
      </c>
      <c r="E261" s="12" t="str">
        <f t="shared" si="12"/>
        <v>Working Day</v>
      </c>
      <c r="F261" s="12">
        <v>3</v>
      </c>
      <c r="G261" s="12" t="str">
        <f t="shared" si="13"/>
        <v>Wed</v>
      </c>
      <c r="H261" s="12">
        <v>1</v>
      </c>
      <c r="I261" s="12" t="str">
        <f t="shared" si="14"/>
        <v>mist/cloudy</v>
      </c>
      <c r="J261" s="12">
        <v>0.12</v>
      </c>
      <c r="K261" s="12">
        <v>0.1515</v>
      </c>
      <c r="L261" s="12">
        <v>0.93</v>
      </c>
      <c r="M261" s="12">
        <v>0.1343</v>
      </c>
      <c r="N261" s="12">
        <v>0</v>
      </c>
      <c r="O261" s="12">
        <v>16</v>
      </c>
      <c r="P261" s="13">
        <v>16</v>
      </c>
    </row>
    <row r="262" spans="1:16" x14ac:dyDescent="0.25">
      <c r="A262" s="6">
        <v>261</v>
      </c>
      <c r="B262" s="7">
        <v>40555</v>
      </c>
      <c r="C262" s="8">
        <v>7</v>
      </c>
      <c r="D262" s="8" t="b">
        <v>0</v>
      </c>
      <c r="E262" s="8" t="str">
        <f t="shared" si="12"/>
        <v>Working Day</v>
      </c>
      <c r="F262" s="8">
        <v>3</v>
      </c>
      <c r="G262" s="8" t="str">
        <f t="shared" si="13"/>
        <v>Wed</v>
      </c>
      <c r="H262" s="8">
        <v>1</v>
      </c>
      <c r="I262" s="8" t="str">
        <f t="shared" si="14"/>
        <v>mist/cloudy</v>
      </c>
      <c r="J262" s="8">
        <v>0.14000000000000001</v>
      </c>
      <c r="K262" s="8">
        <v>0.1515</v>
      </c>
      <c r="L262" s="8">
        <v>0.69</v>
      </c>
      <c r="M262" s="8">
        <v>0.1343</v>
      </c>
      <c r="N262" s="8">
        <v>0</v>
      </c>
      <c r="O262" s="8">
        <v>54</v>
      </c>
      <c r="P262" s="9">
        <v>54</v>
      </c>
    </row>
    <row r="263" spans="1:16" x14ac:dyDescent="0.25">
      <c r="A263" s="10">
        <v>262</v>
      </c>
      <c r="B263" s="11">
        <v>40555</v>
      </c>
      <c r="C263" s="12">
        <v>8</v>
      </c>
      <c r="D263" s="12" t="b">
        <v>0</v>
      </c>
      <c r="E263" s="12" t="str">
        <f t="shared" si="12"/>
        <v>Working Day</v>
      </c>
      <c r="F263" s="12">
        <v>3</v>
      </c>
      <c r="G263" s="12" t="str">
        <f t="shared" si="13"/>
        <v>Wed</v>
      </c>
      <c r="H263" s="12">
        <v>1</v>
      </c>
      <c r="I263" s="12" t="str">
        <f t="shared" si="14"/>
        <v>mist/cloudy</v>
      </c>
      <c r="J263" s="12">
        <v>0.16</v>
      </c>
      <c r="K263" s="12">
        <v>0.16669999999999999</v>
      </c>
      <c r="L263" s="12">
        <v>0.59</v>
      </c>
      <c r="M263" s="12">
        <v>0.16420000000000001</v>
      </c>
      <c r="N263" s="12">
        <v>3</v>
      </c>
      <c r="O263" s="12">
        <v>125</v>
      </c>
      <c r="P263" s="13">
        <v>128</v>
      </c>
    </row>
    <row r="264" spans="1:16" x14ac:dyDescent="0.25">
      <c r="A264" s="6">
        <v>263</v>
      </c>
      <c r="B264" s="7">
        <v>40555</v>
      </c>
      <c r="C264" s="8">
        <v>9</v>
      </c>
      <c r="D264" s="8" t="b">
        <v>0</v>
      </c>
      <c r="E264" s="8" t="str">
        <f t="shared" si="12"/>
        <v>Working Day</v>
      </c>
      <c r="F264" s="8">
        <v>3</v>
      </c>
      <c r="G264" s="8" t="str">
        <f t="shared" si="13"/>
        <v>Wed</v>
      </c>
      <c r="H264" s="8">
        <v>1</v>
      </c>
      <c r="I264" s="8" t="str">
        <f t="shared" si="14"/>
        <v>mist/cloudy</v>
      </c>
      <c r="J264" s="8">
        <v>0.16</v>
      </c>
      <c r="K264" s="8">
        <v>0.13639999999999999</v>
      </c>
      <c r="L264" s="8">
        <v>0.59</v>
      </c>
      <c r="M264" s="8">
        <v>0.32840000000000003</v>
      </c>
      <c r="N264" s="8">
        <v>3</v>
      </c>
      <c r="O264" s="8">
        <v>78</v>
      </c>
      <c r="P264" s="9">
        <v>81</v>
      </c>
    </row>
    <row r="265" spans="1:16" x14ac:dyDescent="0.25">
      <c r="A265" s="10">
        <v>264</v>
      </c>
      <c r="B265" s="11">
        <v>40555</v>
      </c>
      <c r="C265" s="12">
        <v>10</v>
      </c>
      <c r="D265" s="12" t="b">
        <v>0</v>
      </c>
      <c r="E265" s="12" t="str">
        <f t="shared" si="12"/>
        <v>Working Day</v>
      </c>
      <c r="F265" s="12">
        <v>3</v>
      </c>
      <c r="G265" s="12" t="str">
        <f t="shared" si="13"/>
        <v>Wed</v>
      </c>
      <c r="H265" s="12">
        <v>1</v>
      </c>
      <c r="I265" s="12" t="str">
        <f t="shared" si="14"/>
        <v>mist/cloudy</v>
      </c>
      <c r="J265" s="12">
        <v>0.18</v>
      </c>
      <c r="K265" s="12">
        <v>0.18179999999999999</v>
      </c>
      <c r="L265" s="12">
        <v>0.55000000000000004</v>
      </c>
      <c r="M265" s="12">
        <v>0.22389999999999999</v>
      </c>
      <c r="N265" s="12">
        <v>0</v>
      </c>
      <c r="O265" s="12">
        <v>39</v>
      </c>
      <c r="P265" s="13">
        <v>39</v>
      </c>
    </row>
    <row r="266" spans="1:16" x14ac:dyDescent="0.25">
      <c r="A266" s="6">
        <v>265</v>
      </c>
      <c r="B266" s="7">
        <v>40555</v>
      </c>
      <c r="C266" s="8">
        <v>11</v>
      </c>
      <c r="D266" s="8" t="b">
        <v>0</v>
      </c>
      <c r="E266" s="8" t="str">
        <f t="shared" si="12"/>
        <v>Working Day</v>
      </c>
      <c r="F266" s="8">
        <v>3</v>
      </c>
      <c r="G266" s="8" t="str">
        <f t="shared" si="13"/>
        <v>Wed</v>
      </c>
      <c r="H266" s="8">
        <v>1</v>
      </c>
      <c r="I266" s="8" t="str">
        <f t="shared" si="14"/>
        <v>mist/cloudy</v>
      </c>
      <c r="J266" s="8">
        <v>0.2</v>
      </c>
      <c r="K266" s="8">
        <v>0.18179999999999999</v>
      </c>
      <c r="L266" s="8">
        <v>0.51</v>
      </c>
      <c r="M266" s="8">
        <v>0.3881</v>
      </c>
      <c r="N266" s="8">
        <v>3</v>
      </c>
      <c r="O266" s="8">
        <v>32</v>
      </c>
      <c r="P266" s="9">
        <v>35</v>
      </c>
    </row>
    <row r="267" spans="1:16" x14ac:dyDescent="0.25">
      <c r="A267" s="10">
        <v>266</v>
      </c>
      <c r="B267" s="11">
        <v>40555</v>
      </c>
      <c r="C267" s="12">
        <v>12</v>
      </c>
      <c r="D267" s="12" t="b">
        <v>0</v>
      </c>
      <c r="E267" s="12" t="str">
        <f t="shared" si="12"/>
        <v>Working Day</v>
      </c>
      <c r="F267" s="12">
        <v>3</v>
      </c>
      <c r="G267" s="12" t="str">
        <f t="shared" si="13"/>
        <v>Wed</v>
      </c>
      <c r="H267" s="12">
        <v>1</v>
      </c>
      <c r="I267" s="12" t="str">
        <f t="shared" si="14"/>
        <v>mist/cloudy</v>
      </c>
      <c r="J267" s="12">
        <v>0.2</v>
      </c>
      <c r="K267" s="12">
        <v>0.1515</v>
      </c>
      <c r="L267" s="12">
        <v>0.47</v>
      </c>
      <c r="M267" s="12">
        <v>0.58209999999999995</v>
      </c>
      <c r="N267" s="12">
        <v>3</v>
      </c>
      <c r="O267" s="12">
        <v>52</v>
      </c>
      <c r="P267" s="13">
        <v>55</v>
      </c>
    </row>
    <row r="268" spans="1:16" x14ac:dyDescent="0.25">
      <c r="A268" s="6">
        <v>267</v>
      </c>
      <c r="B268" s="7">
        <v>40555</v>
      </c>
      <c r="C268" s="8">
        <v>13</v>
      </c>
      <c r="D268" s="8" t="b">
        <v>0</v>
      </c>
      <c r="E268" s="8" t="str">
        <f t="shared" si="12"/>
        <v>Working Day</v>
      </c>
      <c r="F268" s="8">
        <v>3</v>
      </c>
      <c r="G268" s="8" t="str">
        <f t="shared" si="13"/>
        <v>Wed</v>
      </c>
      <c r="H268" s="8">
        <v>1</v>
      </c>
      <c r="I268" s="8" t="str">
        <f t="shared" si="14"/>
        <v>mist/cloudy</v>
      </c>
      <c r="J268" s="8">
        <v>0.22</v>
      </c>
      <c r="K268" s="8">
        <v>0.19700000000000001</v>
      </c>
      <c r="L268" s="8">
        <v>0.44</v>
      </c>
      <c r="M268" s="8">
        <v>0.35820000000000002</v>
      </c>
      <c r="N268" s="8">
        <v>0</v>
      </c>
      <c r="O268" s="8">
        <v>49</v>
      </c>
      <c r="P268" s="9">
        <v>49</v>
      </c>
    </row>
    <row r="269" spans="1:16" x14ac:dyDescent="0.25">
      <c r="A269" s="10">
        <v>268</v>
      </c>
      <c r="B269" s="11">
        <v>40555</v>
      </c>
      <c r="C269" s="12">
        <v>14</v>
      </c>
      <c r="D269" s="12" t="b">
        <v>0</v>
      </c>
      <c r="E269" s="12" t="str">
        <f t="shared" si="12"/>
        <v>Working Day</v>
      </c>
      <c r="F269" s="12">
        <v>3</v>
      </c>
      <c r="G269" s="12" t="str">
        <f t="shared" si="13"/>
        <v>Wed</v>
      </c>
      <c r="H269" s="12">
        <v>1</v>
      </c>
      <c r="I269" s="12" t="str">
        <f t="shared" si="14"/>
        <v>mist/cloudy</v>
      </c>
      <c r="J269" s="12">
        <v>0.2</v>
      </c>
      <c r="K269" s="12">
        <v>0.18179999999999999</v>
      </c>
      <c r="L269" s="12">
        <v>0.47</v>
      </c>
      <c r="M269" s="12">
        <v>0.32840000000000003</v>
      </c>
      <c r="N269" s="12">
        <v>0</v>
      </c>
      <c r="O269" s="12">
        <v>44</v>
      </c>
      <c r="P269" s="13">
        <v>44</v>
      </c>
    </row>
    <row r="270" spans="1:16" x14ac:dyDescent="0.25">
      <c r="A270" s="6">
        <v>269</v>
      </c>
      <c r="B270" s="7">
        <v>40555</v>
      </c>
      <c r="C270" s="8">
        <v>15</v>
      </c>
      <c r="D270" s="8" t="b">
        <v>0</v>
      </c>
      <c r="E270" s="8" t="str">
        <f t="shared" si="12"/>
        <v>Working Day</v>
      </c>
      <c r="F270" s="8">
        <v>3</v>
      </c>
      <c r="G270" s="8" t="str">
        <f t="shared" si="13"/>
        <v>Wed</v>
      </c>
      <c r="H270" s="8">
        <v>1</v>
      </c>
      <c r="I270" s="8" t="str">
        <f t="shared" si="14"/>
        <v>mist/cloudy</v>
      </c>
      <c r="J270" s="8">
        <v>0.2</v>
      </c>
      <c r="K270" s="8">
        <v>0.16669999999999999</v>
      </c>
      <c r="L270" s="8">
        <v>0.47</v>
      </c>
      <c r="M270" s="8">
        <v>0.41789999999999999</v>
      </c>
      <c r="N270" s="8">
        <v>1</v>
      </c>
      <c r="O270" s="8">
        <v>48</v>
      </c>
      <c r="P270" s="9">
        <v>49</v>
      </c>
    </row>
    <row r="271" spans="1:16" x14ac:dyDescent="0.25">
      <c r="A271" s="10">
        <v>270</v>
      </c>
      <c r="B271" s="11">
        <v>40555</v>
      </c>
      <c r="C271" s="12">
        <v>16</v>
      </c>
      <c r="D271" s="12" t="b">
        <v>0</v>
      </c>
      <c r="E271" s="12" t="str">
        <f t="shared" si="12"/>
        <v>Working Day</v>
      </c>
      <c r="F271" s="12">
        <v>3</v>
      </c>
      <c r="G271" s="12" t="str">
        <f t="shared" si="13"/>
        <v>Wed</v>
      </c>
      <c r="H271" s="12">
        <v>1</v>
      </c>
      <c r="I271" s="12" t="str">
        <f t="shared" si="14"/>
        <v>mist/cloudy</v>
      </c>
      <c r="J271" s="12">
        <v>0.22</v>
      </c>
      <c r="K271" s="12">
        <v>0.19700000000000001</v>
      </c>
      <c r="L271" s="12">
        <v>0.44</v>
      </c>
      <c r="M271" s="12">
        <v>0.32840000000000003</v>
      </c>
      <c r="N271" s="12">
        <v>5</v>
      </c>
      <c r="O271" s="12">
        <v>63</v>
      </c>
      <c r="P271" s="13">
        <v>68</v>
      </c>
    </row>
    <row r="272" spans="1:16" x14ac:dyDescent="0.25">
      <c r="A272" s="6">
        <v>271</v>
      </c>
      <c r="B272" s="7">
        <v>40555</v>
      </c>
      <c r="C272" s="8">
        <v>17</v>
      </c>
      <c r="D272" s="8" t="b">
        <v>0</v>
      </c>
      <c r="E272" s="8" t="str">
        <f t="shared" si="12"/>
        <v>Working Day</v>
      </c>
      <c r="F272" s="8">
        <v>3</v>
      </c>
      <c r="G272" s="8" t="str">
        <f t="shared" si="13"/>
        <v>Wed</v>
      </c>
      <c r="H272" s="8">
        <v>1</v>
      </c>
      <c r="I272" s="8" t="str">
        <f t="shared" si="14"/>
        <v>mist/cloudy</v>
      </c>
      <c r="J272" s="8">
        <v>0.2</v>
      </c>
      <c r="K272" s="8">
        <v>0.18179999999999999</v>
      </c>
      <c r="L272" s="8">
        <v>0.47</v>
      </c>
      <c r="M272" s="8">
        <v>0.35820000000000002</v>
      </c>
      <c r="N272" s="8">
        <v>0</v>
      </c>
      <c r="O272" s="8">
        <v>139</v>
      </c>
      <c r="P272" s="9">
        <v>139</v>
      </c>
    </row>
    <row r="273" spans="1:16" x14ac:dyDescent="0.25">
      <c r="A273" s="10">
        <v>272</v>
      </c>
      <c r="B273" s="11">
        <v>40555</v>
      </c>
      <c r="C273" s="12">
        <v>18</v>
      </c>
      <c r="D273" s="12" t="b">
        <v>0</v>
      </c>
      <c r="E273" s="12" t="str">
        <f t="shared" si="12"/>
        <v>Working Day</v>
      </c>
      <c r="F273" s="12">
        <v>3</v>
      </c>
      <c r="G273" s="12" t="str">
        <f t="shared" si="13"/>
        <v>Wed</v>
      </c>
      <c r="H273" s="12">
        <v>1</v>
      </c>
      <c r="I273" s="12" t="str">
        <f t="shared" si="14"/>
        <v>mist/cloudy</v>
      </c>
      <c r="J273" s="12">
        <v>0.2</v>
      </c>
      <c r="K273" s="12">
        <v>0.1515</v>
      </c>
      <c r="L273" s="12">
        <v>0.47</v>
      </c>
      <c r="M273" s="12">
        <v>0.52239999999999998</v>
      </c>
      <c r="N273" s="12">
        <v>2</v>
      </c>
      <c r="O273" s="12">
        <v>135</v>
      </c>
      <c r="P273" s="13">
        <v>137</v>
      </c>
    </row>
    <row r="274" spans="1:16" x14ac:dyDescent="0.25">
      <c r="A274" s="6">
        <v>273</v>
      </c>
      <c r="B274" s="7">
        <v>40555</v>
      </c>
      <c r="C274" s="8">
        <v>19</v>
      </c>
      <c r="D274" s="8" t="b">
        <v>0</v>
      </c>
      <c r="E274" s="8" t="str">
        <f t="shared" si="12"/>
        <v>Working Day</v>
      </c>
      <c r="F274" s="8">
        <v>3</v>
      </c>
      <c r="G274" s="8" t="str">
        <f t="shared" si="13"/>
        <v>Wed</v>
      </c>
      <c r="H274" s="8">
        <v>1</v>
      </c>
      <c r="I274" s="8" t="str">
        <f t="shared" si="14"/>
        <v>mist/cloudy</v>
      </c>
      <c r="J274" s="8">
        <v>0.18</v>
      </c>
      <c r="K274" s="8">
        <v>0.1515</v>
      </c>
      <c r="L274" s="8">
        <v>0.47</v>
      </c>
      <c r="M274" s="8">
        <v>0.41789999999999999</v>
      </c>
      <c r="N274" s="8">
        <v>1</v>
      </c>
      <c r="O274" s="8">
        <v>82</v>
      </c>
      <c r="P274" s="9">
        <v>83</v>
      </c>
    </row>
    <row r="275" spans="1:16" x14ac:dyDescent="0.25">
      <c r="A275" s="10">
        <v>274</v>
      </c>
      <c r="B275" s="11">
        <v>40555</v>
      </c>
      <c r="C275" s="12">
        <v>20</v>
      </c>
      <c r="D275" s="12" t="b">
        <v>0</v>
      </c>
      <c r="E275" s="12" t="str">
        <f t="shared" si="12"/>
        <v>Working Day</v>
      </c>
      <c r="F275" s="12">
        <v>3</v>
      </c>
      <c r="G275" s="12" t="str">
        <f t="shared" si="13"/>
        <v>Wed</v>
      </c>
      <c r="H275" s="12">
        <v>1</v>
      </c>
      <c r="I275" s="12" t="str">
        <f t="shared" si="14"/>
        <v>mist/cloudy</v>
      </c>
      <c r="J275" s="12">
        <v>0.16</v>
      </c>
      <c r="K275" s="12">
        <v>0.13639999999999999</v>
      </c>
      <c r="L275" s="12">
        <v>0.5</v>
      </c>
      <c r="M275" s="12">
        <v>0.32840000000000003</v>
      </c>
      <c r="N275" s="12">
        <v>2</v>
      </c>
      <c r="O275" s="12">
        <v>54</v>
      </c>
      <c r="P275" s="13">
        <v>56</v>
      </c>
    </row>
    <row r="276" spans="1:16" x14ac:dyDescent="0.25">
      <c r="A276" s="6">
        <v>275</v>
      </c>
      <c r="B276" s="7">
        <v>40555</v>
      </c>
      <c r="C276" s="8">
        <v>21</v>
      </c>
      <c r="D276" s="8" t="b">
        <v>0</v>
      </c>
      <c r="E276" s="8" t="str">
        <f t="shared" si="12"/>
        <v>Working Day</v>
      </c>
      <c r="F276" s="8">
        <v>3</v>
      </c>
      <c r="G276" s="8" t="str">
        <f t="shared" si="13"/>
        <v>Wed</v>
      </c>
      <c r="H276" s="8">
        <v>1</v>
      </c>
      <c r="I276" s="8" t="str">
        <f t="shared" si="14"/>
        <v>mist/cloudy</v>
      </c>
      <c r="J276" s="8">
        <v>0.16</v>
      </c>
      <c r="K276" s="8">
        <v>0.13639999999999999</v>
      </c>
      <c r="L276" s="8">
        <v>0.55000000000000004</v>
      </c>
      <c r="M276" s="8">
        <v>0.32840000000000003</v>
      </c>
      <c r="N276" s="8">
        <v>0</v>
      </c>
      <c r="O276" s="8">
        <v>57</v>
      </c>
      <c r="P276" s="9">
        <v>57</v>
      </c>
    </row>
    <row r="277" spans="1:16" x14ac:dyDescent="0.25">
      <c r="A277" s="10">
        <v>276</v>
      </c>
      <c r="B277" s="11">
        <v>40555</v>
      </c>
      <c r="C277" s="12">
        <v>22</v>
      </c>
      <c r="D277" s="12" t="b">
        <v>0</v>
      </c>
      <c r="E277" s="12" t="str">
        <f t="shared" si="12"/>
        <v>Working Day</v>
      </c>
      <c r="F277" s="12">
        <v>3</v>
      </c>
      <c r="G277" s="12" t="str">
        <f t="shared" si="13"/>
        <v>Wed</v>
      </c>
      <c r="H277" s="12">
        <v>1</v>
      </c>
      <c r="I277" s="12" t="str">
        <f t="shared" si="14"/>
        <v>mist/cloudy</v>
      </c>
      <c r="J277" s="12">
        <v>0.16</v>
      </c>
      <c r="K277" s="12">
        <v>0.1212</v>
      </c>
      <c r="L277" s="12">
        <v>0.55000000000000004</v>
      </c>
      <c r="M277" s="12">
        <v>0.44779999999999998</v>
      </c>
      <c r="N277" s="12">
        <v>1</v>
      </c>
      <c r="O277" s="12">
        <v>32</v>
      </c>
      <c r="P277" s="13">
        <v>33</v>
      </c>
    </row>
    <row r="278" spans="1:16" x14ac:dyDescent="0.25">
      <c r="A278" s="6">
        <v>277</v>
      </c>
      <c r="B278" s="7">
        <v>40555</v>
      </c>
      <c r="C278" s="8">
        <v>23</v>
      </c>
      <c r="D278" s="8" t="b">
        <v>0</v>
      </c>
      <c r="E278" s="8" t="str">
        <f t="shared" si="12"/>
        <v>Working Day</v>
      </c>
      <c r="F278" s="8">
        <v>3</v>
      </c>
      <c r="G278" s="8" t="str">
        <f t="shared" si="13"/>
        <v>Wed</v>
      </c>
      <c r="H278" s="8">
        <v>1</v>
      </c>
      <c r="I278" s="8" t="str">
        <f t="shared" si="14"/>
        <v>mist/cloudy</v>
      </c>
      <c r="J278" s="8">
        <v>0.14000000000000001</v>
      </c>
      <c r="K278" s="8">
        <v>0.1061</v>
      </c>
      <c r="L278" s="8">
        <v>0.59</v>
      </c>
      <c r="M278" s="8">
        <v>0.41789999999999999</v>
      </c>
      <c r="N278" s="8">
        <v>1</v>
      </c>
      <c r="O278" s="8">
        <v>19</v>
      </c>
      <c r="P278" s="9">
        <v>20</v>
      </c>
    </row>
    <row r="279" spans="1:16" x14ac:dyDescent="0.25">
      <c r="A279" s="10">
        <v>278</v>
      </c>
      <c r="B279" s="11">
        <v>40556</v>
      </c>
      <c r="C279" s="12">
        <v>0</v>
      </c>
      <c r="D279" s="12" t="b">
        <v>0</v>
      </c>
      <c r="E279" s="12" t="str">
        <f t="shared" si="12"/>
        <v>Working Day</v>
      </c>
      <c r="F279" s="12">
        <v>4</v>
      </c>
      <c r="G279" s="12" t="str">
        <f t="shared" si="13"/>
        <v>Thu</v>
      </c>
      <c r="H279" s="12">
        <v>1</v>
      </c>
      <c r="I279" s="12" t="str">
        <f t="shared" si="14"/>
        <v>mist/cloudy</v>
      </c>
      <c r="J279" s="12">
        <v>0.14000000000000001</v>
      </c>
      <c r="K279" s="12">
        <v>0.1212</v>
      </c>
      <c r="L279" s="12">
        <v>0.59</v>
      </c>
      <c r="M279" s="12">
        <v>0.28360000000000002</v>
      </c>
      <c r="N279" s="12">
        <v>1</v>
      </c>
      <c r="O279" s="12">
        <v>6</v>
      </c>
      <c r="P279" s="13">
        <v>7</v>
      </c>
    </row>
    <row r="280" spans="1:16" x14ac:dyDescent="0.25">
      <c r="A280" s="6">
        <v>279</v>
      </c>
      <c r="B280" s="7">
        <v>40556</v>
      </c>
      <c r="C280" s="8">
        <v>1</v>
      </c>
      <c r="D280" s="8" t="b">
        <v>0</v>
      </c>
      <c r="E280" s="8" t="str">
        <f t="shared" si="12"/>
        <v>Working Day</v>
      </c>
      <c r="F280" s="8">
        <v>4</v>
      </c>
      <c r="G280" s="8" t="str">
        <f t="shared" si="13"/>
        <v>Thu</v>
      </c>
      <c r="H280" s="8">
        <v>1</v>
      </c>
      <c r="I280" s="8" t="str">
        <f t="shared" si="14"/>
        <v>mist/cloudy</v>
      </c>
      <c r="J280" s="8">
        <v>0.14000000000000001</v>
      </c>
      <c r="K280" s="8">
        <v>0.1212</v>
      </c>
      <c r="L280" s="8">
        <v>0.5</v>
      </c>
      <c r="M280" s="8">
        <v>0.28360000000000002</v>
      </c>
      <c r="N280" s="8">
        <v>0</v>
      </c>
      <c r="O280" s="8">
        <v>2</v>
      </c>
      <c r="P280" s="9">
        <v>2</v>
      </c>
    </row>
    <row r="281" spans="1:16" x14ac:dyDescent="0.25">
      <c r="A281" s="10">
        <v>280</v>
      </c>
      <c r="B281" s="11">
        <v>40556</v>
      </c>
      <c r="C281" s="12">
        <v>2</v>
      </c>
      <c r="D281" s="12" t="b">
        <v>0</v>
      </c>
      <c r="E281" s="12" t="str">
        <f t="shared" si="12"/>
        <v>Working Day</v>
      </c>
      <c r="F281" s="12">
        <v>4</v>
      </c>
      <c r="G281" s="12" t="str">
        <f t="shared" si="13"/>
        <v>Thu</v>
      </c>
      <c r="H281" s="12">
        <v>1</v>
      </c>
      <c r="I281" s="12" t="str">
        <f t="shared" si="14"/>
        <v>mist/cloudy</v>
      </c>
      <c r="J281" s="12">
        <v>0.14000000000000001</v>
      </c>
      <c r="K281" s="12">
        <v>0.1212</v>
      </c>
      <c r="L281" s="12">
        <v>0.5</v>
      </c>
      <c r="M281" s="12">
        <v>0.35820000000000002</v>
      </c>
      <c r="N281" s="12">
        <v>0</v>
      </c>
      <c r="O281" s="12">
        <v>2</v>
      </c>
      <c r="P281" s="13">
        <v>2</v>
      </c>
    </row>
    <row r="282" spans="1:16" x14ac:dyDescent="0.25">
      <c r="A282" s="6">
        <v>281</v>
      </c>
      <c r="B282" s="7">
        <v>40556</v>
      </c>
      <c r="C282" s="8">
        <v>3</v>
      </c>
      <c r="D282" s="8" t="b">
        <v>0</v>
      </c>
      <c r="E282" s="8" t="str">
        <f t="shared" si="12"/>
        <v>Working Day</v>
      </c>
      <c r="F282" s="8">
        <v>4</v>
      </c>
      <c r="G282" s="8" t="str">
        <f t="shared" si="13"/>
        <v>Thu</v>
      </c>
      <c r="H282" s="8">
        <v>1</v>
      </c>
      <c r="I282" s="8" t="str">
        <f t="shared" si="14"/>
        <v>mist/cloudy</v>
      </c>
      <c r="J282" s="8">
        <v>0.14000000000000001</v>
      </c>
      <c r="K282" s="8">
        <v>0.1212</v>
      </c>
      <c r="L282" s="8">
        <v>0.5</v>
      </c>
      <c r="M282" s="8">
        <v>0.32840000000000003</v>
      </c>
      <c r="N282" s="8">
        <v>0</v>
      </c>
      <c r="O282" s="8">
        <v>3</v>
      </c>
      <c r="P282" s="9">
        <v>3</v>
      </c>
    </row>
    <row r="283" spans="1:16" x14ac:dyDescent="0.25">
      <c r="A283" s="10">
        <v>282</v>
      </c>
      <c r="B283" s="11">
        <v>40556</v>
      </c>
      <c r="C283" s="12">
        <v>4</v>
      </c>
      <c r="D283" s="12" t="b">
        <v>0</v>
      </c>
      <c r="E283" s="12" t="str">
        <f t="shared" si="12"/>
        <v>Working Day</v>
      </c>
      <c r="F283" s="12">
        <v>4</v>
      </c>
      <c r="G283" s="12" t="str">
        <f t="shared" si="13"/>
        <v>Thu</v>
      </c>
      <c r="H283" s="12">
        <v>1</v>
      </c>
      <c r="I283" s="12" t="str">
        <f t="shared" si="14"/>
        <v>mist/cloudy</v>
      </c>
      <c r="J283" s="12">
        <v>0.14000000000000001</v>
      </c>
      <c r="K283" s="12">
        <v>0.1212</v>
      </c>
      <c r="L283" s="12">
        <v>0.5</v>
      </c>
      <c r="M283" s="12">
        <v>0.25369999999999998</v>
      </c>
      <c r="N283" s="12">
        <v>0</v>
      </c>
      <c r="O283" s="12">
        <v>4</v>
      </c>
      <c r="P283" s="13">
        <v>4</v>
      </c>
    </row>
    <row r="284" spans="1:16" x14ac:dyDescent="0.25">
      <c r="A284" s="6">
        <v>283</v>
      </c>
      <c r="B284" s="7">
        <v>40556</v>
      </c>
      <c r="C284" s="8">
        <v>5</v>
      </c>
      <c r="D284" s="8" t="b">
        <v>0</v>
      </c>
      <c r="E284" s="8" t="str">
        <f t="shared" si="12"/>
        <v>Working Day</v>
      </c>
      <c r="F284" s="8">
        <v>4</v>
      </c>
      <c r="G284" s="8" t="str">
        <f t="shared" si="13"/>
        <v>Thu</v>
      </c>
      <c r="H284" s="8">
        <v>1</v>
      </c>
      <c r="I284" s="8" t="str">
        <f t="shared" si="14"/>
        <v>mist/cloudy</v>
      </c>
      <c r="J284" s="8">
        <v>0.14000000000000001</v>
      </c>
      <c r="K284" s="8">
        <v>0.1212</v>
      </c>
      <c r="L284" s="8">
        <v>0.5</v>
      </c>
      <c r="M284" s="8">
        <v>0.29849999999999999</v>
      </c>
      <c r="N284" s="8">
        <v>0</v>
      </c>
      <c r="O284" s="8">
        <v>3</v>
      </c>
      <c r="P284" s="9">
        <v>3</v>
      </c>
    </row>
    <row r="285" spans="1:16" x14ac:dyDescent="0.25">
      <c r="A285" s="10">
        <v>284</v>
      </c>
      <c r="B285" s="11">
        <v>40556</v>
      </c>
      <c r="C285" s="12">
        <v>6</v>
      </c>
      <c r="D285" s="12" t="b">
        <v>0</v>
      </c>
      <c r="E285" s="12" t="str">
        <f t="shared" si="12"/>
        <v>Working Day</v>
      </c>
      <c r="F285" s="12">
        <v>4</v>
      </c>
      <c r="G285" s="12" t="str">
        <f t="shared" si="13"/>
        <v>Thu</v>
      </c>
      <c r="H285" s="12">
        <v>1</v>
      </c>
      <c r="I285" s="12" t="str">
        <f t="shared" si="14"/>
        <v>mist/cloudy</v>
      </c>
      <c r="J285" s="12">
        <v>0.12</v>
      </c>
      <c r="K285" s="12">
        <v>0.1515</v>
      </c>
      <c r="L285" s="12">
        <v>0.54</v>
      </c>
      <c r="M285" s="12">
        <v>0.1343</v>
      </c>
      <c r="N285" s="12">
        <v>0</v>
      </c>
      <c r="O285" s="12">
        <v>28</v>
      </c>
      <c r="P285" s="13">
        <v>28</v>
      </c>
    </row>
    <row r="286" spans="1:16" x14ac:dyDescent="0.25">
      <c r="A286" s="6">
        <v>285</v>
      </c>
      <c r="B286" s="7">
        <v>40556</v>
      </c>
      <c r="C286" s="8">
        <v>7</v>
      </c>
      <c r="D286" s="8" t="b">
        <v>0</v>
      </c>
      <c r="E286" s="8" t="str">
        <f t="shared" si="12"/>
        <v>Working Day</v>
      </c>
      <c r="F286" s="8">
        <v>4</v>
      </c>
      <c r="G286" s="8" t="str">
        <f t="shared" si="13"/>
        <v>Thu</v>
      </c>
      <c r="H286" s="8">
        <v>1</v>
      </c>
      <c r="I286" s="8" t="str">
        <f t="shared" si="14"/>
        <v>mist/cloudy</v>
      </c>
      <c r="J286" s="8">
        <v>0.12</v>
      </c>
      <c r="K286" s="8">
        <v>0.1515</v>
      </c>
      <c r="L286" s="8">
        <v>0.54</v>
      </c>
      <c r="M286" s="8">
        <v>0.1343</v>
      </c>
      <c r="N286" s="8">
        <v>0</v>
      </c>
      <c r="O286" s="8">
        <v>72</v>
      </c>
      <c r="P286" s="9">
        <v>72</v>
      </c>
    </row>
    <row r="287" spans="1:16" x14ac:dyDescent="0.25">
      <c r="A287" s="10">
        <v>286</v>
      </c>
      <c r="B287" s="11">
        <v>40556</v>
      </c>
      <c r="C287" s="12">
        <v>8</v>
      </c>
      <c r="D287" s="12" t="b">
        <v>0</v>
      </c>
      <c r="E287" s="12" t="str">
        <f t="shared" si="12"/>
        <v>Working Day</v>
      </c>
      <c r="F287" s="12">
        <v>4</v>
      </c>
      <c r="G287" s="12" t="str">
        <f t="shared" si="13"/>
        <v>Thu</v>
      </c>
      <c r="H287" s="12">
        <v>1</v>
      </c>
      <c r="I287" s="12" t="str">
        <f t="shared" si="14"/>
        <v>mist/cloudy</v>
      </c>
      <c r="J287" s="12">
        <v>0.14000000000000001</v>
      </c>
      <c r="K287" s="12">
        <v>0.13639999999999999</v>
      </c>
      <c r="L287" s="12">
        <v>0.5</v>
      </c>
      <c r="M287" s="12">
        <v>0.19400000000000001</v>
      </c>
      <c r="N287" s="12">
        <v>5</v>
      </c>
      <c r="O287" s="12">
        <v>197</v>
      </c>
      <c r="P287" s="13">
        <v>202</v>
      </c>
    </row>
    <row r="288" spans="1:16" x14ac:dyDescent="0.25">
      <c r="A288" s="6">
        <v>287</v>
      </c>
      <c r="B288" s="7">
        <v>40556</v>
      </c>
      <c r="C288" s="8">
        <v>9</v>
      </c>
      <c r="D288" s="8" t="b">
        <v>0</v>
      </c>
      <c r="E288" s="8" t="str">
        <f t="shared" si="12"/>
        <v>Working Day</v>
      </c>
      <c r="F288" s="8">
        <v>4</v>
      </c>
      <c r="G288" s="8" t="str">
        <f t="shared" si="13"/>
        <v>Thu</v>
      </c>
      <c r="H288" s="8">
        <v>1</v>
      </c>
      <c r="I288" s="8" t="str">
        <f t="shared" si="14"/>
        <v>mist/cloudy</v>
      </c>
      <c r="J288" s="8">
        <v>0.14000000000000001</v>
      </c>
      <c r="K288" s="8">
        <v>0.1212</v>
      </c>
      <c r="L288" s="8">
        <v>0.5</v>
      </c>
      <c r="M288" s="8">
        <v>0.32840000000000003</v>
      </c>
      <c r="N288" s="8">
        <v>2</v>
      </c>
      <c r="O288" s="8">
        <v>137</v>
      </c>
      <c r="P288" s="9">
        <v>139</v>
      </c>
    </row>
    <row r="289" spans="1:16" x14ac:dyDescent="0.25">
      <c r="A289" s="10">
        <v>288</v>
      </c>
      <c r="B289" s="11">
        <v>40556</v>
      </c>
      <c r="C289" s="12">
        <v>10</v>
      </c>
      <c r="D289" s="12" t="b">
        <v>0</v>
      </c>
      <c r="E289" s="12" t="str">
        <f t="shared" si="12"/>
        <v>Working Day</v>
      </c>
      <c r="F289" s="12">
        <v>4</v>
      </c>
      <c r="G289" s="12" t="str">
        <f t="shared" si="13"/>
        <v>Thu</v>
      </c>
      <c r="H289" s="12">
        <v>2</v>
      </c>
      <c r="I289" s="12" t="str">
        <f t="shared" si="14"/>
        <v>light rain</v>
      </c>
      <c r="J289" s="12">
        <v>0.16</v>
      </c>
      <c r="K289" s="12">
        <v>0.13639999999999999</v>
      </c>
      <c r="L289" s="12">
        <v>0.5</v>
      </c>
      <c r="M289" s="12">
        <v>0.35820000000000002</v>
      </c>
      <c r="N289" s="12">
        <v>2</v>
      </c>
      <c r="O289" s="12">
        <v>36</v>
      </c>
      <c r="P289" s="13">
        <v>38</v>
      </c>
    </row>
    <row r="290" spans="1:16" x14ac:dyDescent="0.25">
      <c r="A290" s="6">
        <v>289</v>
      </c>
      <c r="B290" s="7">
        <v>40556</v>
      </c>
      <c r="C290" s="8">
        <v>11</v>
      </c>
      <c r="D290" s="8" t="b">
        <v>0</v>
      </c>
      <c r="E290" s="8" t="str">
        <f t="shared" si="12"/>
        <v>Working Day</v>
      </c>
      <c r="F290" s="8">
        <v>4</v>
      </c>
      <c r="G290" s="8" t="str">
        <f t="shared" si="13"/>
        <v>Thu</v>
      </c>
      <c r="H290" s="8">
        <v>2</v>
      </c>
      <c r="I290" s="8" t="str">
        <f t="shared" si="14"/>
        <v>light rain</v>
      </c>
      <c r="J290" s="8">
        <v>0.2</v>
      </c>
      <c r="K290" s="8">
        <v>0.16669999999999999</v>
      </c>
      <c r="L290" s="8">
        <v>0.44</v>
      </c>
      <c r="M290" s="8">
        <v>0.44779999999999998</v>
      </c>
      <c r="N290" s="8">
        <v>4</v>
      </c>
      <c r="O290" s="8">
        <v>33</v>
      </c>
      <c r="P290" s="9">
        <v>37</v>
      </c>
    </row>
    <row r="291" spans="1:16" x14ac:dyDescent="0.25">
      <c r="A291" s="10">
        <v>290</v>
      </c>
      <c r="B291" s="11">
        <v>40556</v>
      </c>
      <c r="C291" s="12">
        <v>12</v>
      </c>
      <c r="D291" s="12" t="b">
        <v>0</v>
      </c>
      <c r="E291" s="12" t="str">
        <f t="shared" si="12"/>
        <v>Working Day</v>
      </c>
      <c r="F291" s="12">
        <v>4</v>
      </c>
      <c r="G291" s="12" t="str">
        <f t="shared" si="13"/>
        <v>Thu</v>
      </c>
      <c r="H291" s="12">
        <v>1</v>
      </c>
      <c r="I291" s="12" t="str">
        <f t="shared" si="14"/>
        <v>mist/cloudy</v>
      </c>
      <c r="J291" s="12">
        <v>0.2</v>
      </c>
      <c r="K291" s="12">
        <v>0.16669999999999999</v>
      </c>
      <c r="L291" s="12">
        <v>0.44</v>
      </c>
      <c r="M291" s="12">
        <v>0.41789999999999999</v>
      </c>
      <c r="N291" s="12">
        <v>3</v>
      </c>
      <c r="O291" s="12">
        <v>49</v>
      </c>
      <c r="P291" s="13">
        <v>52</v>
      </c>
    </row>
    <row r="292" spans="1:16" x14ac:dyDescent="0.25">
      <c r="A292" s="6">
        <v>291</v>
      </c>
      <c r="B292" s="7">
        <v>40556</v>
      </c>
      <c r="C292" s="8">
        <v>13</v>
      </c>
      <c r="D292" s="8" t="b">
        <v>0</v>
      </c>
      <c r="E292" s="8" t="str">
        <f t="shared" si="12"/>
        <v>Working Day</v>
      </c>
      <c r="F292" s="8">
        <v>4</v>
      </c>
      <c r="G292" s="8" t="str">
        <f t="shared" si="13"/>
        <v>Thu</v>
      </c>
      <c r="H292" s="8">
        <v>1</v>
      </c>
      <c r="I292" s="8" t="str">
        <f t="shared" si="14"/>
        <v>mist/cloudy</v>
      </c>
      <c r="J292" s="8">
        <v>0.22</v>
      </c>
      <c r="K292" s="8">
        <v>0.19700000000000001</v>
      </c>
      <c r="L292" s="8">
        <v>0.41</v>
      </c>
      <c r="M292" s="8">
        <v>0.44779999999999998</v>
      </c>
      <c r="N292" s="8">
        <v>2</v>
      </c>
      <c r="O292" s="8">
        <v>81</v>
      </c>
      <c r="P292" s="9">
        <v>83</v>
      </c>
    </row>
    <row r="293" spans="1:16" x14ac:dyDescent="0.25">
      <c r="A293" s="10">
        <v>292</v>
      </c>
      <c r="B293" s="11">
        <v>40556</v>
      </c>
      <c r="C293" s="12">
        <v>14</v>
      </c>
      <c r="D293" s="12" t="b">
        <v>0</v>
      </c>
      <c r="E293" s="12" t="str">
        <f t="shared" si="12"/>
        <v>Working Day</v>
      </c>
      <c r="F293" s="12">
        <v>4</v>
      </c>
      <c r="G293" s="12" t="str">
        <f t="shared" si="13"/>
        <v>Thu</v>
      </c>
      <c r="H293" s="12">
        <v>1</v>
      </c>
      <c r="I293" s="12" t="str">
        <f t="shared" si="14"/>
        <v>mist/cloudy</v>
      </c>
      <c r="J293" s="12">
        <v>0.22</v>
      </c>
      <c r="K293" s="12">
        <v>0.19700000000000001</v>
      </c>
      <c r="L293" s="12">
        <v>0.41</v>
      </c>
      <c r="M293" s="12">
        <v>0.3881</v>
      </c>
      <c r="N293" s="12">
        <v>3</v>
      </c>
      <c r="O293" s="12">
        <v>39</v>
      </c>
      <c r="P293" s="13">
        <v>42</v>
      </c>
    </row>
    <row r="294" spans="1:16" x14ac:dyDescent="0.25">
      <c r="A294" s="6">
        <v>293</v>
      </c>
      <c r="B294" s="7">
        <v>40556</v>
      </c>
      <c r="C294" s="8">
        <v>15</v>
      </c>
      <c r="D294" s="8" t="b">
        <v>0</v>
      </c>
      <c r="E294" s="8" t="str">
        <f t="shared" si="12"/>
        <v>Working Day</v>
      </c>
      <c r="F294" s="8">
        <v>4</v>
      </c>
      <c r="G294" s="8" t="str">
        <f t="shared" si="13"/>
        <v>Thu</v>
      </c>
      <c r="H294" s="8">
        <v>1</v>
      </c>
      <c r="I294" s="8" t="str">
        <f t="shared" si="14"/>
        <v>mist/cloudy</v>
      </c>
      <c r="J294" s="8">
        <v>0.24</v>
      </c>
      <c r="K294" s="8">
        <v>0.21210000000000001</v>
      </c>
      <c r="L294" s="8">
        <v>0.38</v>
      </c>
      <c r="M294" s="8">
        <v>0.29849999999999999</v>
      </c>
      <c r="N294" s="8">
        <v>5</v>
      </c>
      <c r="O294" s="8">
        <v>55</v>
      </c>
      <c r="P294" s="9">
        <v>60</v>
      </c>
    </row>
    <row r="295" spans="1:16" x14ac:dyDescent="0.25">
      <c r="A295" s="10">
        <v>294</v>
      </c>
      <c r="B295" s="11">
        <v>40556</v>
      </c>
      <c r="C295" s="12">
        <v>16</v>
      </c>
      <c r="D295" s="12" t="b">
        <v>0</v>
      </c>
      <c r="E295" s="12" t="str">
        <f t="shared" si="12"/>
        <v>Working Day</v>
      </c>
      <c r="F295" s="12">
        <v>4</v>
      </c>
      <c r="G295" s="12" t="str">
        <f t="shared" si="13"/>
        <v>Thu</v>
      </c>
      <c r="H295" s="12">
        <v>1</v>
      </c>
      <c r="I295" s="12" t="str">
        <f t="shared" si="14"/>
        <v>mist/cloudy</v>
      </c>
      <c r="J295" s="12">
        <v>0.24</v>
      </c>
      <c r="K295" s="12">
        <v>0.21210000000000001</v>
      </c>
      <c r="L295" s="12">
        <v>0.38</v>
      </c>
      <c r="M295" s="12">
        <v>0.35820000000000002</v>
      </c>
      <c r="N295" s="12">
        <v>2</v>
      </c>
      <c r="O295" s="12">
        <v>76</v>
      </c>
      <c r="P295" s="13">
        <v>78</v>
      </c>
    </row>
    <row r="296" spans="1:16" x14ac:dyDescent="0.25">
      <c r="A296" s="6">
        <v>295</v>
      </c>
      <c r="B296" s="7">
        <v>40556</v>
      </c>
      <c r="C296" s="8">
        <v>17</v>
      </c>
      <c r="D296" s="8" t="b">
        <v>0</v>
      </c>
      <c r="E296" s="8" t="str">
        <f t="shared" si="12"/>
        <v>Working Day</v>
      </c>
      <c r="F296" s="8">
        <v>4</v>
      </c>
      <c r="G296" s="8" t="str">
        <f t="shared" si="13"/>
        <v>Thu</v>
      </c>
      <c r="H296" s="8">
        <v>1</v>
      </c>
      <c r="I296" s="8" t="str">
        <f t="shared" si="14"/>
        <v>mist/cloudy</v>
      </c>
      <c r="J296" s="8">
        <v>0.2</v>
      </c>
      <c r="K296" s="8">
        <v>0.18179999999999999</v>
      </c>
      <c r="L296" s="8">
        <v>0.4</v>
      </c>
      <c r="M296" s="8">
        <v>0.28360000000000002</v>
      </c>
      <c r="N296" s="8">
        <v>4</v>
      </c>
      <c r="O296" s="8">
        <v>158</v>
      </c>
      <c r="P296" s="9">
        <v>162</v>
      </c>
    </row>
    <row r="297" spans="1:16" x14ac:dyDescent="0.25">
      <c r="A297" s="10">
        <v>296</v>
      </c>
      <c r="B297" s="11">
        <v>40556</v>
      </c>
      <c r="C297" s="12">
        <v>18</v>
      </c>
      <c r="D297" s="12" t="b">
        <v>0</v>
      </c>
      <c r="E297" s="12" t="str">
        <f t="shared" si="12"/>
        <v>Working Day</v>
      </c>
      <c r="F297" s="12">
        <v>4</v>
      </c>
      <c r="G297" s="12" t="str">
        <f t="shared" si="13"/>
        <v>Thu</v>
      </c>
      <c r="H297" s="12">
        <v>1</v>
      </c>
      <c r="I297" s="12" t="str">
        <f t="shared" si="14"/>
        <v>mist/cloudy</v>
      </c>
      <c r="J297" s="12">
        <v>0.2</v>
      </c>
      <c r="K297" s="12">
        <v>0.18179999999999999</v>
      </c>
      <c r="L297" s="12">
        <v>0.4</v>
      </c>
      <c r="M297" s="12">
        <v>0.32840000000000003</v>
      </c>
      <c r="N297" s="12">
        <v>3</v>
      </c>
      <c r="O297" s="12">
        <v>141</v>
      </c>
      <c r="P297" s="13">
        <v>144</v>
      </c>
    </row>
    <row r="298" spans="1:16" x14ac:dyDescent="0.25">
      <c r="A298" s="6">
        <v>297</v>
      </c>
      <c r="B298" s="7">
        <v>40556</v>
      </c>
      <c r="C298" s="8">
        <v>19</v>
      </c>
      <c r="D298" s="8" t="b">
        <v>0</v>
      </c>
      <c r="E298" s="8" t="str">
        <f t="shared" si="12"/>
        <v>Working Day</v>
      </c>
      <c r="F298" s="8">
        <v>4</v>
      </c>
      <c r="G298" s="8" t="str">
        <f t="shared" si="13"/>
        <v>Thu</v>
      </c>
      <c r="H298" s="8">
        <v>1</v>
      </c>
      <c r="I298" s="8" t="str">
        <f t="shared" si="14"/>
        <v>mist/cloudy</v>
      </c>
      <c r="J298" s="8">
        <v>0.16</v>
      </c>
      <c r="K298" s="8">
        <v>0.1515</v>
      </c>
      <c r="L298" s="8">
        <v>0.47</v>
      </c>
      <c r="M298" s="8">
        <v>0.25369999999999998</v>
      </c>
      <c r="N298" s="8">
        <v>1</v>
      </c>
      <c r="O298" s="8">
        <v>98</v>
      </c>
      <c r="P298" s="9">
        <v>99</v>
      </c>
    </row>
    <row r="299" spans="1:16" x14ac:dyDescent="0.25">
      <c r="A299" s="10">
        <v>298</v>
      </c>
      <c r="B299" s="11">
        <v>40556</v>
      </c>
      <c r="C299" s="12">
        <v>20</v>
      </c>
      <c r="D299" s="12" t="b">
        <v>0</v>
      </c>
      <c r="E299" s="12" t="str">
        <f t="shared" si="12"/>
        <v>Working Day</v>
      </c>
      <c r="F299" s="12">
        <v>4</v>
      </c>
      <c r="G299" s="12" t="str">
        <f t="shared" si="13"/>
        <v>Thu</v>
      </c>
      <c r="H299" s="12">
        <v>1</v>
      </c>
      <c r="I299" s="12" t="str">
        <f t="shared" si="14"/>
        <v>mist/cloudy</v>
      </c>
      <c r="J299" s="12">
        <v>0.16</v>
      </c>
      <c r="K299" s="12">
        <v>0.1515</v>
      </c>
      <c r="L299" s="12">
        <v>0.47</v>
      </c>
      <c r="M299" s="12">
        <v>0.22389999999999999</v>
      </c>
      <c r="N299" s="12">
        <v>0</v>
      </c>
      <c r="O299" s="12">
        <v>64</v>
      </c>
      <c r="P299" s="13">
        <v>64</v>
      </c>
    </row>
    <row r="300" spans="1:16" x14ac:dyDescent="0.25">
      <c r="A300" s="6">
        <v>299</v>
      </c>
      <c r="B300" s="7">
        <v>40556</v>
      </c>
      <c r="C300" s="8">
        <v>21</v>
      </c>
      <c r="D300" s="8" t="b">
        <v>0</v>
      </c>
      <c r="E300" s="8" t="str">
        <f t="shared" si="12"/>
        <v>Working Day</v>
      </c>
      <c r="F300" s="8">
        <v>4</v>
      </c>
      <c r="G300" s="8" t="str">
        <f t="shared" si="13"/>
        <v>Thu</v>
      </c>
      <c r="H300" s="8">
        <v>1</v>
      </c>
      <c r="I300" s="8" t="str">
        <f t="shared" si="14"/>
        <v>mist/cloudy</v>
      </c>
      <c r="J300" s="8">
        <v>0.14000000000000001</v>
      </c>
      <c r="K300" s="8">
        <v>0.1212</v>
      </c>
      <c r="L300" s="8">
        <v>0.46</v>
      </c>
      <c r="M300" s="8">
        <v>0.29849999999999999</v>
      </c>
      <c r="N300" s="8">
        <v>0</v>
      </c>
      <c r="O300" s="8">
        <v>40</v>
      </c>
      <c r="P300" s="9">
        <v>40</v>
      </c>
    </row>
    <row r="301" spans="1:16" x14ac:dyDescent="0.25">
      <c r="A301" s="10">
        <v>300</v>
      </c>
      <c r="B301" s="11">
        <v>40556</v>
      </c>
      <c r="C301" s="12">
        <v>22</v>
      </c>
      <c r="D301" s="12" t="b">
        <v>0</v>
      </c>
      <c r="E301" s="12" t="str">
        <f t="shared" si="12"/>
        <v>Working Day</v>
      </c>
      <c r="F301" s="12">
        <v>4</v>
      </c>
      <c r="G301" s="12" t="str">
        <f t="shared" si="13"/>
        <v>Thu</v>
      </c>
      <c r="H301" s="12">
        <v>1</v>
      </c>
      <c r="I301" s="12" t="str">
        <f t="shared" si="14"/>
        <v>mist/cloudy</v>
      </c>
      <c r="J301" s="12">
        <v>0.14000000000000001</v>
      </c>
      <c r="K301" s="12">
        <v>0.1212</v>
      </c>
      <c r="L301" s="12">
        <v>0.46</v>
      </c>
      <c r="M301" s="12">
        <v>0.32840000000000003</v>
      </c>
      <c r="N301" s="12">
        <v>0</v>
      </c>
      <c r="O301" s="12">
        <v>30</v>
      </c>
      <c r="P301" s="13">
        <v>30</v>
      </c>
    </row>
    <row r="302" spans="1:16" x14ac:dyDescent="0.25">
      <c r="A302" s="6">
        <v>301</v>
      </c>
      <c r="B302" s="7">
        <v>40556</v>
      </c>
      <c r="C302" s="8">
        <v>23</v>
      </c>
      <c r="D302" s="8" t="b">
        <v>0</v>
      </c>
      <c r="E302" s="8" t="str">
        <f t="shared" si="12"/>
        <v>Working Day</v>
      </c>
      <c r="F302" s="8">
        <v>4</v>
      </c>
      <c r="G302" s="8" t="str">
        <f t="shared" si="13"/>
        <v>Thu</v>
      </c>
      <c r="H302" s="8">
        <v>1</v>
      </c>
      <c r="I302" s="8" t="str">
        <f t="shared" si="14"/>
        <v>mist/cloudy</v>
      </c>
      <c r="J302" s="8">
        <v>0.12</v>
      </c>
      <c r="K302" s="8">
        <v>0.13639999999999999</v>
      </c>
      <c r="L302" s="8">
        <v>0.5</v>
      </c>
      <c r="M302" s="8">
        <v>0.19400000000000001</v>
      </c>
      <c r="N302" s="8">
        <v>1</v>
      </c>
      <c r="O302" s="8">
        <v>14</v>
      </c>
      <c r="P302" s="9">
        <v>15</v>
      </c>
    </row>
    <row r="303" spans="1:16" x14ac:dyDescent="0.25">
      <c r="A303" s="10">
        <v>302</v>
      </c>
      <c r="B303" s="11">
        <v>40557</v>
      </c>
      <c r="C303" s="12">
        <v>0</v>
      </c>
      <c r="D303" s="12" t="b">
        <v>0</v>
      </c>
      <c r="E303" s="12" t="str">
        <f t="shared" si="12"/>
        <v>Working Day</v>
      </c>
      <c r="F303" s="12">
        <v>5</v>
      </c>
      <c r="G303" s="12" t="str">
        <f t="shared" si="13"/>
        <v>Fri</v>
      </c>
      <c r="H303" s="12">
        <v>1</v>
      </c>
      <c r="I303" s="12" t="str">
        <f t="shared" si="14"/>
        <v>mist/cloudy</v>
      </c>
      <c r="J303" s="12">
        <v>0.12</v>
      </c>
      <c r="K303" s="12">
        <v>0.13639999999999999</v>
      </c>
      <c r="L303" s="12">
        <v>0.5</v>
      </c>
      <c r="M303" s="12">
        <v>0.19400000000000001</v>
      </c>
      <c r="N303" s="12">
        <v>0</v>
      </c>
      <c r="O303" s="12">
        <v>14</v>
      </c>
      <c r="P303" s="13">
        <v>14</v>
      </c>
    </row>
    <row r="304" spans="1:16" x14ac:dyDescent="0.25">
      <c r="A304" s="6">
        <v>303</v>
      </c>
      <c r="B304" s="7">
        <v>40557</v>
      </c>
      <c r="C304" s="8">
        <v>1</v>
      </c>
      <c r="D304" s="8" t="b">
        <v>0</v>
      </c>
      <c r="E304" s="8" t="str">
        <f t="shared" si="12"/>
        <v>Working Day</v>
      </c>
      <c r="F304" s="8">
        <v>5</v>
      </c>
      <c r="G304" s="8" t="str">
        <f t="shared" si="13"/>
        <v>Fri</v>
      </c>
      <c r="H304" s="8">
        <v>1</v>
      </c>
      <c r="I304" s="8" t="str">
        <f t="shared" si="14"/>
        <v>mist/cloudy</v>
      </c>
      <c r="J304" s="8">
        <v>0.1</v>
      </c>
      <c r="K304" s="8">
        <v>0.1212</v>
      </c>
      <c r="L304" s="8">
        <v>0.54</v>
      </c>
      <c r="M304" s="8">
        <v>0.16420000000000001</v>
      </c>
      <c r="N304" s="8">
        <v>0</v>
      </c>
      <c r="O304" s="8">
        <v>5</v>
      </c>
      <c r="P304" s="9">
        <v>5</v>
      </c>
    </row>
    <row r="305" spans="1:16" x14ac:dyDescent="0.25">
      <c r="A305" s="10">
        <v>304</v>
      </c>
      <c r="B305" s="11">
        <v>40557</v>
      </c>
      <c r="C305" s="12">
        <v>2</v>
      </c>
      <c r="D305" s="12" t="b">
        <v>0</v>
      </c>
      <c r="E305" s="12" t="str">
        <f t="shared" si="12"/>
        <v>Working Day</v>
      </c>
      <c r="F305" s="12">
        <v>5</v>
      </c>
      <c r="G305" s="12" t="str">
        <f t="shared" si="13"/>
        <v>Fri</v>
      </c>
      <c r="H305" s="12">
        <v>1</v>
      </c>
      <c r="I305" s="12" t="str">
        <f t="shared" si="14"/>
        <v>mist/cloudy</v>
      </c>
      <c r="J305" s="12">
        <v>0.1</v>
      </c>
      <c r="K305" s="12">
        <v>0.1212</v>
      </c>
      <c r="L305" s="12">
        <v>0.54</v>
      </c>
      <c r="M305" s="12">
        <v>0.1343</v>
      </c>
      <c r="N305" s="12">
        <v>0</v>
      </c>
      <c r="O305" s="12">
        <v>1</v>
      </c>
      <c r="P305" s="13">
        <v>1</v>
      </c>
    </row>
    <row r="306" spans="1:16" x14ac:dyDescent="0.25">
      <c r="A306" s="6">
        <v>305</v>
      </c>
      <c r="B306" s="7">
        <v>40557</v>
      </c>
      <c r="C306" s="8">
        <v>3</v>
      </c>
      <c r="D306" s="8" t="b">
        <v>0</v>
      </c>
      <c r="E306" s="8" t="str">
        <f t="shared" si="12"/>
        <v>Working Day</v>
      </c>
      <c r="F306" s="8">
        <v>5</v>
      </c>
      <c r="G306" s="8" t="str">
        <f t="shared" si="13"/>
        <v>Fri</v>
      </c>
      <c r="H306" s="8">
        <v>1</v>
      </c>
      <c r="I306" s="8" t="str">
        <f t="shared" si="14"/>
        <v>mist/cloudy</v>
      </c>
      <c r="J306" s="8">
        <v>0.1</v>
      </c>
      <c r="K306" s="8">
        <v>0.13639999999999999</v>
      </c>
      <c r="L306" s="8">
        <v>0.54</v>
      </c>
      <c r="M306" s="8">
        <v>0.1045</v>
      </c>
      <c r="N306" s="8">
        <v>0</v>
      </c>
      <c r="O306" s="8">
        <v>1</v>
      </c>
      <c r="P306" s="9">
        <v>1</v>
      </c>
    </row>
    <row r="307" spans="1:16" x14ac:dyDescent="0.25">
      <c r="A307" s="10">
        <v>306</v>
      </c>
      <c r="B307" s="11">
        <v>40557</v>
      </c>
      <c r="C307" s="12">
        <v>5</v>
      </c>
      <c r="D307" s="12" t="b">
        <v>0</v>
      </c>
      <c r="E307" s="12" t="str">
        <f t="shared" si="12"/>
        <v>Working Day</v>
      </c>
      <c r="F307" s="12">
        <v>5</v>
      </c>
      <c r="G307" s="12" t="str">
        <f t="shared" si="13"/>
        <v>Fri</v>
      </c>
      <c r="H307" s="12">
        <v>1</v>
      </c>
      <c r="I307" s="12" t="str">
        <f t="shared" si="14"/>
        <v>mist/cloudy</v>
      </c>
      <c r="J307" s="12">
        <v>0.1</v>
      </c>
      <c r="K307" s="12">
        <v>0.13639999999999999</v>
      </c>
      <c r="L307" s="12">
        <v>0.54</v>
      </c>
      <c r="M307" s="12">
        <v>8.9599999999999999E-2</v>
      </c>
      <c r="N307" s="12">
        <v>0</v>
      </c>
      <c r="O307" s="12">
        <v>8</v>
      </c>
      <c r="P307" s="13">
        <v>8</v>
      </c>
    </row>
    <row r="308" spans="1:16" x14ac:dyDescent="0.25">
      <c r="A308" s="6">
        <v>307</v>
      </c>
      <c r="B308" s="7">
        <v>40557</v>
      </c>
      <c r="C308" s="8">
        <v>6</v>
      </c>
      <c r="D308" s="8" t="b">
        <v>0</v>
      </c>
      <c r="E308" s="8" t="str">
        <f t="shared" si="12"/>
        <v>Working Day</v>
      </c>
      <c r="F308" s="8">
        <v>5</v>
      </c>
      <c r="G308" s="8" t="str">
        <f t="shared" si="13"/>
        <v>Fri</v>
      </c>
      <c r="H308" s="8">
        <v>1</v>
      </c>
      <c r="I308" s="8" t="str">
        <f t="shared" si="14"/>
        <v>mist/cloudy</v>
      </c>
      <c r="J308" s="8">
        <v>0.1</v>
      </c>
      <c r="K308" s="8">
        <v>0.18179999999999999</v>
      </c>
      <c r="L308" s="8">
        <v>0.54</v>
      </c>
      <c r="M308" s="8">
        <v>0</v>
      </c>
      <c r="N308" s="8">
        <v>0</v>
      </c>
      <c r="O308" s="8">
        <v>17</v>
      </c>
      <c r="P308" s="9">
        <v>17</v>
      </c>
    </row>
    <row r="309" spans="1:16" x14ac:dyDescent="0.25">
      <c r="A309" s="10">
        <v>308</v>
      </c>
      <c r="B309" s="11">
        <v>40557</v>
      </c>
      <c r="C309" s="12">
        <v>7</v>
      </c>
      <c r="D309" s="12" t="b">
        <v>0</v>
      </c>
      <c r="E309" s="12" t="str">
        <f t="shared" si="12"/>
        <v>Working Day</v>
      </c>
      <c r="F309" s="12">
        <v>5</v>
      </c>
      <c r="G309" s="12" t="str">
        <f t="shared" si="13"/>
        <v>Fri</v>
      </c>
      <c r="H309" s="12">
        <v>1</v>
      </c>
      <c r="I309" s="12" t="str">
        <f t="shared" si="14"/>
        <v>mist/cloudy</v>
      </c>
      <c r="J309" s="12">
        <v>0.1</v>
      </c>
      <c r="K309" s="12">
        <v>0.1212</v>
      </c>
      <c r="L309" s="12">
        <v>0.74</v>
      </c>
      <c r="M309" s="12">
        <v>0.16420000000000001</v>
      </c>
      <c r="N309" s="12">
        <v>0</v>
      </c>
      <c r="O309" s="12">
        <v>70</v>
      </c>
      <c r="P309" s="13">
        <v>70</v>
      </c>
    </row>
    <row r="310" spans="1:16" x14ac:dyDescent="0.25">
      <c r="A310" s="6">
        <v>309</v>
      </c>
      <c r="B310" s="7">
        <v>40557</v>
      </c>
      <c r="C310" s="8">
        <v>8</v>
      </c>
      <c r="D310" s="8" t="b">
        <v>0</v>
      </c>
      <c r="E310" s="8" t="str">
        <f t="shared" si="12"/>
        <v>Working Day</v>
      </c>
      <c r="F310" s="8">
        <v>5</v>
      </c>
      <c r="G310" s="8" t="str">
        <f t="shared" si="13"/>
        <v>Fri</v>
      </c>
      <c r="H310" s="8">
        <v>1</v>
      </c>
      <c r="I310" s="8" t="str">
        <f t="shared" si="14"/>
        <v>mist/cloudy</v>
      </c>
      <c r="J310" s="8">
        <v>0.12</v>
      </c>
      <c r="K310" s="8">
        <v>0.16669999999999999</v>
      </c>
      <c r="L310" s="8">
        <v>0.68</v>
      </c>
      <c r="M310" s="8">
        <v>0</v>
      </c>
      <c r="N310" s="8">
        <v>2</v>
      </c>
      <c r="O310" s="8">
        <v>156</v>
      </c>
      <c r="P310" s="9">
        <v>158</v>
      </c>
    </row>
    <row r="311" spans="1:16" x14ac:dyDescent="0.25">
      <c r="A311" s="10">
        <v>310</v>
      </c>
      <c r="B311" s="11">
        <v>40557</v>
      </c>
      <c r="C311" s="12">
        <v>9</v>
      </c>
      <c r="D311" s="12" t="b">
        <v>0</v>
      </c>
      <c r="E311" s="12" t="str">
        <f t="shared" si="12"/>
        <v>Working Day</v>
      </c>
      <c r="F311" s="12">
        <v>5</v>
      </c>
      <c r="G311" s="12" t="str">
        <f t="shared" si="13"/>
        <v>Fri</v>
      </c>
      <c r="H311" s="12">
        <v>1</v>
      </c>
      <c r="I311" s="12" t="str">
        <f t="shared" si="14"/>
        <v>mist/cloudy</v>
      </c>
      <c r="J311" s="12">
        <v>0.14000000000000001</v>
      </c>
      <c r="K311" s="12">
        <v>0.1515</v>
      </c>
      <c r="L311" s="12">
        <v>0.69</v>
      </c>
      <c r="M311" s="12">
        <v>0.1343</v>
      </c>
      <c r="N311" s="12">
        <v>0</v>
      </c>
      <c r="O311" s="12">
        <v>117</v>
      </c>
      <c r="P311" s="13">
        <v>117</v>
      </c>
    </row>
    <row r="312" spans="1:16" x14ac:dyDescent="0.25">
      <c r="A312" s="6">
        <v>311</v>
      </c>
      <c r="B312" s="7">
        <v>40557</v>
      </c>
      <c r="C312" s="8">
        <v>10</v>
      </c>
      <c r="D312" s="8" t="b">
        <v>0</v>
      </c>
      <c r="E312" s="8" t="str">
        <f t="shared" si="12"/>
        <v>Working Day</v>
      </c>
      <c r="F312" s="8">
        <v>5</v>
      </c>
      <c r="G312" s="8" t="str">
        <f t="shared" si="13"/>
        <v>Fri</v>
      </c>
      <c r="H312" s="8">
        <v>1</v>
      </c>
      <c r="I312" s="8" t="str">
        <f t="shared" si="14"/>
        <v>mist/cloudy</v>
      </c>
      <c r="J312" s="8">
        <v>0.18</v>
      </c>
      <c r="K312" s="8">
        <v>0.18179999999999999</v>
      </c>
      <c r="L312" s="8">
        <v>0.55000000000000004</v>
      </c>
      <c r="M312" s="8">
        <v>0.19400000000000001</v>
      </c>
      <c r="N312" s="8">
        <v>4</v>
      </c>
      <c r="O312" s="8">
        <v>40</v>
      </c>
      <c r="P312" s="9">
        <v>44</v>
      </c>
    </row>
    <row r="313" spans="1:16" x14ac:dyDescent="0.25">
      <c r="A313" s="10">
        <v>312</v>
      </c>
      <c r="B313" s="11">
        <v>40557</v>
      </c>
      <c r="C313" s="12">
        <v>11</v>
      </c>
      <c r="D313" s="12" t="b">
        <v>0</v>
      </c>
      <c r="E313" s="12" t="str">
        <f t="shared" si="12"/>
        <v>Working Day</v>
      </c>
      <c r="F313" s="12">
        <v>5</v>
      </c>
      <c r="G313" s="12" t="str">
        <f t="shared" si="13"/>
        <v>Fri</v>
      </c>
      <c r="H313" s="12">
        <v>1</v>
      </c>
      <c r="I313" s="12" t="str">
        <f t="shared" si="14"/>
        <v>mist/cloudy</v>
      </c>
      <c r="J313" s="12">
        <v>0.18</v>
      </c>
      <c r="K313" s="12">
        <v>0.16669999999999999</v>
      </c>
      <c r="L313" s="12">
        <v>0.51</v>
      </c>
      <c r="M313" s="12">
        <v>0.28360000000000002</v>
      </c>
      <c r="N313" s="12">
        <v>6</v>
      </c>
      <c r="O313" s="12">
        <v>47</v>
      </c>
      <c r="P313" s="13">
        <v>53</v>
      </c>
    </row>
    <row r="314" spans="1:16" x14ac:dyDescent="0.25">
      <c r="A314" s="6">
        <v>313</v>
      </c>
      <c r="B314" s="7">
        <v>40557</v>
      </c>
      <c r="C314" s="8">
        <v>12</v>
      </c>
      <c r="D314" s="8" t="b">
        <v>0</v>
      </c>
      <c r="E314" s="8" t="str">
        <f t="shared" si="12"/>
        <v>Working Day</v>
      </c>
      <c r="F314" s="8">
        <v>5</v>
      </c>
      <c r="G314" s="8" t="str">
        <f t="shared" si="13"/>
        <v>Fri</v>
      </c>
      <c r="H314" s="8">
        <v>1</v>
      </c>
      <c r="I314" s="8" t="str">
        <f t="shared" si="14"/>
        <v>mist/cloudy</v>
      </c>
      <c r="J314" s="8">
        <v>0.2</v>
      </c>
      <c r="K314" s="8">
        <v>0.19700000000000001</v>
      </c>
      <c r="L314" s="8">
        <v>0.44</v>
      </c>
      <c r="M314" s="8">
        <v>0.25369999999999998</v>
      </c>
      <c r="N314" s="8">
        <v>2</v>
      </c>
      <c r="O314" s="8">
        <v>59</v>
      </c>
      <c r="P314" s="9">
        <v>61</v>
      </c>
    </row>
    <row r="315" spans="1:16" x14ac:dyDescent="0.25">
      <c r="A315" s="10">
        <v>314</v>
      </c>
      <c r="B315" s="11">
        <v>40557</v>
      </c>
      <c r="C315" s="12">
        <v>13</v>
      </c>
      <c r="D315" s="12" t="b">
        <v>0</v>
      </c>
      <c r="E315" s="12" t="str">
        <f t="shared" si="12"/>
        <v>Working Day</v>
      </c>
      <c r="F315" s="12">
        <v>5</v>
      </c>
      <c r="G315" s="12" t="str">
        <f t="shared" si="13"/>
        <v>Fri</v>
      </c>
      <c r="H315" s="12">
        <v>1</v>
      </c>
      <c r="I315" s="12" t="str">
        <f t="shared" si="14"/>
        <v>mist/cloudy</v>
      </c>
      <c r="J315" s="12">
        <v>0.22</v>
      </c>
      <c r="K315" s="12">
        <v>0.19700000000000001</v>
      </c>
      <c r="L315" s="12">
        <v>0.37</v>
      </c>
      <c r="M315" s="12">
        <v>0.3881</v>
      </c>
      <c r="N315" s="12">
        <v>4</v>
      </c>
      <c r="O315" s="12">
        <v>73</v>
      </c>
      <c r="P315" s="13">
        <v>77</v>
      </c>
    </row>
    <row r="316" spans="1:16" x14ac:dyDescent="0.25">
      <c r="A316" s="6">
        <v>315</v>
      </c>
      <c r="B316" s="7">
        <v>40557</v>
      </c>
      <c r="C316" s="8">
        <v>14</v>
      </c>
      <c r="D316" s="8" t="b">
        <v>0</v>
      </c>
      <c r="E316" s="8" t="str">
        <f t="shared" si="12"/>
        <v>Working Day</v>
      </c>
      <c r="F316" s="8">
        <v>5</v>
      </c>
      <c r="G316" s="8" t="str">
        <f t="shared" si="13"/>
        <v>Fri</v>
      </c>
      <c r="H316" s="8">
        <v>1</v>
      </c>
      <c r="I316" s="8" t="str">
        <f t="shared" si="14"/>
        <v>mist/cloudy</v>
      </c>
      <c r="J316" s="8">
        <v>0.22</v>
      </c>
      <c r="K316" s="8">
        <v>0.21210000000000001</v>
      </c>
      <c r="L316" s="8">
        <v>0.41</v>
      </c>
      <c r="M316" s="8">
        <v>0.28360000000000002</v>
      </c>
      <c r="N316" s="8">
        <v>5</v>
      </c>
      <c r="O316" s="8">
        <v>59</v>
      </c>
      <c r="P316" s="9">
        <v>64</v>
      </c>
    </row>
    <row r="317" spans="1:16" x14ac:dyDescent="0.25">
      <c r="A317" s="10">
        <v>316</v>
      </c>
      <c r="B317" s="11">
        <v>40557</v>
      </c>
      <c r="C317" s="12">
        <v>15</v>
      </c>
      <c r="D317" s="12" t="b">
        <v>0</v>
      </c>
      <c r="E317" s="12" t="str">
        <f t="shared" si="12"/>
        <v>Working Day</v>
      </c>
      <c r="F317" s="12">
        <v>5</v>
      </c>
      <c r="G317" s="12" t="str">
        <f t="shared" si="13"/>
        <v>Fri</v>
      </c>
      <c r="H317" s="12">
        <v>1</v>
      </c>
      <c r="I317" s="12" t="str">
        <f t="shared" si="14"/>
        <v>mist/cloudy</v>
      </c>
      <c r="J317" s="12">
        <v>0.24</v>
      </c>
      <c r="K317" s="12">
        <v>0.2424</v>
      </c>
      <c r="L317" s="12">
        <v>0.38</v>
      </c>
      <c r="M317" s="12">
        <v>0.16420000000000001</v>
      </c>
      <c r="N317" s="12">
        <v>9</v>
      </c>
      <c r="O317" s="12">
        <v>59</v>
      </c>
      <c r="P317" s="13">
        <v>68</v>
      </c>
    </row>
    <row r="318" spans="1:16" x14ac:dyDescent="0.25">
      <c r="A318" s="6">
        <v>317</v>
      </c>
      <c r="B318" s="7">
        <v>40557</v>
      </c>
      <c r="C318" s="8">
        <v>16</v>
      </c>
      <c r="D318" s="8" t="b">
        <v>0</v>
      </c>
      <c r="E318" s="8" t="str">
        <f t="shared" si="12"/>
        <v>Working Day</v>
      </c>
      <c r="F318" s="8">
        <v>5</v>
      </c>
      <c r="G318" s="8" t="str">
        <f t="shared" si="13"/>
        <v>Fri</v>
      </c>
      <c r="H318" s="8">
        <v>1</v>
      </c>
      <c r="I318" s="8" t="str">
        <f t="shared" si="14"/>
        <v>mist/cloudy</v>
      </c>
      <c r="J318" s="8">
        <v>0.22</v>
      </c>
      <c r="K318" s="8">
        <v>0.2424</v>
      </c>
      <c r="L318" s="8">
        <v>0.41</v>
      </c>
      <c r="M318" s="8">
        <v>0.1045</v>
      </c>
      <c r="N318" s="8">
        <v>3</v>
      </c>
      <c r="O318" s="8">
        <v>87</v>
      </c>
      <c r="P318" s="9">
        <v>90</v>
      </c>
    </row>
    <row r="319" spans="1:16" x14ac:dyDescent="0.25">
      <c r="A319" s="10">
        <v>318</v>
      </c>
      <c r="B319" s="11">
        <v>40557</v>
      </c>
      <c r="C319" s="12">
        <v>17</v>
      </c>
      <c r="D319" s="12" t="b">
        <v>0</v>
      </c>
      <c r="E319" s="12" t="str">
        <f t="shared" si="12"/>
        <v>Working Day</v>
      </c>
      <c r="F319" s="12">
        <v>5</v>
      </c>
      <c r="G319" s="12" t="str">
        <f t="shared" si="13"/>
        <v>Fri</v>
      </c>
      <c r="H319" s="12">
        <v>1</v>
      </c>
      <c r="I319" s="12" t="str">
        <f t="shared" si="14"/>
        <v>mist/cloudy</v>
      </c>
      <c r="J319" s="12">
        <v>0.22</v>
      </c>
      <c r="K319" s="12">
        <v>0.2273</v>
      </c>
      <c r="L319" s="12">
        <v>0.41</v>
      </c>
      <c r="M319" s="12">
        <v>0.16420000000000001</v>
      </c>
      <c r="N319" s="12">
        <v>4</v>
      </c>
      <c r="O319" s="12">
        <v>155</v>
      </c>
      <c r="P319" s="13">
        <v>159</v>
      </c>
    </row>
    <row r="320" spans="1:16" x14ac:dyDescent="0.25">
      <c r="A320" s="6">
        <v>319</v>
      </c>
      <c r="B320" s="7">
        <v>40557</v>
      </c>
      <c r="C320" s="8">
        <v>18</v>
      </c>
      <c r="D320" s="8" t="b">
        <v>0</v>
      </c>
      <c r="E320" s="8" t="str">
        <f t="shared" si="12"/>
        <v>Working Day</v>
      </c>
      <c r="F320" s="8">
        <v>5</v>
      </c>
      <c r="G320" s="8" t="str">
        <f t="shared" si="13"/>
        <v>Fri</v>
      </c>
      <c r="H320" s="8">
        <v>1</v>
      </c>
      <c r="I320" s="8" t="str">
        <f t="shared" si="14"/>
        <v>mist/cloudy</v>
      </c>
      <c r="J320" s="8">
        <v>0.2</v>
      </c>
      <c r="K320" s="8">
        <v>0.2576</v>
      </c>
      <c r="L320" s="8">
        <v>0.47</v>
      </c>
      <c r="M320" s="8">
        <v>0</v>
      </c>
      <c r="N320" s="8">
        <v>5</v>
      </c>
      <c r="O320" s="8">
        <v>134</v>
      </c>
      <c r="P320" s="9">
        <v>139</v>
      </c>
    </row>
    <row r="321" spans="1:16" x14ac:dyDescent="0.25">
      <c r="A321" s="10">
        <v>320</v>
      </c>
      <c r="B321" s="11">
        <v>40557</v>
      </c>
      <c r="C321" s="12">
        <v>19</v>
      </c>
      <c r="D321" s="12" t="b">
        <v>0</v>
      </c>
      <c r="E321" s="12" t="str">
        <f t="shared" si="12"/>
        <v>Working Day</v>
      </c>
      <c r="F321" s="12">
        <v>5</v>
      </c>
      <c r="G321" s="12" t="str">
        <f t="shared" si="13"/>
        <v>Fri</v>
      </c>
      <c r="H321" s="12">
        <v>1</v>
      </c>
      <c r="I321" s="12" t="str">
        <f t="shared" si="14"/>
        <v>mist/cloudy</v>
      </c>
      <c r="J321" s="12">
        <v>0.16</v>
      </c>
      <c r="K321" s="12">
        <v>0.19700000000000001</v>
      </c>
      <c r="L321" s="12">
        <v>0.59</v>
      </c>
      <c r="M321" s="12">
        <v>8.9599999999999999E-2</v>
      </c>
      <c r="N321" s="12">
        <v>3</v>
      </c>
      <c r="O321" s="12">
        <v>89</v>
      </c>
      <c r="P321" s="13">
        <v>92</v>
      </c>
    </row>
    <row r="322" spans="1:16" x14ac:dyDescent="0.25">
      <c r="A322" s="6">
        <v>321</v>
      </c>
      <c r="B322" s="7">
        <v>40557</v>
      </c>
      <c r="C322" s="8">
        <v>20</v>
      </c>
      <c r="D322" s="8" t="b">
        <v>0</v>
      </c>
      <c r="E322" s="8" t="str">
        <f t="shared" ref="E322:E385" si="15">IF(D322=FALSE,"Working Day","Holiday")</f>
        <v>Working Day</v>
      </c>
      <c r="F322" s="8">
        <v>5</v>
      </c>
      <c r="G322" s="8" t="str">
        <f t="shared" ref="G322:G385" si="16">TEXT(F322+1, "ddd")</f>
        <v>Fri</v>
      </c>
      <c r="H322" s="8">
        <v>1</v>
      </c>
      <c r="I322" s="8" t="str">
        <f t="shared" si="14"/>
        <v>mist/cloudy</v>
      </c>
      <c r="J322" s="8">
        <v>0.18</v>
      </c>
      <c r="K322" s="8">
        <v>0.2424</v>
      </c>
      <c r="L322" s="8">
        <v>0.59</v>
      </c>
      <c r="M322" s="8">
        <v>0</v>
      </c>
      <c r="N322" s="8">
        <v>0</v>
      </c>
      <c r="O322" s="8">
        <v>68</v>
      </c>
      <c r="P322" s="9">
        <v>68</v>
      </c>
    </row>
    <row r="323" spans="1:16" x14ac:dyDescent="0.25">
      <c r="A323" s="10">
        <v>322</v>
      </c>
      <c r="B323" s="11">
        <v>40557</v>
      </c>
      <c r="C323" s="12">
        <v>21</v>
      </c>
      <c r="D323" s="12" t="b">
        <v>0</v>
      </c>
      <c r="E323" s="12" t="str">
        <f t="shared" si="15"/>
        <v>Working Day</v>
      </c>
      <c r="F323" s="12">
        <v>5</v>
      </c>
      <c r="G323" s="12" t="str">
        <f t="shared" si="16"/>
        <v>Fri</v>
      </c>
      <c r="H323" s="12">
        <v>1</v>
      </c>
      <c r="I323" s="12" t="str">
        <f t="shared" ref="I323:I386" si="17">IF(H323=0, "clear", IF(H323=1, "mist/cloudy", IF(H323=2, "light rain", IF(H323=3, "heavy rain", IF(H323=4, "extreme weather condition", "Unknown")))))</f>
        <v>mist/cloudy</v>
      </c>
      <c r="J323" s="12">
        <v>0.16</v>
      </c>
      <c r="K323" s="12">
        <v>0.2273</v>
      </c>
      <c r="L323" s="12">
        <v>0.69</v>
      </c>
      <c r="M323" s="12">
        <v>0</v>
      </c>
      <c r="N323" s="12">
        <v>4</v>
      </c>
      <c r="O323" s="12">
        <v>48</v>
      </c>
      <c r="P323" s="13">
        <v>52</v>
      </c>
    </row>
    <row r="324" spans="1:16" x14ac:dyDescent="0.25">
      <c r="A324" s="6">
        <v>323</v>
      </c>
      <c r="B324" s="7">
        <v>40557</v>
      </c>
      <c r="C324" s="8">
        <v>22</v>
      </c>
      <c r="D324" s="8" t="b">
        <v>0</v>
      </c>
      <c r="E324" s="8" t="str">
        <f t="shared" si="15"/>
        <v>Working Day</v>
      </c>
      <c r="F324" s="8">
        <v>5</v>
      </c>
      <c r="G324" s="8" t="str">
        <f t="shared" si="16"/>
        <v>Fri</v>
      </c>
      <c r="H324" s="8">
        <v>2</v>
      </c>
      <c r="I324" s="8" t="str">
        <f t="shared" si="17"/>
        <v>light rain</v>
      </c>
      <c r="J324" s="8">
        <v>0.16</v>
      </c>
      <c r="K324" s="8">
        <v>0.2273</v>
      </c>
      <c r="L324" s="8">
        <v>0.69</v>
      </c>
      <c r="M324" s="8">
        <v>0</v>
      </c>
      <c r="N324" s="8">
        <v>2</v>
      </c>
      <c r="O324" s="8">
        <v>34</v>
      </c>
      <c r="P324" s="9">
        <v>36</v>
      </c>
    </row>
    <row r="325" spans="1:16" x14ac:dyDescent="0.25">
      <c r="A325" s="10">
        <v>324</v>
      </c>
      <c r="B325" s="11">
        <v>40557</v>
      </c>
      <c r="C325" s="12">
        <v>23</v>
      </c>
      <c r="D325" s="12" t="b">
        <v>0</v>
      </c>
      <c r="E325" s="12" t="str">
        <f t="shared" si="15"/>
        <v>Working Day</v>
      </c>
      <c r="F325" s="12">
        <v>5</v>
      </c>
      <c r="G325" s="12" t="str">
        <f t="shared" si="16"/>
        <v>Fri</v>
      </c>
      <c r="H325" s="12">
        <v>2</v>
      </c>
      <c r="I325" s="12" t="str">
        <f t="shared" si="17"/>
        <v>light rain</v>
      </c>
      <c r="J325" s="12">
        <v>0.18</v>
      </c>
      <c r="K325" s="12">
        <v>0.2424</v>
      </c>
      <c r="L325" s="12">
        <v>0.55000000000000004</v>
      </c>
      <c r="M325" s="12">
        <v>0</v>
      </c>
      <c r="N325" s="12">
        <v>1</v>
      </c>
      <c r="O325" s="12">
        <v>26</v>
      </c>
      <c r="P325" s="13">
        <v>27</v>
      </c>
    </row>
    <row r="326" spans="1:16" x14ac:dyDescent="0.25">
      <c r="A326" s="6">
        <v>325</v>
      </c>
      <c r="B326" s="7">
        <v>40558</v>
      </c>
      <c r="C326" s="8">
        <v>0</v>
      </c>
      <c r="D326" s="8" t="b">
        <v>0</v>
      </c>
      <c r="E326" s="8" t="str">
        <f t="shared" si="15"/>
        <v>Working Day</v>
      </c>
      <c r="F326" s="8">
        <v>6</v>
      </c>
      <c r="G326" s="8" t="str">
        <f t="shared" si="16"/>
        <v>Sat</v>
      </c>
      <c r="H326" s="8">
        <v>1</v>
      </c>
      <c r="I326" s="8" t="str">
        <f t="shared" si="17"/>
        <v>mist/cloudy</v>
      </c>
      <c r="J326" s="8">
        <v>0.18</v>
      </c>
      <c r="K326" s="8">
        <v>0.2424</v>
      </c>
      <c r="L326" s="8">
        <v>0.55000000000000004</v>
      </c>
      <c r="M326" s="8">
        <v>0</v>
      </c>
      <c r="N326" s="8">
        <v>3</v>
      </c>
      <c r="O326" s="8">
        <v>25</v>
      </c>
      <c r="P326" s="9">
        <v>28</v>
      </c>
    </row>
    <row r="327" spans="1:16" x14ac:dyDescent="0.25">
      <c r="A327" s="10">
        <v>326</v>
      </c>
      <c r="B327" s="11">
        <v>40558</v>
      </c>
      <c r="C327" s="12">
        <v>1</v>
      </c>
      <c r="D327" s="12" t="b">
        <v>0</v>
      </c>
      <c r="E327" s="12" t="str">
        <f t="shared" si="15"/>
        <v>Working Day</v>
      </c>
      <c r="F327" s="12">
        <v>6</v>
      </c>
      <c r="G327" s="12" t="str">
        <f t="shared" si="16"/>
        <v>Sat</v>
      </c>
      <c r="H327" s="12">
        <v>2</v>
      </c>
      <c r="I327" s="12" t="str">
        <f t="shared" si="17"/>
        <v>light rain</v>
      </c>
      <c r="J327" s="12">
        <v>0.16</v>
      </c>
      <c r="K327" s="12">
        <v>0.19700000000000001</v>
      </c>
      <c r="L327" s="12">
        <v>0.59</v>
      </c>
      <c r="M327" s="12">
        <v>8.9599999999999999E-2</v>
      </c>
      <c r="N327" s="12">
        <v>2</v>
      </c>
      <c r="O327" s="12">
        <v>18</v>
      </c>
      <c r="P327" s="13">
        <v>20</v>
      </c>
    </row>
    <row r="328" spans="1:16" x14ac:dyDescent="0.25">
      <c r="A328" s="6">
        <v>327</v>
      </c>
      <c r="B328" s="7">
        <v>40558</v>
      </c>
      <c r="C328" s="8">
        <v>2</v>
      </c>
      <c r="D328" s="8" t="b">
        <v>0</v>
      </c>
      <c r="E328" s="8" t="str">
        <f t="shared" si="15"/>
        <v>Working Day</v>
      </c>
      <c r="F328" s="8">
        <v>6</v>
      </c>
      <c r="G328" s="8" t="str">
        <f t="shared" si="16"/>
        <v>Sat</v>
      </c>
      <c r="H328" s="8">
        <v>2</v>
      </c>
      <c r="I328" s="8" t="str">
        <f t="shared" si="17"/>
        <v>light rain</v>
      </c>
      <c r="J328" s="8">
        <v>0.16</v>
      </c>
      <c r="K328" s="8">
        <v>0.19700000000000001</v>
      </c>
      <c r="L328" s="8">
        <v>0.59</v>
      </c>
      <c r="M328" s="8">
        <v>8.9599999999999999E-2</v>
      </c>
      <c r="N328" s="8">
        <v>0</v>
      </c>
      <c r="O328" s="8">
        <v>12</v>
      </c>
      <c r="P328" s="9">
        <v>12</v>
      </c>
    </row>
    <row r="329" spans="1:16" x14ac:dyDescent="0.25">
      <c r="A329" s="10">
        <v>328</v>
      </c>
      <c r="B329" s="11">
        <v>40558</v>
      </c>
      <c r="C329" s="12">
        <v>3</v>
      </c>
      <c r="D329" s="12" t="b">
        <v>0</v>
      </c>
      <c r="E329" s="12" t="str">
        <f t="shared" si="15"/>
        <v>Working Day</v>
      </c>
      <c r="F329" s="12">
        <v>6</v>
      </c>
      <c r="G329" s="12" t="str">
        <f t="shared" si="16"/>
        <v>Sat</v>
      </c>
      <c r="H329" s="12">
        <v>2</v>
      </c>
      <c r="I329" s="12" t="str">
        <f t="shared" si="17"/>
        <v>light rain</v>
      </c>
      <c r="J329" s="12">
        <v>0.16</v>
      </c>
      <c r="K329" s="12">
        <v>0.2273</v>
      </c>
      <c r="L329" s="12">
        <v>0.59</v>
      </c>
      <c r="M329" s="12">
        <v>0</v>
      </c>
      <c r="N329" s="12">
        <v>1</v>
      </c>
      <c r="O329" s="12">
        <v>7</v>
      </c>
      <c r="P329" s="13">
        <v>8</v>
      </c>
    </row>
    <row r="330" spans="1:16" x14ac:dyDescent="0.25">
      <c r="A330" s="6">
        <v>329</v>
      </c>
      <c r="B330" s="7">
        <v>40558</v>
      </c>
      <c r="C330" s="8">
        <v>4</v>
      </c>
      <c r="D330" s="8" t="b">
        <v>0</v>
      </c>
      <c r="E330" s="8" t="str">
        <f t="shared" si="15"/>
        <v>Working Day</v>
      </c>
      <c r="F330" s="8">
        <v>6</v>
      </c>
      <c r="G330" s="8" t="str">
        <f t="shared" si="16"/>
        <v>Sat</v>
      </c>
      <c r="H330" s="8">
        <v>2</v>
      </c>
      <c r="I330" s="8" t="str">
        <f t="shared" si="17"/>
        <v>light rain</v>
      </c>
      <c r="J330" s="8">
        <v>0.16</v>
      </c>
      <c r="K330" s="8">
        <v>0.2273</v>
      </c>
      <c r="L330" s="8">
        <v>0.59</v>
      </c>
      <c r="M330" s="8">
        <v>0</v>
      </c>
      <c r="N330" s="8">
        <v>0</v>
      </c>
      <c r="O330" s="8">
        <v>5</v>
      </c>
      <c r="P330" s="9">
        <v>5</v>
      </c>
    </row>
    <row r="331" spans="1:16" x14ac:dyDescent="0.25">
      <c r="A331" s="10">
        <v>330</v>
      </c>
      <c r="B331" s="11">
        <v>40558</v>
      </c>
      <c r="C331" s="12">
        <v>5</v>
      </c>
      <c r="D331" s="12" t="b">
        <v>0</v>
      </c>
      <c r="E331" s="12" t="str">
        <f t="shared" si="15"/>
        <v>Working Day</v>
      </c>
      <c r="F331" s="12">
        <v>6</v>
      </c>
      <c r="G331" s="12" t="str">
        <f t="shared" si="16"/>
        <v>Sat</v>
      </c>
      <c r="H331" s="12">
        <v>1</v>
      </c>
      <c r="I331" s="12" t="str">
        <f t="shared" si="17"/>
        <v>mist/cloudy</v>
      </c>
      <c r="J331" s="12">
        <v>0.16</v>
      </c>
      <c r="K331" s="12">
        <v>0.2273</v>
      </c>
      <c r="L331" s="12">
        <v>0.59</v>
      </c>
      <c r="M331" s="12">
        <v>0</v>
      </c>
      <c r="N331" s="12">
        <v>0</v>
      </c>
      <c r="O331" s="12">
        <v>1</v>
      </c>
      <c r="P331" s="13">
        <v>1</v>
      </c>
    </row>
    <row r="332" spans="1:16" x14ac:dyDescent="0.25">
      <c r="A332" s="6">
        <v>331</v>
      </c>
      <c r="B332" s="7">
        <v>40558</v>
      </c>
      <c r="C332" s="8">
        <v>6</v>
      </c>
      <c r="D332" s="8" t="b">
        <v>0</v>
      </c>
      <c r="E332" s="8" t="str">
        <f t="shared" si="15"/>
        <v>Working Day</v>
      </c>
      <c r="F332" s="8">
        <v>6</v>
      </c>
      <c r="G332" s="8" t="str">
        <f t="shared" si="16"/>
        <v>Sat</v>
      </c>
      <c r="H332" s="8">
        <v>1</v>
      </c>
      <c r="I332" s="8" t="str">
        <f t="shared" si="17"/>
        <v>mist/cloudy</v>
      </c>
      <c r="J332" s="8">
        <v>0.14000000000000001</v>
      </c>
      <c r="K332" s="8">
        <v>0.16669999999999999</v>
      </c>
      <c r="L332" s="8">
        <v>0.63</v>
      </c>
      <c r="M332" s="8">
        <v>0.1045</v>
      </c>
      <c r="N332" s="8">
        <v>1</v>
      </c>
      <c r="O332" s="8">
        <v>2</v>
      </c>
      <c r="P332" s="9">
        <v>3</v>
      </c>
    </row>
    <row r="333" spans="1:16" x14ac:dyDescent="0.25">
      <c r="A333" s="10">
        <v>332</v>
      </c>
      <c r="B333" s="11">
        <v>40558</v>
      </c>
      <c r="C333" s="12">
        <v>7</v>
      </c>
      <c r="D333" s="12" t="b">
        <v>0</v>
      </c>
      <c r="E333" s="12" t="str">
        <f t="shared" si="15"/>
        <v>Working Day</v>
      </c>
      <c r="F333" s="12">
        <v>6</v>
      </c>
      <c r="G333" s="12" t="str">
        <f t="shared" si="16"/>
        <v>Sat</v>
      </c>
      <c r="H333" s="12">
        <v>1</v>
      </c>
      <c r="I333" s="12" t="str">
        <f t="shared" si="17"/>
        <v>mist/cloudy</v>
      </c>
      <c r="J333" s="12">
        <v>0.14000000000000001</v>
      </c>
      <c r="K333" s="12">
        <v>0.21210000000000001</v>
      </c>
      <c r="L333" s="12">
        <v>0.63</v>
      </c>
      <c r="M333" s="12">
        <v>0</v>
      </c>
      <c r="N333" s="12">
        <v>1</v>
      </c>
      <c r="O333" s="12">
        <v>9</v>
      </c>
      <c r="P333" s="13">
        <v>10</v>
      </c>
    </row>
    <row r="334" spans="1:16" x14ac:dyDescent="0.25">
      <c r="A334" s="6">
        <v>333</v>
      </c>
      <c r="B334" s="7">
        <v>40558</v>
      </c>
      <c r="C334" s="8">
        <v>8</v>
      </c>
      <c r="D334" s="8" t="b">
        <v>0</v>
      </c>
      <c r="E334" s="8" t="str">
        <f t="shared" si="15"/>
        <v>Working Day</v>
      </c>
      <c r="F334" s="8">
        <v>6</v>
      </c>
      <c r="G334" s="8" t="str">
        <f t="shared" si="16"/>
        <v>Sat</v>
      </c>
      <c r="H334" s="8">
        <v>1</v>
      </c>
      <c r="I334" s="8" t="str">
        <f t="shared" si="17"/>
        <v>mist/cloudy</v>
      </c>
      <c r="J334" s="8">
        <v>0.14000000000000001</v>
      </c>
      <c r="K334" s="8">
        <v>0.1515</v>
      </c>
      <c r="L334" s="8">
        <v>0.63</v>
      </c>
      <c r="M334" s="8">
        <v>0.1343</v>
      </c>
      <c r="N334" s="8">
        <v>1</v>
      </c>
      <c r="O334" s="8">
        <v>22</v>
      </c>
      <c r="P334" s="9">
        <v>23</v>
      </c>
    </row>
    <row r="335" spans="1:16" x14ac:dyDescent="0.25">
      <c r="A335" s="10">
        <v>334</v>
      </c>
      <c r="B335" s="11">
        <v>40558</v>
      </c>
      <c r="C335" s="12">
        <v>9</v>
      </c>
      <c r="D335" s="12" t="b">
        <v>0</v>
      </c>
      <c r="E335" s="12" t="str">
        <f t="shared" si="15"/>
        <v>Working Day</v>
      </c>
      <c r="F335" s="12">
        <v>6</v>
      </c>
      <c r="G335" s="12" t="str">
        <f t="shared" si="16"/>
        <v>Sat</v>
      </c>
      <c r="H335" s="12">
        <v>1</v>
      </c>
      <c r="I335" s="12" t="str">
        <f t="shared" si="17"/>
        <v>mist/cloudy</v>
      </c>
      <c r="J335" s="12">
        <v>0.16</v>
      </c>
      <c r="K335" s="12">
        <v>0.18179999999999999</v>
      </c>
      <c r="L335" s="12">
        <v>0.64</v>
      </c>
      <c r="M335" s="12">
        <v>0.1343</v>
      </c>
      <c r="N335" s="12">
        <v>2</v>
      </c>
      <c r="O335" s="12">
        <v>31</v>
      </c>
      <c r="P335" s="13">
        <v>33</v>
      </c>
    </row>
    <row r="336" spans="1:16" x14ac:dyDescent="0.25">
      <c r="A336" s="6">
        <v>335</v>
      </c>
      <c r="B336" s="7">
        <v>40558</v>
      </c>
      <c r="C336" s="8">
        <v>10</v>
      </c>
      <c r="D336" s="8" t="b">
        <v>0</v>
      </c>
      <c r="E336" s="8" t="str">
        <f t="shared" si="15"/>
        <v>Working Day</v>
      </c>
      <c r="F336" s="8">
        <v>6</v>
      </c>
      <c r="G336" s="8" t="str">
        <f t="shared" si="16"/>
        <v>Sat</v>
      </c>
      <c r="H336" s="8">
        <v>1</v>
      </c>
      <c r="I336" s="8" t="str">
        <f t="shared" si="17"/>
        <v>mist/cloudy</v>
      </c>
      <c r="J336" s="8">
        <v>0.18</v>
      </c>
      <c r="K336" s="8">
        <v>0.19700000000000001</v>
      </c>
      <c r="L336" s="8">
        <v>0.59</v>
      </c>
      <c r="M336" s="8">
        <v>0.16420000000000001</v>
      </c>
      <c r="N336" s="8">
        <v>2</v>
      </c>
      <c r="O336" s="8">
        <v>57</v>
      </c>
      <c r="P336" s="9">
        <v>59</v>
      </c>
    </row>
    <row r="337" spans="1:16" x14ac:dyDescent="0.25">
      <c r="A337" s="10">
        <v>336</v>
      </c>
      <c r="B337" s="11">
        <v>40558</v>
      </c>
      <c r="C337" s="12">
        <v>11</v>
      </c>
      <c r="D337" s="12" t="b">
        <v>0</v>
      </c>
      <c r="E337" s="12" t="str">
        <f t="shared" si="15"/>
        <v>Working Day</v>
      </c>
      <c r="F337" s="12">
        <v>6</v>
      </c>
      <c r="G337" s="12" t="str">
        <f t="shared" si="16"/>
        <v>Sat</v>
      </c>
      <c r="H337" s="12">
        <v>1</v>
      </c>
      <c r="I337" s="12" t="str">
        <f t="shared" si="17"/>
        <v>mist/cloudy</v>
      </c>
      <c r="J337" s="12">
        <v>0.2</v>
      </c>
      <c r="K337" s="12">
        <v>0.19700000000000001</v>
      </c>
      <c r="L337" s="12">
        <v>0.55000000000000004</v>
      </c>
      <c r="M337" s="12">
        <v>0.22389999999999999</v>
      </c>
      <c r="N337" s="12">
        <v>18</v>
      </c>
      <c r="O337" s="12">
        <v>54</v>
      </c>
      <c r="P337" s="13">
        <v>72</v>
      </c>
    </row>
    <row r="338" spans="1:16" x14ac:dyDescent="0.25">
      <c r="A338" s="6">
        <v>337</v>
      </c>
      <c r="B338" s="7">
        <v>40558</v>
      </c>
      <c r="C338" s="8">
        <v>12</v>
      </c>
      <c r="D338" s="8" t="b">
        <v>0</v>
      </c>
      <c r="E338" s="8" t="str">
        <f t="shared" si="15"/>
        <v>Working Day</v>
      </c>
      <c r="F338" s="8">
        <v>6</v>
      </c>
      <c r="G338" s="8" t="str">
        <f t="shared" si="16"/>
        <v>Sat</v>
      </c>
      <c r="H338" s="8">
        <v>1</v>
      </c>
      <c r="I338" s="8" t="str">
        <f t="shared" si="17"/>
        <v>mist/cloudy</v>
      </c>
      <c r="J338" s="8">
        <v>0.24</v>
      </c>
      <c r="K338" s="8">
        <v>0.2273</v>
      </c>
      <c r="L338" s="8">
        <v>0.48</v>
      </c>
      <c r="M338" s="8">
        <v>0.22389999999999999</v>
      </c>
      <c r="N338" s="8">
        <v>15</v>
      </c>
      <c r="O338" s="8">
        <v>74</v>
      </c>
      <c r="P338" s="9">
        <v>89</v>
      </c>
    </row>
    <row r="339" spans="1:16" x14ac:dyDescent="0.25">
      <c r="A339" s="10">
        <v>338</v>
      </c>
      <c r="B339" s="11">
        <v>40558</v>
      </c>
      <c r="C339" s="12">
        <v>13</v>
      </c>
      <c r="D339" s="12" t="b">
        <v>0</v>
      </c>
      <c r="E339" s="12" t="str">
        <f t="shared" si="15"/>
        <v>Working Day</v>
      </c>
      <c r="F339" s="12">
        <v>6</v>
      </c>
      <c r="G339" s="12" t="str">
        <f t="shared" si="16"/>
        <v>Sat</v>
      </c>
      <c r="H339" s="12">
        <v>1</v>
      </c>
      <c r="I339" s="12" t="str">
        <f t="shared" si="17"/>
        <v>mist/cloudy</v>
      </c>
      <c r="J339" s="12">
        <v>0.28000000000000003</v>
      </c>
      <c r="K339" s="12">
        <v>0.2576</v>
      </c>
      <c r="L339" s="12">
        <v>0.38</v>
      </c>
      <c r="M339" s="12">
        <v>0.29849999999999999</v>
      </c>
      <c r="N339" s="12">
        <v>21</v>
      </c>
      <c r="O339" s="12">
        <v>80</v>
      </c>
      <c r="P339" s="13">
        <v>101</v>
      </c>
    </row>
    <row r="340" spans="1:16" x14ac:dyDescent="0.25">
      <c r="A340" s="6">
        <v>339</v>
      </c>
      <c r="B340" s="7">
        <v>40558</v>
      </c>
      <c r="C340" s="8">
        <v>14</v>
      </c>
      <c r="D340" s="8" t="b">
        <v>0</v>
      </c>
      <c r="E340" s="8" t="str">
        <f t="shared" si="15"/>
        <v>Working Day</v>
      </c>
      <c r="F340" s="8">
        <v>6</v>
      </c>
      <c r="G340" s="8" t="str">
        <f t="shared" si="16"/>
        <v>Sat</v>
      </c>
      <c r="H340" s="8">
        <v>1</v>
      </c>
      <c r="I340" s="8" t="str">
        <f t="shared" si="17"/>
        <v>mist/cloudy</v>
      </c>
      <c r="J340" s="8">
        <v>0.3</v>
      </c>
      <c r="K340" s="8">
        <v>0.28789999999999999</v>
      </c>
      <c r="L340" s="8">
        <v>0.39</v>
      </c>
      <c r="M340" s="8">
        <v>0.28360000000000002</v>
      </c>
      <c r="N340" s="8">
        <v>26</v>
      </c>
      <c r="O340" s="8">
        <v>92</v>
      </c>
      <c r="P340" s="9">
        <v>118</v>
      </c>
    </row>
    <row r="341" spans="1:16" x14ac:dyDescent="0.25">
      <c r="A341" s="10">
        <v>340</v>
      </c>
      <c r="B341" s="11">
        <v>40558</v>
      </c>
      <c r="C341" s="12">
        <v>15</v>
      </c>
      <c r="D341" s="12" t="b">
        <v>0</v>
      </c>
      <c r="E341" s="12" t="str">
        <f t="shared" si="15"/>
        <v>Working Day</v>
      </c>
      <c r="F341" s="12">
        <v>6</v>
      </c>
      <c r="G341" s="12" t="str">
        <f t="shared" si="16"/>
        <v>Sat</v>
      </c>
      <c r="H341" s="12">
        <v>2</v>
      </c>
      <c r="I341" s="12" t="str">
        <f t="shared" si="17"/>
        <v>light rain</v>
      </c>
      <c r="J341" s="12">
        <v>0.32</v>
      </c>
      <c r="K341" s="12">
        <v>0.31819999999999998</v>
      </c>
      <c r="L341" s="12">
        <v>0.36</v>
      </c>
      <c r="M341" s="12">
        <v>0.19400000000000001</v>
      </c>
      <c r="N341" s="12">
        <v>21</v>
      </c>
      <c r="O341" s="12">
        <v>108</v>
      </c>
      <c r="P341" s="13">
        <v>129</v>
      </c>
    </row>
    <row r="342" spans="1:16" x14ac:dyDescent="0.25">
      <c r="A342" s="6">
        <v>341</v>
      </c>
      <c r="B342" s="7">
        <v>40558</v>
      </c>
      <c r="C342" s="8">
        <v>16</v>
      </c>
      <c r="D342" s="8" t="b">
        <v>0</v>
      </c>
      <c r="E342" s="8" t="str">
        <f t="shared" si="15"/>
        <v>Working Day</v>
      </c>
      <c r="F342" s="8">
        <v>6</v>
      </c>
      <c r="G342" s="8" t="str">
        <f t="shared" si="16"/>
        <v>Sat</v>
      </c>
      <c r="H342" s="8">
        <v>2</v>
      </c>
      <c r="I342" s="8" t="str">
        <f t="shared" si="17"/>
        <v>light rain</v>
      </c>
      <c r="J342" s="8">
        <v>0.34</v>
      </c>
      <c r="K342" s="8">
        <v>0.33329999999999999</v>
      </c>
      <c r="L342" s="8">
        <v>0.34</v>
      </c>
      <c r="M342" s="8">
        <v>0.19400000000000001</v>
      </c>
      <c r="N342" s="8">
        <v>33</v>
      </c>
      <c r="O342" s="8">
        <v>95</v>
      </c>
      <c r="P342" s="9">
        <v>128</v>
      </c>
    </row>
    <row r="343" spans="1:16" x14ac:dyDescent="0.25">
      <c r="A343" s="10">
        <v>342</v>
      </c>
      <c r="B343" s="11">
        <v>40558</v>
      </c>
      <c r="C343" s="12">
        <v>17</v>
      </c>
      <c r="D343" s="12" t="b">
        <v>0</v>
      </c>
      <c r="E343" s="12" t="str">
        <f t="shared" si="15"/>
        <v>Working Day</v>
      </c>
      <c r="F343" s="12">
        <v>6</v>
      </c>
      <c r="G343" s="12" t="str">
        <f t="shared" si="16"/>
        <v>Sat</v>
      </c>
      <c r="H343" s="12">
        <v>2</v>
      </c>
      <c r="I343" s="12" t="str">
        <f t="shared" si="17"/>
        <v>light rain</v>
      </c>
      <c r="J343" s="12">
        <v>0.32</v>
      </c>
      <c r="K343" s="12">
        <v>0.30299999999999999</v>
      </c>
      <c r="L343" s="12">
        <v>0.36</v>
      </c>
      <c r="M343" s="12">
        <v>0.28360000000000002</v>
      </c>
      <c r="N343" s="12">
        <v>29</v>
      </c>
      <c r="O343" s="12">
        <v>54</v>
      </c>
      <c r="P343" s="13">
        <v>83</v>
      </c>
    </row>
    <row r="344" spans="1:16" x14ac:dyDescent="0.25">
      <c r="A344" s="6">
        <v>343</v>
      </c>
      <c r="B344" s="7">
        <v>40558</v>
      </c>
      <c r="C344" s="8">
        <v>18</v>
      </c>
      <c r="D344" s="8" t="b">
        <v>0</v>
      </c>
      <c r="E344" s="8" t="str">
        <f t="shared" si="15"/>
        <v>Working Day</v>
      </c>
      <c r="F344" s="8">
        <v>6</v>
      </c>
      <c r="G344" s="8" t="str">
        <f t="shared" si="16"/>
        <v>Sat</v>
      </c>
      <c r="H344" s="8">
        <v>2</v>
      </c>
      <c r="I344" s="8" t="str">
        <f t="shared" si="17"/>
        <v>light rain</v>
      </c>
      <c r="J344" s="8">
        <v>0.3</v>
      </c>
      <c r="K344" s="8">
        <v>0.28789999999999999</v>
      </c>
      <c r="L344" s="8">
        <v>0.45</v>
      </c>
      <c r="M344" s="8">
        <v>0.25369999999999998</v>
      </c>
      <c r="N344" s="8">
        <v>15</v>
      </c>
      <c r="O344" s="8">
        <v>69</v>
      </c>
      <c r="P344" s="9">
        <v>84</v>
      </c>
    </row>
    <row r="345" spans="1:16" x14ac:dyDescent="0.25">
      <c r="A345" s="10">
        <v>344</v>
      </c>
      <c r="B345" s="11">
        <v>40558</v>
      </c>
      <c r="C345" s="12">
        <v>19</v>
      </c>
      <c r="D345" s="12" t="b">
        <v>0</v>
      </c>
      <c r="E345" s="12" t="str">
        <f t="shared" si="15"/>
        <v>Working Day</v>
      </c>
      <c r="F345" s="12">
        <v>6</v>
      </c>
      <c r="G345" s="12" t="str">
        <f t="shared" si="16"/>
        <v>Sat</v>
      </c>
      <c r="H345" s="12">
        <v>2</v>
      </c>
      <c r="I345" s="12" t="str">
        <f t="shared" si="17"/>
        <v>light rain</v>
      </c>
      <c r="J345" s="12">
        <v>0.32</v>
      </c>
      <c r="K345" s="12">
        <v>0.30299999999999999</v>
      </c>
      <c r="L345" s="12">
        <v>0.39</v>
      </c>
      <c r="M345" s="12">
        <v>0.25369999999999998</v>
      </c>
      <c r="N345" s="12">
        <v>14</v>
      </c>
      <c r="O345" s="12">
        <v>60</v>
      </c>
      <c r="P345" s="13">
        <v>74</v>
      </c>
    </row>
    <row r="346" spans="1:16" x14ac:dyDescent="0.25">
      <c r="A346" s="6">
        <v>345</v>
      </c>
      <c r="B346" s="7">
        <v>40558</v>
      </c>
      <c r="C346" s="8">
        <v>20</v>
      </c>
      <c r="D346" s="8" t="b">
        <v>0</v>
      </c>
      <c r="E346" s="8" t="str">
        <f t="shared" si="15"/>
        <v>Working Day</v>
      </c>
      <c r="F346" s="8">
        <v>6</v>
      </c>
      <c r="G346" s="8" t="str">
        <f t="shared" si="16"/>
        <v>Sat</v>
      </c>
      <c r="H346" s="8">
        <v>2</v>
      </c>
      <c r="I346" s="8" t="str">
        <f t="shared" si="17"/>
        <v>light rain</v>
      </c>
      <c r="J346" s="8">
        <v>0.32</v>
      </c>
      <c r="K346" s="8">
        <v>0.30299999999999999</v>
      </c>
      <c r="L346" s="8">
        <v>0.39</v>
      </c>
      <c r="M346" s="8">
        <v>0.25369999999999998</v>
      </c>
      <c r="N346" s="8">
        <v>6</v>
      </c>
      <c r="O346" s="8">
        <v>35</v>
      </c>
      <c r="P346" s="9">
        <v>41</v>
      </c>
    </row>
    <row r="347" spans="1:16" x14ac:dyDescent="0.25">
      <c r="A347" s="10">
        <v>346</v>
      </c>
      <c r="B347" s="11">
        <v>40558</v>
      </c>
      <c r="C347" s="12">
        <v>21</v>
      </c>
      <c r="D347" s="12" t="b">
        <v>0</v>
      </c>
      <c r="E347" s="12" t="str">
        <f t="shared" si="15"/>
        <v>Working Day</v>
      </c>
      <c r="F347" s="12">
        <v>6</v>
      </c>
      <c r="G347" s="12" t="str">
        <f t="shared" si="16"/>
        <v>Sat</v>
      </c>
      <c r="H347" s="12">
        <v>2</v>
      </c>
      <c r="I347" s="12" t="str">
        <f t="shared" si="17"/>
        <v>light rain</v>
      </c>
      <c r="J347" s="12">
        <v>0.32</v>
      </c>
      <c r="K347" s="12">
        <v>0.30299999999999999</v>
      </c>
      <c r="L347" s="12">
        <v>0.39</v>
      </c>
      <c r="M347" s="12">
        <v>0.22389999999999999</v>
      </c>
      <c r="N347" s="12">
        <v>6</v>
      </c>
      <c r="O347" s="12">
        <v>51</v>
      </c>
      <c r="P347" s="13">
        <v>57</v>
      </c>
    </row>
    <row r="348" spans="1:16" x14ac:dyDescent="0.25">
      <c r="A348" s="6">
        <v>347</v>
      </c>
      <c r="B348" s="7">
        <v>40558</v>
      </c>
      <c r="C348" s="8">
        <v>22</v>
      </c>
      <c r="D348" s="8" t="b">
        <v>0</v>
      </c>
      <c r="E348" s="8" t="str">
        <f t="shared" si="15"/>
        <v>Working Day</v>
      </c>
      <c r="F348" s="8">
        <v>6</v>
      </c>
      <c r="G348" s="8" t="str">
        <f t="shared" si="16"/>
        <v>Sat</v>
      </c>
      <c r="H348" s="8">
        <v>2</v>
      </c>
      <c r="I348" s="8" t="str">
        <f t="shared" si="17"/>
        <v>light rain</v>
      </c>
      <c r="J348" s="8">
        <v>0.3</v>
      </c>
      <c r="K348" s="8">
        <v>0.31819999999999998</v>
      </c>
      <c r="L348" s="8">
        <v>0.42</v>
      </c>
      <c r="M348" s="8">
        <v>0.1045</v>
      </c>
      <c r="N348" s="8">
        <v>0</v>
      </c>
      <c r="O348" s="8">
        <v>26</v>
      </c>
      <c r="P348" s="9">
        <v>26</v>
      </c>
    </row>
    <row r="349" spans="1:16" x14ac:dyDescent="0.25">
      <c r="A349" s="10">
        <v>348</v>
      </c>
      <c r="B349" s="11">
        <v>40558</v>
      </c>
      <c r="C349" s="12">
        <v>23</v>
      </c>
      <c r="D349" s="12" t="b">
        <v>0</v>
      </c>
      <c r="E349" s="12" t="str">
        <f t="shared" si="15"/>
        <v>Working Day</v>
      </c>
      <c r="F349" s="12">
        <v>6</v>
      </c>
      <c r="G349" s="12" t="str">
        <f t="shared" si="16"/>
        <v>Sat</v>
      </c>
      <c r="H349" s="12">
        <v>1</v>
      </c>
      <c r="I349" s="12" t="str">
        <f t="shared" si="17"/>
        <v>mist/cloudy</v>
      </c>
      <c r="J349" s="12">
        <v>0.3</v>
      </c>
      <c r="K349" s="12">
        <v>0.28789999999999999</v>
      </c>
      <c r="L349" s="12">
        <v>0.45</v>
      </c>
      <c r="M349" s="12">
        <v>0.28360000000000002</v>
      </c>
      <c r="N349" s="12">
        <v>5</v>
      </c>
      <c r="O349" s="12">
        <v>39</v>
      </c>
      <c r="P349" s="13">
        <v>44</v>
      </c>
    </row>
    <row r="350" spans="1:16" x14ac:dyDescent="0.25">
      <c r="A350" s="6">
        <v>349</v>
      </c>
      <c r="B350" s="7">
        <v>40559</v>
      </c>
      <c r="C350" s="8">
        <v>0</v>
      </c>
      <c r="D350" s="8" t="b">
        <v>0</v>
      </c>
      <c r="E350" s="8" t="str">
        <f t="shared" si="15"/>
        <v>Working Day</v>
      </c>
      <c r="F350" s="8">
        <v>0</v>
      </c>
      <c r="G350" s="8" t="str">
        <f t="shared" si="16"/>
        <v>Sun</v>
      </c>
      <c r="H350" s="8">
        <v>1</v>
      </c>
      <c r="I350" s="8" t="str">
        <f t="shared" si="17"/>
        <v>mist/cloudy</v>
      </c>
      <c r="J350" s="8">
        <v>0.26</v>
      </c>
      <c r="K350" s="8">
        <v>0.30299999999999999</v>
      </c>
      <c r="L350" s="8">
        <v>0.56000000000000005</v>
      </c>
      <c r="M350" s="8">
        <v>0</v>
      </c>
      <c r="N350" s="8">
        <v>6</v>
      </c>
      <c r="O350" s="8">
        <v>33</v>
      </c>
      <c r="P350" s="9">
        <v>39</v>
      </c>
    </row>
    <row r="351" spans="1:16" x14ac:dyDescent="0.25">
      <c r="A351" s="10">
        <v>350</v>
      </c>
      <c r="B351" s="11">
        <v>40559</v>
      </c>
      <c r="C351" s="12">
        <v>1</v>
      </c>
      <c r="D351" s="12" t="b">
        <v>0</v>
      </c>
      <c r="E351" s="12" t="str">
        <f t="shared" si="15"/>
        <v>Working Day</v>
      </c>
      <c r="F351" s="12">
        <v>0</v>
      </c>
      <c r="G351" s="12" t="str">
        <f t="shared" si="16"/>
        <v>Sun</v>
      </c>
      <c r="H351" s="12">
        <v>1</v>
      </c>
      <c r="I351" s="12" t="str">
        <f t="shared" si="17"/>
        <v>mist/cloudy</v>
      </c>
      <c r="J351" s="12">
        <v>0.26</v>
      </c>
      <c r="K351" s="12">
        <v>0.2727</v>
      </c>
      <c r="L351" s="12">
        <v>0.56000000000000005</v>
      </c>
      <c r="M351" s="12">
        <v>0.1343</v>
      </c>
      <c r="N351" s="12">
        <v>4</v>
      </c>
      <c r="O351" s="12">
        <v>19</v>
      </c>
      <c r="P351" s="13">
        <v>23</v>
      </c>
    </row>
    <row r="352" spans="1:16" x14ac:dyDescent="0.25">
      <c r="A352" s="6">
        <v>351</v>
      </c>
      <c r="B352" s="7">
        <v>40559</v>
      </c>
      <c r="C352" s="8">
        <v>2</v>
      </c>
      <c r="D352" s="8" t="b">
        <v>0</v>
      </c>
      <c r="E352" s="8" t="str">
        <f t="shared" si="15"/>
        <v>Working Day</v>
      </c>
      <c r="F352" s="8">
        <v>0</v>
      </c>
      <c r="G352" s="8" t="str">
        <f t="shared" si="16"/>
        <v>Sun</v>
      </c>
      <c r="H352" s="8">
        <v>1</v>
      </c>
      <c r="I352" s="8" t="str">
        <f t="shared" si="17"/>
        <v>mist/cloudy</v>
      </c>
      <c r="J352" s="8">
        <v>0.26</v>
      </c>
      <c r="K352" s="8">
        <v>0.28789999999999999</v>
      </c>
      <c r="L352" s="8">
        <v>0.56000000000000005</v>
      </c>
      <c r="M352" s="8">
        <v>8.9599999999999999E-2</v>
      </c>
      <c r="N352" s="8">
        <v>3</v>
      </c>
      <c r="O352" s="8">
        <v>13</v>
      </c>
      <c r="P352" s="9">
        <v>16</v>
      </c>
    </row>
    <row r="353" spans="1:16" x14ac:dyDescent="0.25">
      <c r="A353" s="10">
        <v>352</v>
      </c>
      <c r="B353" s="11">
        <v>40559</v>
      </c>
      <c r="C353" s="12">
        <v>3</v>
      </c>
      <c r="D353" s="12" t="b">
        <v>0</v>
      </c>
      <c r="E353" s="12" t="str">
        <f t="shared" si="15"/>
        <v>Working Day</v>
      </c>
      <c r="F353" s="12">
        <v>0</v>
      </c>
      <c r="G353" s="12" t="str">
        <f t="shared" si="16"/>
        <v>Sun</v>
      </c>
      <c r="H353" s="12">
        <v>1</v>
      </c>
      <c r="I353" s="12" t="str">
        <f t="shared" si="17"/>
        <v>mist/cloudy</v>
      </c>
      <c r="J353" s="12">
        <v>0.22</v>
      </c>
      <c r="K353" s="12">
        <v>0.2727</v>
      </c>
      <c r="L353" s="12">
        <v>0.69</v>
      </c>
      <c r="M353" s="12">
        <v>0</v>
      </c>
      <c r="N353" s="12">
        <v>9</v>
      </c>
      <c r="O353" s="12">
        <v>6</v>
      </c>
      <c r="P353" s="13">
        <v>15</v>
      </c>
    </row>
    <row r="354" spans="1:16" x14ac:dyDescent="0.25">
      <c r="A354" s="6">
        <v>353</v>
      </c>
      <c r="B354" s="7">
        <v>40559</v>
      </c>
      <c r="C354" s="8">
        <v>4</v>
      </c>
      <c r="D354" s="8" t="b">
        <v>0</v>
      </c>
      <c r="E354" s="8" t="str">
        <f t="shared" si="15"/>
        <v>Working Day</v>
      </c>
      <c r="F354" s="8">
        <v>0</v>
      </c>
      <c r="G354" s="8" t="str">
        <f t="shared" si="16"/>
        <v>Sun</v>
      </c>
      <c r="H354" s="8">
        <v>1</v>
      </c>
      <c r="I354" s="8" t="str">
        <f t="shared" si="17"/>
        <v>mist/cloudy</v>
      </c>
      <c r="J354" s="8">
        <v>0.26</v>
      </c>
      <c r="K354" s="8">
        <v>0.2576</v>
      </c>
      <c r="L354" s="8">
        <v>0.56000000000000005</v>
      </c>
      <c r="M354" s="8">
        <v>0.16420000000000001</v>
      </c>
      <c r="N354" s="8">
        <v>0</v>
      </c>
      <c r="O354" s="8">
        <v>1</v>
      </c>
      <c r="P354" s="9">
        <v>1</v>
      </c>
    </row>
    <row r="355" spans="1:16" x14ac:dyDescent="0.25">
      <c r="A355" s="10">
        <v>354</v>
      </c>
      <c r="B355" s="11">
        <v>40559</v>
      </c>
      <c r="C355" s="12">
        <v>5</v>
      </c>
      <c r="D355" s="12" t="b">
        <v>0</v>
      </c>
      <c r="E355" s="12" t="str">
        <f t="shared" si="15"/>
        <v>Working Day</v>
      </c>
      <c r="F355" s="12">
        <v>0</v>
      </c>
      <c r="G355" s="12" t="str">
        <f t="shared" si="16"/>
        <v>Sun</v>
      </c>
      <c r="H355" s="12">
        <v>2</v>
      </c>
      <c r="I355" s="12" t="str">
        <f t="shared" si="17"/>
        <v>light rain</v>
      </c>
      <c r="J355" s="12">
        <v>0.26</v>
      </c>
      <c r="K355" s="12">
        <v>0.2576</v>
      </c>
      <c r="L355" s="12">
        <v>0.56000000000000005</v>
      </c>
      <c r="M355" s="12">
        <v>0.16420000000000001</v>
      </c>
      <c r="N355" s="12">
        <v>1</v>
      </c>
      <c r="O355" s="12">
        <v>1</v>
      </c>
      <c r="P355" s="13">
        <v>2</v>
      </c>
    </row>
    <row r="356" spans="1:16" x14ac:dyDescent="0.25">
      <c r="A356" s="6">
        <v>355</v>
      </c>
      <c r="B356" s="7">
        <v>40559</v>
      </c>
      <c r="C356" s="8">
        <v>6</v>
      </c>
      <c r="D356" s="8" t="b">
        <v>0</v>
      </c>
      <c r="E356" s="8" t="str">
        <f t="shared" si="15"/>
        <v>Working Day</v>
      </c>
      <c r="F356" s="8">
        <v>0</v>
      </c>
      <c r="G356" s="8" t="str">
        <f t="shared" si="16"/>
        <v>Sun</v>
      </c>
      <c r="H356" s="8">
        <v>2</v>
      </c>
      <c r="I356" s="8" t="str">
        <f t="shared" si="17"/>
        <v>light rain</v>
      </c>
      <c r="J356" s="8">
        <v>0.26</v>
      </c>
      <c r="K356" s="8">
        <v>0.2576</v>
      </c>
      <c r="L356" s="8">
        <v>0.56000000000000005</v>
      </c>
      <c r="M356" s="8">
        <v>0.16420000000000001</v>
      </c>
      <c r="N356" s="8">
        <v>0</v>
      </c>
      <c r="O356" s="8">
        <v>1</v>
      </c>
      <c r="P356" s="9">
        <v>1</v>
      </c>
    </row>
    <row r="357" spans="1:16" x14ac:dyDescent="0.25">
      <c r="A357" s="10">
        <v>356</v>
      </c>
      <c r="B357" s="11">
        <v>40559</v>
      </c>
      <c r="C357" s="12">
        <v>7</v>
      </c>
      <c r="D357" s="12" t="b">
        <v>0</v>
      </c>
      <c r="E357" s="12" t="str">
        <f t="shared" si="15"/>
        <v>Working Day</v>
      </c>
      <c r="F357" s="12">
        <v>0</v>
      </c>
      <c r="G357" s="12" t="str">
        <f t="shared" si="16"/>
        <v>Sun</v>
      </c>
      <c r="H357" s="12">
        <v>2</v>
      </c>
      <c r="I357" s="12" t="str">
        <f t="shared" si="17"/>
        <v>light rain</v>
      </c>
      <c r="J357" s="12">
        <v>0.24</v>
      </c>
      <c r="K357" s="12">
        <v>0.21210000000000001</v>
      </c>
      <c r="L357" s="12">
        <v>0.56000000000000005</v>
      </c>
      <c r="M357" s="12">
        <v>0.29849999999999999</v>
      </c>
      <c r="N357" s="12">
        <v>0</v>
      </c>
      <c r="O357" s="12">
        <v>3</v>
      </c>
      <c r="P357" s="13">
        <v>3</v>
      </c>
    </row>
    <row r="358" spans="1:16" x14ac:dyDescent="0.25">
      <c r="A358" s="6">
        <v>357</v>
      </c>
      <c r="B358" s="7">
        <v>40559</v>
      </c>
      <c r="C358" s="8">
        <v>8</v>
      </c>
      <c r="D358" s="8" t="b">
        <v>0</v>
      </c>
      <c r="E358" s="8" t="str">
        <f t="shared" si="15"/>
        <v>Working Day</v>
      </c>
      <c r="F358" s="8">
        <v>0</v>
      </c>
      <c r="G358" s="8" t="str">
        <f t="shared" si="16"/>
        <v>Sun</v>
      </c>
      <c r="H358" s="8">
        <v>1</v>
      </c>
      <c r="I358" s="8" t="str">
        <f t="shared" si="17"/>
        <v>mist/cloudy</v>
      </c>
      <c r="J358" s="8">
        <v>0.22</v>
      </c>
      <c r="K358" s="8">
        <v>0.21210000000000001</v>
      </c>
      <c r="L358" s="8">
        <v>0.55000000000000004</v>
      </c>
      <c r="M358" s="8">
        <v>0.28360000000000002</v>
      </c>
      <c r="N358" s="8">
        <v>0</v>
      </c>
      <c r="O358" s="8">
        <v>18</v>
      </c>
      <c r="P358" s="9">
        <v>18</v>
      </c>
    </row>
    <row r="359" spans="1:16" x14ac:dyDescent="0.25">
      <c r="A359" s="10">
        <v>358</v>
      </c>
      <c r="B359" s="11">
        <v>40559</v>
      </c>
      <c r="C359" s="12">
        <v>9</v>
      </c>
      <c r="D359" s="12" t="b">
        <v>0</v>
      </c>
      <c r="E359" s="12" t="str">
        <f t="shared" si="15"/>
        <v>Working Day</v>
      </c>
      <c r="F359" s="12">
        <v>0</v>
      </c>
      <c r="G359" s="12" t="str">
        <f t="shared" si="16"/>
        <v>Sun</v>
      </c>
      <c r="H359" s="12">
        <v>1</v>
      </c>
      <c r="I359" s="12" t="str">
        <f t="shared" si="17"/>
        <v>mist/cloudy</v>
      </c>
      <c r="J359" s="12">
        <v>0.22</v>
      </c>
      <c r="K359" s="12">
        <v>0.21210000000000001</v>
      </c>
      <c r="L359" s="12">
        <v>0.51</v>
      </c>
      <c r="M359" s="12">
        <v>0.25369999999999998</v>
      </c>
      <c r="N359" s="12">
        <v>3</v>
      </c>
      <c r="O359" s="12">
        <v>29</v>
      </c>
      <c r="P359" s="13">
        <v>32</v>
      </c>
    </row>
    <row r="360" spans="1:16" x14ac:dyDescent="0.25">
      <c r="A360" s="6">
        <v>359</v>
      </c>
      <c r="B360" s="7">
        <v>40559</v>
      </c>
      <c r="C360" s="8">
        <v>10</v>
      </c>
      <c r="D360" s="8" t="b">
        <v>0</v>
      </c>
      <c r="E360" s="8" t="str">
        <f t="shared" si="15"/>
        <v>Working Day</v>
      </c>
      <c r="F360" s="8">
        <v>0</v>
      </c>
      <c r="G360" s="8" t="str">
        <f t="shared" si="16"/>
        <v>Sun</v>
      </c>
      <c r="H360" s="8">
        <v>1</v>
      </c>
      <c r="I360" s="8" t="str">
        <f t="shared" si="17"/>
        <v>mist/cloudy</v>
      </c>
      <c r="J360" s="8">
        <v>0.22</v>
      </c>
      <c r="K360" s="8">
        <v>0.21210000000000001</v>
      </c>
      <c r="L360" s="8">
        <v>0.51</v>
      </c>
      <c r="M360" s="8">
        <v>0.28360000000000002</v>
      </c>
      <c r="N360" s="8">
        <v>8</v>
      </c>
      <c r="O360" s="8">
        <v>71</v>
      </c>
      <c r="P360" s="9">
        <v>79</v>
      </c>
    </row>
    <row r="361" spans="1:16" x14ac:dyDescent="0.25">
      <c r="A361" s="10">
        <v>360</v>
      </c>
      <c r="B361" s="11">
        <v>40559</v>
      </c>
      <c r="C361" s="12">
        <v>11</v>
      </c>
      <c r="D361" s="12" t="b">
        <v>0</v>
      </c>
      <c r="E361" s="12" t="str">
        <f t="shared" si="15"/>
        <v>Working Day</v>
      </c>
      <c r="F361" s="12">
        <v>0</v>
      </c>
      <c r="G361" s="12" t="str">
        <f t="shared" si="16"/>
        <v>Sun</v>
      </c>
      <c r="H361" s="12">
        <v>1</v>
      </c>
      <c r="I361" s="12" t="str">
        <f t="shared" si="17"/>
        <v>mist/cloudy</v>
      </c>
      <c r="J361" s="12">
        <v>0.24</v>
      </c>
      <c r="K361" s="12">
        <v>0.2273</v>
      </c>
      <c r="L361" s="12">
        <v>0.44</v>
      </c>
      <c r="M361" s="12">
        <v>0.25369999999999998</v>
      </c>
      <c r="N361" s="12">
        <v>23</v>
      </c>
      <c r="O361" s="12">
        <v>70</v>
      </c>
      <c r="P361" s="13">
        <v>93</v>
      </c>
    </row>
    <row r="362" spans="1:16" x14ac:dyDescent="0.25">
      <c r="A362" s="6">
        <v>361</v>
      </c>
      <c r="B362" s="7">
        <v>40559</v>
      </c>
      <c r="C362" s="8">
        <v>12</v>
      </c>
      <c r="D362" s="8" t="b">
        <v>0</v>
      </c>
      <c r="E362" s="8" t="str">
        <f t="shared" si="15"/>
        <v>Working Day</v>
      </c>
      <c r="F362" s="8">
        <v>0</v>
      </c>
      <c r="G362" s="8" t="str">
        <f t="shared" si="16"/>
        <v>Sun</v>
      </c>
      <c r="H362" s="8">
        <v>1</v>
      </c>
      <c r="I362" s="8" t="str">
        <f t="shared" si="17"/>
        <v>mist/cloudy</v>
      </c>
      <c r="J362" s="8">
        <v>0.24</v>
      </c>
      <c r="K362" s="8">
        <v>0.21210000000000001</v>
      </c>
      <c r="L362" s="8">
        <v>0.41</v>
      </c>
      <c r="M362" s="8">
        <v>0.28360000000000002</v>
      </c>
      <c r="N362" s="8">
        <v>29</v>
      </c>
      <c r="O362" s="8">
        <v>75</v>
      </c>
      <c r="P362" s="9">
        <v>104</v>
      </c>
    </row>
    <row r="363" spans="1:16" x14ac:dyDescent="0.25">
      <c r="A363" s="10">
        <v>362</v>
      </c>
      <c r="B363" s="11">
        <v>40559</v>
      </c>
      <c r="C363" s="12">
        <v>13</v>
      </c>
      <c r="D363" s="12" t="b">
        <v>0</v>
      </c>
      <c r="E363" s="12" t="str">
        <f t="shared" si="15"/>
        <v>Working Day</v>
      </c>
      <c r="F363" s="12">
        <v>0</v>
      </c>
      <c r="G363" s="12" t="str">
        <f t="shared" si="16"/>
        <v>Sun</v>
      </c>
      <c r="H363" s="12">
        <v>1</v>
      </c>
      <c r="I363" s="12" t="str">
        <f t="shared" si="17"/>
        <v>mist/cloudy</v>
      </c>
      <c r="J363" s="12">
        <v>0.26</v>
      </c>
      <c r="K363" s="12">
        <v>0.2273</v>
      </c>
      <c r="L363" s="12">
        <v>0.35</v>
      </c>
      <c r="M363" s="12">
        <v>0.29849999999999999</v>
      </c>
      <c r="N363" s="12">
        <v>23</v>
      </c>
      <c r="O363" s="12">
        <v>95</v>
      </c>
      <c r="P363" s="13">
        <v>118</v>
      </c>
    </row>
    <row r="364" spans="1:16" x14ac:dyDescent="0.25">
      <c r="A364" s="6">
        <v>363</v>
      </c>
      <c r="B364" s="7">
        <v>40559</v>
      </c>
      <c r="C364" s="8">
        <v>14</v>
      </c>
      <c r="D364" s="8" t="b">
        <v>0</v>
      </c>
      <c r="E364" s="8" t="str">
        <f t="shared" si="15"/>
        <v>Working Day</v>
      </c>
      <c r="F364" s="8">
        <v>0</v>
      </c>
      <c r="G364" s="8" t="str">
        <f t="shared" si="16"/>
        <v>Sun</v>
      </c>
      <c r="H364" s="8">
        <v>1</v>
      </c>
      <c r="I364" s="8" t="str">
        <f t="shared" si="17"/>
        <v>mist/cloudy</v>
      </c>
      <c r="J364" s="8">
        <v>0.28000000000000003</v>
      </c>
      <c r="K364" s="8">
        <v>0.2727</v>
      </c>
      <c r="L364" s="8">
        <v>0.36</v>
      </c>
      <c r="M364" s="8">
        <v>0.25369999999999998</v>
      </c>
      <c r="N364" s="8">
        <v>22</v>
      </c>
      <c r="O364" s="8">
        <v>69</v>
      </c>
      <c r="P364" s="9">
        <v>91</v>
      </c>
    </row>
    <row r="365" spans="1:16" x14ac:dyDescent="0.25">
      <c r="A365" s="10">
        <v>364</v>
      </c>
      <c r="B365" s="11">
        <v>40559</v>
      </c>
      <c r="C365" s="12">
        <v>15</v>
      </c>
      <c r="D365" s="12" t="b">
        <v>0</v>
      </c>
      <c r="E365" s="12" t="str">
        <f t="shared" si="15"/>
        <v>Working Day</v>
      </c>
      <c r="F365" s="12">
        <v>0</v>
      </c>
      <c r="G365" s="12" t="str">
        <f t="shared" si="16"/>
        <v>Sun</v>
      </c>
      <c r="H365" s="12">
        <v>1</v>
      </c>
      <c r="I365" s="12" t="str">
        <f t="shared" si="17"/>
        <v>mist/cloudy</v>
      </c>
      <c r="J365" s="12">
        <v>0.26</v>
      </c>
      <c r="K365" s="12">
        <v>0.2424</v>
      </c>
      <c r="L365" s="12">
        <v>0.38</v>
      </c>
      <c r="M365" s="12">
        <v>0.25369999999999998</v>
      </c>
      <c r="N365" s="12">
        <v>35</v>
      </c>
      <c r="O365" s="12">
        <v>78</v>
      </c>
      <c r="P365" s="13">
        <v>113</v>
      </c>
    </row>
    <row r="366" spans="1:16" x14ac:dyDescent="0.25">
      <c r="A366" s="6">
        <v>365</v>
      </c>
      <c r="B366" s="7">
        <v>40559</v>
      </c>
      <c r="C366" s="8">
        <v>16</v>
      </c>
      <c r="D366" s="8" t="b">
        <v>0</v>
      </c>
      <c r="E366" s="8" t="str">
        <f t="shared" si="15"/>
        <v>Working Day</v>
      </c>
      <c r="F366" s="8">
        <v>0</v>
      </c>
      <c r="G366" s="8" t="str">
        <f t="shared" si="16"/>
        <v>Sun</v>
      </c>
      <c r="H366" s="8">
        <v>1</v>
      </c>
      <c r="I366" s="8" t="str">
        <f t="shared" si="17"/>
        <v>mist/cloudy</v>
      </c>
      <c r="J366" s="8">
        <v>0.24</v>
      </c>
      <c r="K366" s="8">
        <v>0.2273</v>
      </c>
      <c r="L366" s="8">
        <v>0.38</v>
      </c>
      <c r="M366" s="8">
        <v>0.22389999999999999</v>
      </c>
      <c r="N366" s="8">
        <v>22</v>
      </c>
      <c r="O366" s="8">
        <v>77</v>
      </c>
      <c r="P366" s="9">
        <v>99</v>
      </c>
    </row>
    <row r="367" spans="1:16" x14ac:dyDescent="0.25">
      <c r="A367" s="10">
        <v>366</v>
      </c>
      <c r="B367" s="11">
        <v>40559</v>
      </c>
      <c r="C367" s="12">
        <v>17</v>
      </c>
      <c r="D367" s="12" t="b">
        <v>0</v>
      </c>
      <c r="E367" s="12" t="str">
        <f t="shared" si="15"/>
        <v>Working Day</v>
      </c>
      <c r="F367" s="12">
        <v>0</v>
      </c>
      <c r="G367" s="12" t="str">
        <f t="shared" si="16"/>
        <v>Sun</v>
      </c>
      <c r="H367" s="12">
        <v>1</v>
      </c>
      <c r="I367" s="12" t="str">
        <f t="shared" si="17"/>
        <v>mist/cloudy</v>
      </c>
      <c r="J367" s="12">
        <v>0.22</v>
      </c>
      <c r="K367" s="12">
        <v>0.21210000000000001</v>
      </c>
      <c r="L367" s="12">
        <v>0.37</v>
      </c>
      <c r="M367" s="12">
        <v>0.25369999999999998</v>
      </c>
      <c r="N367" s="12">
        <v>23</v>
      </c>
      <c r="O367" s="12">
        <v>82</v>
      </c>
      <c r="P367" s="13">
        <v>105</v>
      </c>
    </row>
    <row r="368" spans="1:16" x14ac:dyDescent="0.25">
      <c r="A368" s="6">
        <v>367</v>
      </c>
      <c r="B368" s="7">
        <v>40559</v>
      </c>
      <c r="C368" s="8">
        <v>18</v>
      </c>
      <c r="D368" s="8" t="b">
        <v>0</v>
      </c>
      <c r="E368" s="8" t="str">
        <f t="shared" si="15"/>
        <v>Working Day</v>
      </c>
      <c r="F368" s="8">
        <v>0</v>
      </c>
      <c r="G368" s="8" t="str">
        <f t="shared" si="16"/>
        <v>Sun</v>
      </c>
      <c r="H368" s="8">
        <v>1</v>
      </c>
      <c r="I368" s="8" t="str">
        <f t="shared" si="17"/>
        <v>mist/cloudy</v>
      </c>
      <c r="J368" s="8">
        <v>0.2</v>
      </c>
      <c r="K368" s="8">
        <v>0.21210000000000001</v>
      </c>
      <c r="L368" s="8">
        <v>0.4</v>
      </c>
      <c r="M368" s="8">
        <v>0.16420000000000001</v>
      </c>
      <c r="N368" s="8">
        <v>11</v>
      </c>
      <c r="O368" s="8">
        <v>56</v>
      </c>
      <c r="P368" s="9">
        <v>67</v>
      </c>
    </row>
    <row r="369" spans="1:16" x14ac:dyDescent="0.25">
      <c r="A369" s="10">
        <v>368</v>
      </c>
      <c r="B369" s="11">
        <v>40559</v>
      </c>
      <c r="C369" s="12">
        <v>19</v>
      </c>
      <c r="D369" s="12" t="b">
        <v>0</v>
      </c>
      <c r="E369" s="12" t="str">
        <f t="shared" si="15"/>
        <v>Working Day</v>
      </c>
      <c r="F369" s="12">
        <v>0</v>
      </c>
      <c r="G369" s="12" t="str">
        <f t="shared" si="16"/>
        <v>Sun</v>
      </c>
      <c r="H369" s="12">
        <v>1</v>
      </c>
      <c r="I369" s="12" t="str">
        <f t="shared" si="17"/>
        <v>mist/cloudy</v>
      </c>
      <c r="J369" s="12">
        <v>0.18</v>
      </c>
      <c r="K369" s="12">
        <v>0.19700000000000001</v>
      </c>
      <c r="L369" s="12">
        <v>0.47</v>
      </c>
      <c r="M369" s="12">
        <v>0.1343</v>
      </c>
      <c r="N369" s="12">
        <v>14</v>
      </c>
      <c r="O369" s="12">
        <v>47</v>
      </c>
      <c r="P369" s="13">
        <v>61</v>
      </c>
    </row>
    <row r="370" spans="1:16" x14ac:dyDescent="0.25">
      <c r="A370" s="6">
        <v>369</v>
      </c>
      <c r="B370" s="7">
        <v>40559</v>
      </c>
      <c r="C370" s="8">
        <v>20</v>
      </c>
      <c r="D370" s="8" t="b">
        <v>0</v>
      </c>
      <c r="E370" s="8" t="str">
        <f t="shared" si="15"/>
        <v>Working Day</v>
      </c>
      <c r="F370" s="8">
        <v>0</v>
      </c>
      <c r="G370" s="8" t="str">
        <f t="shared" si="16"/>
        <v>Sun</v>
      </c>
      <c r="H370" s="8">
        <v>1</v>
      </c>
      <c r="I370" s="8" t="str">
        <f t="shared" si="17"/>
        <v>mist/cloudy</v>
      </c>
      <c r="J370" s="8">
        <v>0.18</v>
      </c>
      <c r="K370" s="8">
        <v>0.19700000000000001</v>
      </c>
      <c r="L370" s="8">
        <v>0.47</v>
      </c>
      <c r="M370" s="8">
        <v>0.16420000000000001</v>
      </c>
      <c r="N370" s="8">
        <v>7</v>
      </c>
      <c r="O370" s="8">
        <v>50</v>
      </c>
      <c r="P370" s="9">
        <v>57</v>
      </c>
    </row>
    <row r="371" spans="1:16" x14ac:dyDescent="0.25">
      <c r="A371" s="10">
        <v>370</v>
      </c>
      <c r="B371" s="11">
        <v>40559</v>
      </c>
      <c r="C371" s="12">
        <v>21</v>
      </c>
      <c r="D371" s="12" t="b">
        <v>0</v>
      </c>
      <c r="E371" s="12" t="str">
        <f t="shared" si="15"/>
        <v>Working Day</v>
      </c>
      <c r="F371" s="12">
        <v>0</v>
      </c>
      <c r="G371" s="12" t="str">
        <f t="shared" si="16"/>
        <v>Sun</v>
      </c>
      <c r="H371" s="12">
        <v>1</v>
      </c>
      <c r="I371" s="12" t="str">
        <f t="shared" si="17"/>
        <v>mist/cloudy</v>
      </c>
      <c r="J371" s="12">
        <v>0.18</v>
      </c>
      <c r="K371" s="12">
        <v>0.19700000000000001</v>
      </c>
      <c r="L371" s="12">
        <v>0.51</v>
      </c>
      <c r="M371" s="12">
        <v>0.16420000000000001</v>
      </c>
      <c r="N371" s="12">
        <v>6</v>
      </c>
      <c r="O371" s="12">
        <v>22</v>
      </c>
      <c r="P371" s="13">
        <v>28</v>
      </c>
    </row>
    <row r="372" spans="1:16" x14ac:dyDescent="0.25">
      <c r="A372" s="6">
        <v>371</v>
      </c>
      <c r="B372" s="7">
        <v>40559</v>
      </c>
      <c r="C372" s="8">
        <v>22</v>
      </c>
      <c r="D372" s="8" t="b">
        <v>0</v>
      </c>
      <c r="E372" s="8" t="str">
        <f t="shared" si="15"/>
        <v>Working Day</v>
      </c>
      <c r="F372" s="8">
        <v>0</v>
      </c>
      <c r="G372" s="8" t="str">
        <f t="shared" si="16"/>
        <v>Sun</v>
      </c>
      <c r="H372" s="8">
        <v>2</v>
      </c>
      <c r="I372" s="8" t="str">
        <f t="shared" si="17"/>
        <v>light rain</v>
      </c>
      <c r="J372" s="8">
        <v>0.2</v>
      </c>
      <c r="K372" s="8">
        <v>0.21210000000000001</v>
      </c>
      <c r="L372" s="8">
        <v>0.49</v>
      </c>
      <c r="M372" s="8">
        <v>0.1343</v>
      </c>
      <c r="N372" s="8">
        <v>2</v>
      </c>
      <c r="O372" s="8">
        <v>19</v>
      </c>
      <c r="P372" s="9">
        <v>21</v>
      </c>
    </row>
    <row r="373" spans="1:16" x14ac:dyDescent="0.25">
      <c r="A373" s="10">
        <v>372</v>
      </c>
      <c r="B373" s="11">
        <v>40559</v>
      </c>
      <c r="C373" s="12">
        <v>23</v>
      </c>
      <c r="D373" s="12" t="b">
        <v>0</v>
      </c>
      <c r="E373" s="12" t="str">
        <f t="shared" si="15"/>
        <v>Working Day</v>
      </c>
      <c r="F373" s="12">
        <v>0</v>
      </c>
      <c r="G373" s="12" t="str">
        <f t="shared" si="16"/>
        <v>Sun</v>
      </c>
      <c r="H373" s="12">
        <v>2</v>
      </c>
      <c r="I373" s="12" t="str">
        <f t="shared" si="17"/>
        <v>light rain</v>
      </c>
      <c r="J373" s="12">
        <v>0.2</v>
      </c>
      <c r="K373" s="12">
        <v>0.2273</v>
      </c>
      <c r="L373" s="12">
        <v>0.4</v>
      </c>
      <c r="M373" s="12">
        <v>0.1045</v>
      </c>
      <c r="N373" s="12">
        <v>0</v>
      </c>
      <c r="O373" s="12">
        <v>18</v>
      </c>
      <c r="P373" s="13">
        <v>18</v>
      </c>
    </row>
    <row r="374" spans="1:16" x14ac:dyDescent="0.25">
      <c r="A374" s="6">
        <v>373</v>
      </c>
      <c r="B374" s="7">
        <v>40560</v>
      </c>
      <c r="C374" s="8">
        <v>0</v>
      </c>
      <c r="D374" s="8" t="b">
        <v>1</v>
      </c>
      <c r="E374" s="8" t="str">
        <f t="shared" si="15"/>
        <v>Holiday</v>
      </c>
      <c r="F374" s="8">
        <v>1</v>
      </c>
      <c r="G374" s="8" t="str">
        <f t="shared" si="16"/>
        <v>Mon</v>
      </c>
      <c r="H374" s="8">
        <v>2</v>
      </c>
      <c r="I374" s="8" t="str">
        <f t="shared" si="17"/>
        <v>light rain</v>
      </c>
      <c r="J374" s="8">
        <v>0.2</v>
      </c>
      <c r="K374" s="8">
        <v>0.19700000000000001</v>
      </c>
      <c r="L374" s="8">
        <v>0.47</v>
      </c>
      <c r="M374" s="8">
        <v>0.22389999999999999</v>
      </c>
      <c r="N374" s="8">
        <v>1</v>
      </c>
      <c r="O374" s="8">
        <v>16</v>
      </c>
      <c r="P374" s="9">
        <v>17</v>
      </c>
    </row>
    <row r="375" spans="1:16" x14ac:dyDescent="0.25">
      <c r="A375" s="10">
        <v>374</v>
      </c>
      <c r="B375" s="11">
        <v>40560</v>
      </c>
      <c r="C375" s="12">
        <v>1</v>
      </c>
      <c r="D375" s="12" t="b">
        <v>1</v>
      </c>
      <c r="E375" s="12" t="str">
        <f t="shared" si="15"/>
        <v>Holiday</v>
      </c>
      <c r="F375" s="12">
        <v>1</v>
      </c>
      <c r="G375" s="12" t="str">
        <f t="shared" si="16"/>
        <v>Mon</v>
      </c>
      <c r="H375" s="12">
        <v>2</v>
      </c>
      <c r="I375" s="12" t="str">
        <f t="shared" si="17"/>
        <v>light rain</v>
      </c>
      <c r="J375" s="12">
        <v>0.2</v>
      </c>
      <c r="K375" s="12">
        <v>0.19700000000000001</v>
      </c>
      <c r="L375" s="12">
        <v>0.44</v>
      </c>
      <c r="M375" s="12">
        <v>0.19400000000000001</v>
      </c>
      <c r="N375" s="12">
        <v>1</v>
      </c>
      <c r="O375" s="12">
        <v>15</v>
      </c>
      <c r="P375" s="13">
        <v>16</v>
      </c>
    </row>
    <row r="376" spans="1:16" x14ac:dyDescent="0.25">
      <c r="A376" s="6">
        <v>375</v>
      </c>
      <c r="B376" s="7">
        <v>40560</v>
      </c>
      <c r="C376" s="8">
        <v>2</v>
      </c>
      <c r="D376" s="8" t="b">
        <v>1</v>
      </c>
      <c r="E376" s="8" t="str">
        <f t="shared" si="15"/>
        <v>Holiday</v>
      </c>
      <c r="F376" s="8">
        <v>1</v>
      </c>
      <c r="G376" s="8" t="str">
        <f t="shared" si="16"/>
        <v>Mon</v>
      </c>
      <c r="H376" s="8">
        <v>2</v>
      </c>
      <c r="I376" s="8" t="str">
        <f t="shared" si="17"/>
        <v>light rain</v>
      </c>
      <c r="J376" s="8">
        <v>0.18</v>
      </c>
      <c r="K376" s="8">
        <v>0.16669999999999999</v>
      </c>
      <c r="L376" s="8">
        <v>0.43</v>
      </c>
      <c r="M376" s="8">
        <v>0.25369999999999998</v>
      </c>
      <c r="N376" s="8">
        <v>0</v>
      </c>
      <c r="O376" s="8">
        <v>8</v>
      </c>
      <c r="P376" s="9">
        <v>8</v>
      </c>
    </row>
    <row r="377" spans="1:16" x14ac:dyDescent="0.25">
      <c r="A377" s="10">
        <v>376</v>
      </c>
      <c r="B377" s="11">
        <v>40560</v>
      </c>
      <c r="C377" s="12">
        <v>3</v>
      </c>
      <c r="D377" s="12" t="b">
        <v>1</v>
      </c>
      <c r="E377" s="12" t="str">
        <f t="shared" si="15"/>
        <v>Holiday</v>
      </c>
      <c r="F377" s="12">
        <v>1</v>
      </c>
      <c r="G377" s="12" t="str">
        <f t="shared" si="16"/>
        <v>Mon</v>
      </c>
      <c r="H377" s="12">
        <v>2</v>
      </c>
      <c r="I377" s="12" t="str">
        <f t="shared" si="17"/>
        <v>light rain</v>
      </c>
      <c r="J377" s="12">
        <v>0.18</v>
      </c>
      <c r="K377" s="12">
        <v>0.18179999999999999</v>
      </c>
      <c r="L377" s="12">
        <v>0.43</v>
      </c>
      <c r="M377" s="12">
        <v>0.19400000000000001</v>
      </c>
      <c r="N377" s="12">
        <v>0</v>
      </c>
      <c r="O377" s="12">
        <v>2</v>
      </c>
      <c r="P377" s="13">
        <v>2</v>
      </c>
    </row>
    <row r="378" spans="1:16" x14ac:dyDescent="0.25">
      <c r="A378" s="6">
        <v>377</v>
      </c>
      <c r="B378" s="7">
        <v>40560</v>
      </c>
      <c r="C378" s="8">
        <v>4</v>
      </c>
      <c r="D378" s="8" t="b">
        <v>1</v>
      </c>
      <c r="E378" s="8" t="str">
        <f t="shared" si="15"/>
        <v>Holiday</v>
      </c>
      <c r="F378" s="8">
        <v>1</v>
      </c>
      <c r="G378" s="8" t="str">
        <f t="shared" si="16"/>
        <v>Mon</v>
      </c>
      <c r="H378" s="8">
        <v>2</v>
      </c>
      <c r="I378" s="8" t="str">
        <f t="shared" si="17"/>
        <v>light rain</v>
      </c>
      <c r="J378" s="8">
        <v>0.18</v>
      </c>
      <c r="K378" s="8">
        <v>0.19700000000000001</v>
      </c>
      <c r="L378" s="8">
        <v>0.43</v>
      </c>
      <c r="M378" s="8">
        <v>0.1343</v>
      </c>
      <c r="N378" s="8">
        <v>1</v>
      </c>
      <c r="O378" s="8">
        <v>2</v>
      </c>
      <c r="P378" s="9">
        <v>3</v>
      </c>
    </row>
    <row r="379" spans="1:16" x14ac:dyDescent="0.25">
      <c r="A379" s="10">
        <v>378</v>
      </c>
      <c r="B379" s="11">
        <v>40560</v>
      </c>
      <c r="C379" s="12">
        <v>5</v>
      </c>
      <c r="D379" s="12" t="b">
        <v>1</v>
      </c>
      <c r="E379" s="12" t="str">
        <f t="shared" si="15"/>
        <v>Holiday</v>
      </c>
      <c r="F379" s="12">
        <v>1</v>
      </c>
      <c r="G379" s="12" t="str">
        <f t="shared" si="16"/>
        <v>Mon</v>
      </c>
      <c r="H379" s="12">
        <v>2</v>
      </c>
      <c r="I379" s="12" t="str">
        <f t="shared" si="17"/>
        <v>light rain</v>
      </c>
      <c r="J379" s="12">
        <v>0.18</v>
      </c>
      <c r="K379" s="12">
        <v>0.19700000000000001</v>
      </c>
      <c r="L379" s="12">
        <v>0.43</v>
      </c>
      <c r="M379" s="12">
        <v>0.16420000000000001</v>
      </c>
      <c r="N379" s="12">
        <v>0</v>
      </c>
      <c r="O379" s="12">
        <v>1</v>
      </c>
      <c r="P379" s="13">
        <v>1</v>
      </c>
    </row>
    <row r="380" spans="1:16" x14ac:dyDescent="0.25">
      <c r="A380" s="6">
        <v>379</v>
      </c>
      <c r="B380" s="7">
        <v>40560</v>
      </c>
      <c r="C380" s="8">
        <v>6</v>
      </c>
      <c r="D380" s="8" t="b">
        <v>1</v>
      </c>
      <c r="E380" s="8" t="str">
        <f t="shared" si="15"/>
        <v>Holiday</v>
      </c>
      <c r="F380" s="8">
        <v>1</v>
      </c>
      <c r="G380" s="8" t="str">
        <f t="shared" si="16"/>
        <v>Mon</v>
      </c>
      <c r="H380" s="8">
        <v>2</v>
      </c>
      <c r="I380" s="8" t="str">
        <f t="shared" si="17"/>
        <v>light rain</v>
      </c>
      <c r="J380" s="8">
        <v>0.18</v>
      </c>
      <c r="K380" s="8">
        <v>0.18179999999999999</v>
      </c>
      <c r="L380" s="8">
        <v>0.43</v>
      </c>
      <c r="M380" s="8">
        <v>0.19400000000000001</v>
      </c>
      <c r="N380" s="8">
        <v>0</v>
      </c>
      <c r="O380" s="8">
        <v>5</v>
      </c>
      <c r="P380" s="9">
        <v>5</v>
      </c>
    </row>
    <row r="381" spans="1:16" x14ac:dyDescent="0.25">
      <c r="A381" s="10">
        <v>380</v>
      </c>
      <c r="B381" s="11">
        <v>40560</v>
      </c>
      <c r="C381" s="12">
        <v>7</v>
      </c>
      <c r="D381" s="12" t="b">
        <v>1</v>
      </c>
      <c r="E381" s="12" t="str">
        <f t="shared" si="15"/>
        <v>Holiday</v>
      </c>
      <c r="F381" s="12">
        <v>1</v>
      </c>
      <c r="G381" s="12" t="str">
        <f t="shared" si="16"/>
        <v>Mon</v>
      </c>
      <c r="H381" s="12">
        <v>2</v>
      </c>
      <c r="I381" s="12" t="str">
        <f t="shared" si="17"/>
        <v>light rain</v>
      </c>
      <c r="J381" s="12">
        <v>0.16</v>
      </c>
      <c r="K381" s="12">
        <v>0.18179999999999999</v>
      </c>
      <c r="L381" s="12">
        <v>0.5</v>
      </c>
      <c r="M381" s="12">
        <v>0.1343</v>
      </c>
      <c r="N381" s="12">
        <v>4</v>
      </c>
      <c r="O381" s="12">
        <v>9</v>
      </c>
      <c r="P381" s="13">
        <v>13</v>
      </c>
    </row>
    <row r="382" spans="1:16" x14ac:dyDescent="0.25">
      <c r="A382" s="6">
        <v>381</v>
      </c>
      <c r="B382" s="7">
        <v>40560</v>
      </c>
      <c r="C382" s="8">
        <v>8</v>
      </c>
      <c r="D382" s="8" t="b">
        <v>1</v>
      </c>
      <c r="E382" s="8" t="str">
        <f t="shared" si="15"/>
        <v>Holiday</v>
      </c>
      <c r="F382" s="8">
        <v>1</v>
      </c>
      <c r="G382" s="8" t="str">
        <f t="shared" si="16"/>
        <v>Mon</v>
      </c>
      <c r="H382" s="8">
        <v>2</v>
      </c>
      <c r="I382" s="8" t="str">
        <f t="shared" si="17"/>
        <v>light rain</v>
      </c>
      <c r="J382" s="8">
        <v>0.16</v>
      </c>
      <c r="K382" s="8">
        <v>0.1515</v>
      </c>
      <c r="L382" s="8">
        <v>0.47</v>
      </c>
      <c r="M382" s="8">
        <v>0.22389999999999999</v>
      </c>
      <c r="N382" s="8">
        <v>3</v>
      </c>
      <c r="O382" s="8">
        <v>30</v>
      </c>
      <c r="P382" s="9">
        <v>33</v>
      </c>
    </row>
    <row r="383" spans="1:16" x14ac:dyDescent="0.25">
      <c r="A383" s="10">
        <v>382</v>
      </c>
      <c r="B383" s="11">
        <v>40560</v>
      </c>
      <c r="C383" s="12">
        <v>9</v>
      </c>
      <c r="D383" s="12" t="b">
        <v>1</v>
      </c>
      <c r="E383" s="12" t="str">
        <f t="shared" si="15"/>
        <v>Holiday</v>
      </c>
      <c r="F383" s="12">
        <v>1</v>
      </c>
      <c r="G383" s="12" t="str">
        <f t="shared" si="16"/>
        <v>Mon</v>
      </c>
      <c r="H383" s="12">
        <v>2</v>
      </c>
      <c r="I383" s="12" t="str">
        <f t="shared" si="17"/>
        <v>light rain</v>
      </c>
      <c r="J383" s="12">
        <v>0.16</v>
      </c>
      <c r="K383" s="12">
        <v>0.1515</v>
      </c>
      <c r="L383" s="12">
        <v>0.47</v>
      </c>
      <c r="M383" s="12">
        <v>0.22389999999999999</v>
      </c>
      <c r="N383" s="12">
        <v>8</v>
      </c>
      <c r="O383" s="12">
        <v>39</v>
      </c>
      <c r="P383" s="13">
        <v>47</v>
      </c>
    </row>
    <row r="384" spans="1:16" x14ac:dyDescent="0.25">
      <c r="A384" s="6">
        <v>383</v>
      </c>
      <c r="B384" s="7">
        <v>40560</v>
      </c>
      <c r="C384" s="8">
        <v>10</v>
      </c>
      <c r="D384" s="8" t="b">
        <v>1</v>
      </c>
      <c r="E384" s="8" t="str">
        <f t="shared" si="15"/>
        <v>Holiday</v>
      </c>
      <c r="F384" s="8">
        <v>1</v>
      </c>
      <c r="G384" s="8" t="str">
        <f t="shared" si="16"/>
        <v>Mon</v>
      </c>
      <c r="H384" s="8">
        <v>2</v>
      </c>
      <c r="I384" s="8" t="str">
        <f t="shared" si="17"/>
        <v>light rain</v>
      </c>
      <c r="J384" s="8">
        <v>0.16</v>
      </c>
      <c r="K384" s="8">
        <v>0.1515</v>
      </c>
      <c r="L384" s="8">
        <v>0.5</v>
      </c>
      <c r="M384" s="8">
        <v>0.25369999999999998</v>
      </c>
      <c r="N384" s="8">
        <v>7</v>
      </c>
      <c r="O384" s="8">
        <v>50</v>
      </c>
      <c r="P384" s="9">
        <v>57</v>
      </c>
    </row>
    <row r="385" spans="1:16" x14ac:dyDescent="0.25">
      <c r="A385" s="10">
        <v>384</v>
      </c>
      <c r="B385" s="11">
        <v>40560</v>
      </c>
      <c r="C385" s="12">
        <v>11</v>
      </c>
      <c r="D385" s="12" t="b">
        <v>1</v>
      </c>
      <c r="E385" s="12" t="str">
        <f t="shared" si="15"/>
        <v>Holiday</v>
      </c>
      <c r="F385" s="12">
        <v>1</v>
      </c>
      <c r="G385" s="12" t="str">
        <f t="shared" si="16"/>
        <v>Mon</v>
      </c>
      <c r="H385" s="12">
        <v>2</v>
      </c>
      <c r="I385" s="12" t="str">
        <f t="shared" si="17"/>
        <v>light rain</v>
      </c>
      <c r="J385" s="12">
        <v>0.16</v>
      </c>
      <c r="K385" s="12">
        <v>0.1515</v>
      </c>
      <c r="L385" s="12">
        <v>0.55000000000000004</v>
      </c>
      <c r="M385" s="12">
        <v>0.19400000000000001</v>
      </c>
      <c r="N385" s="12">
        <v>9</v>
      </c>
      <c r="O385" s="12">
        <v>55</v>
      </c>
      <c r="P385" s="13">
        <v>64</v>
      </c>
    </row>
    <row r="386" spans="1:16" x14ac:dyDescent="0.25">
      <c r="A386" s="6">
        <v>385</v>
      </c>
      <c r="B386" s="7">
        <v>40560</v>
      </c>
      <c r="C386" s="8">
        <v>12</v>
      </c>
      <c r="D386" s="8" t="b">
        <v>1</v>
      </c>
      <c r="E386" s="8" t="str">
        <f t="shared" ref="E386:E449" si="18">IF(D386=FALSE,"Working Day","Holiday")</f>
        <v>Holiday</v>
      </c>
      <c r="F386" s="8">
        <v>1</v>
      </c>
      <c r="G386" s="8" t="str">
        <f t="shared" ref="G386:G449" si="19">TEXT(F386+1, "ddd")</f>
        <v>Mon</v>
      </c>
      <c r="H386" s="8">
        <v>2</v>
      </c>
      <c r="I386" s="8" t="str">
        <f t="shared" si="17"/>
        <v>light rain</v>
      </c>
      <c r="J386" s="8">
        <v>0.18</v>
      </c>
      <c r="K386" s="8">
        <v>0.19700000000000001</v>
      </c>
      <c r="L386" s="8">
        <v>0.47</v>
      </c>
      <c r="M386" s="8">
        <v>0.1343</v>
      </c>
      <c r="N386" s="8">
        <v>10</v>
      </c>
      <c r="O386" s="8">
        <v>70</v>
      </c>
      <c r="P386" s="9">
        <v>80</v>
      </c>
    </row>
    <row r="387" spans="1:16" x14ac:dyDescent="0.25">
      <c r="A387" s="10">
        <v>386</v>
      </c>
      <c r="B387" s="11">
        <v>40560</v>
      </c>
      <c r="C387" s="12">
        <v>13</v>
      </c>
      <c r="D387" s="12" t="b">
        <v>1</v>
      </c>
      <c r="E387" s="12" t="str">
        <f t="shared" si="18"/>
        <v>Holiday</v>
      </c>
      <c r="F387" s="12">
        <v>1</v>
      </c>
      <c r="G387" s="12" t="str">
        <f t="shared" si="19"/>
        <v>Mon</v>
      </c>
      <c r="H387" s="12">
        <v>2</v>
      </c>
      <c r="I387" s="12" t="str">
        <f t="shared" ref="I387:I450" si="20">IF(H387=0, "clear", IF(H387=1, "mist/cloudy", IF(H387=2, "light rain", IF(H387=3, "heavy rain", IF(H387=4, "extreme weather condition", "Unknown")))))</f>
        <v>light rain</v>
      </c>
      <c r="J387" s="12">
        <v>0.18</v>
      </c>
      <c r="K387" s="12">
        <v>0.19700000000000001</v>
      </c>
      <c r="L387" s="12">
        <v>0.47</v>
      </c>
      <c r="M387" s="12">
        <v>0.1343</v>
      </c>
      <c r="N387" s="12">
        <v>13</v>
      </c>
      <c r="O387" s="12">
        <v>80</v>
      </c>
      <c r="P387" s="13">
        <v>93</v>
      </c>
    </row>
    <row r="388" spans="1:16" x14ac:dyDescent="0.25">
      <c r="A388" s="6">
        <v>387</v>
      </c>
      <c r="B388" s="7">
        <v>40560</v>
      </c>
      <c r="C388" s="8">
        <v>14</v>
      </c>
      <c r="D388" s="8" t="b">
        <v>1</v>
      </c>
      <c r="E388" s="8" t="str">
        <f t="shared" si="18"/>
        <v>Holiday</v>
      </c>
      <c r="F388" s="8">
        <v>1</v>
      </c>
      <c r="G388" s="8" t="str">
        <f t="shared" si="19"/>
        <v>Mon</v>
      </c>
      <c r="H388" s="8">
        <v>2</v>
      </c>
      <c r="I388" s="8" t="str">
        <f t="shared" si="20"/>
        <v>light rain</v>
      </c>
      <c r="J388" s="8">
        <v>0.18</v>
      </c>
      <c r="K388" s="8">
        <v>0.21210000000000001</v>
      </c>
      <c r="L388" s="8">
        <v>0.43</v>
      </c>
      <c r="M388" s="8">
        <v>0.1045</v>
      </c>
      <c r="N388" s="8">
        <v>12</v>
      </c>
      <c r="O388" s="8">
        <v>74</v>
      </c>
      <c r="P388" s="9">
        <v>86</v>
      </c>
    </row>
    <row r="389" spans="1:16" x14ac:dyDescent="0.25">
      <c r="A389" s="10">
        <v>388</v>
      </c>
      <c r="B389" s="11">
        <v>40560</v>
      </c>
      <c r="C389" s="12">
        <v>15</v>
      </c>
      <c r="D389" s="12" t="b">
        <v>1</v>
      </c>
      <c r="E389" s="12" t="str">
        <f t="shared" si="18"/>
        <v>Holiday</v>
      </c>
      <c r="F389" s="12">
        <v>1</v>
      </c>
      <c r="G389" s="12" t="str">
        <f t="shared" si="19"/>
        <v>Mon</v>
      </c>
      <c r="H389" s="12">
        <v>2</v>
      </c>
      <c r="I389" s="12" t="str">
        <f t="shared" si="20"/>
        <v>light rain</v>
      </c>
      <c r="J389" s="12">
        <v>0.2</v>
      </c>
      <c r="K389" s="12">
        <v>0.21210000000000001</v>
      </c>
      <c r="L389" s="12">
        <v>0.47</v>
      </c>
      <c r="M389" s="12">
        <v>0.16420000000000001</v>
      </c>
      <c r="N389" s="12">
        <v>21</v>
      </c>
      <c r="O389" s="12">
        <v>72</v>
      </c>
      <c r="P389" s="13">
        <v>93</v>
      </c>
    </row>
    <row r="390" spans="1:16" x14ac:dyDescent="0.25">
      <c r="A390" s="6">
        <v>389</v>
      </c>
      <c r="B390" s="7">
        <v>40560</v>
      </c>
      <c r="C390" s="8">
        <v>16</v>
      </c>
      <c r="D390" s="8" t="b">
        <v>1</v>
      </c>
      <c r="E390" s="8" t="str">
        <f t="shared" si="18"/>
        <v>Holiday</v>
      </c>
      <c r="F390" s="8">
        <v>1</v>
      </c>
      <c r="G390" s="8" t="str">
        <f t="shared" si="19"/>
        <v>Mon</v>
      </c>
      <c r="H390" s="8">
        <v>2</v>
      </c>
      <c r="I390" s="8" t="str">
        <f t="shared" si="20"/>
        <v>light rain</v>
      </c>
      <c r="J390" s="8">
        <v>0.2</v>
      </c>
      <c r="K390" s="8">
        <v>0.21210000000000001</v>
      </c>
      <c r="L390" s="8">
        <v>0.47</v>
      </c>
      <c r="M390" s="8">
        <v>0.16420000000000001</v>
      </c>
      <c r="N390" s="8">
        <v>6</v>
      </c>
      <c r="O390" s="8">
        <v>76</v>
      </c>
      <c r="P390" s="9">
        <v>82</v>
      </c>
    </row>
    <row r="391" spans="1:16" x14ac:dyDescent="0.25">
      <c r="A391" s="10">
        <v>390</v>
      </c>
      <c r="B391" s="11">
        <v>40560</v>
      </c>
      <c r="C391" s="12">
        <v>17</v>
      </c>
      <c r="D391" s="12" t="b">
        <v>1</v>
      </c>
      <c r="E391" s="12" t="str">
        <f t="shared" si="18"/>
        <v>Holiday</v>
      </c>
      <c r="F391" s="12">
        <v>1</v>
      </c>
      <c r="G391" s="12" t="str">
        <f t="shared" si="19"/>
        <v>Mon</v>
      </c>
      <c r="H391" s="12">
        <v>1</v>
      </c>
      <c r="I391" s="12" t="str">
        <f t="shared" si="20"/>
        <v>mist/cloudy</v>
      </c>
      <c r="J391" s="12">
        <v>0.2</v>
      </c>
      <c r="K391" s="12">
        <v>0.19700000000000001</v>
      </c>
      <c r="L391" s="12">
        <v>0.51</v>
      </c>
      <c r="M391" s="12">
        <v>0.19400000000000001</v>
      </c>
      <c r="N391" s="12">
        <v>4</v>
      </c>
      <c r="O391" s="12">
        <v>67</v>
      </c>
      <c r="P391" s="13">
        <v>71</v>
      </c>
    </row>
    <row r="392" spans="1:16" x14ac:dyDescent="0.25">
      <c r="A392" s="6">
        <v>391</v>
      </c>
      <c r="B392" s="7">
        <v>40560</v>
      </c>
      <c r="C392" s="8">
        <v>18</v>
      </c>
      <c r="D392" s="8" t="b">
        <v>1</v>
      </c>
      <c r="E392" s="8" t="str">
        <f t="shared" si="18"/>
        <v>Holiday</v>
      </c>
      <c r="F392" s="8">
        <v>1</v>
      </c>
      <c r="G392" s="8" t="str">
        <f t="shared" si="19"/>
        <v>Mon</v>
      </c>
      <c r="H392" s="8">
        <v>2</v>
      </c>
      <c r="I392" s="8" t="str">
        <f t="shared" si="20"/>
        <v>light rain</v>
      </c>
      <c r="J392" s="8">
        <v>0.18</v>
      </c>
      <c r="K392" s="8">
        <v>0.16669999999999999</v>
      </c>
      <c r="L392" s="8">
        <v>0.55000000000000004</v>
      </c>
      <c r="M392" s="8">
        <v>0.25369999999999998</v>
      </c>
      <c r="N392" s="8">
        <v>7</v>
      </c>
      <c r="O392" s="8">
        <v>85</v>
      </c>
      <c r="P392" s="9">
        <v>92</v>
      </c>
    </row>
    <row r="393" spans="1:16" x14ac:dyDescent="0.25">
      <c r="A393" s="10">
        <v>392</v>
      </c>
      <c r="B393" s="11">
        <v>40560</v>
      </c>
      <c r="C393" s="12">
        <v>19</v>
      </c>
      <c r="D393" s="12" t="b">
        <v>1</v>
      </c>
      <c r="E393" s="12" t="str">
        <f t="shared" si="18"/>
        <v>Holiday</v>
      </c>
      <c r="F393" s="12">
        <v>1</v>
      </c>
      <c r="G393" s="12" t="str">
        <f t="shared" si="19"/>
        <v>Mon</v>
      </c>
      <c r="H393" s="12">
        <v>3</v>
      </c>
      <c r="I393" s="12" t="str">
        <f t="shared" si="20"/>
        <v>heavy rain</v>
      </c>
      <c r="J393" s="12">
        <v>0.18</v>
      </c>
      <c r="K393" s="12">
        <v>0.18179999999999999</v>
      </c>
      <c r="L393" s="12">
        <v>0.59</v>
      </c>
      <c r="M393" s="12">
        <v>0.19400000000000001</v>
      </c>
      <c r="N393" s="12">
        <v>2</v>
      </c>
      <c r="O393" s="12">
        <v>58</v>
      </c>
      <c r="P393" s="13">
        <v>60</v>
      </c>
    </row>
    <row r="394" spans="1:16" x14ac:dyDescent="0.25">
      <c r="A394" s="6">
        <v>393</v>
      </c>
      <c r="B394" s="7">
        <v>40560</v>
      </c>
      <c r="C394" s="8">
        <v>20</v>
      </c>
      <c r="D394" s="8" t="b">
        <v>1</v>
      </c>
      <c r="E394" s="8" t="str">
        <f t="shared" si="18"/>
        <v>Holiday</v>
      </c>
      <c r="F394" s="8">
        <v>1</v>
      </c>
      <c r="G394" s="8" t="str">
        <f t="shared" si="19"/>
        <v>Mon</v>
      </c>
      <c r="H394" s="8">
        <v>3</v>
      </c>
      <c r="I394" s="8" t="str">
        <f t="shared" si="20"/>
        <v>heavy rain</v>
      </c>
      <c r="J394" s="8">
        <v>0.16</v>
      </c>
      <c r="K394" s="8">
        <v>0.1515</v>
      </c>
      <c r="L394" s="8">
        <v>0.8</v>
      </c>
      <c r="M394" s="8">
        <v>0.19400000000000001</v>
      </c>
      <c r="N394" s="8">
        <v>4</v>
      </c>
      <c r="O394" s="8">
        <v>29</v>
      </c>
      <c r="P394" s="9">
        <v>33</v>
      </c>
    </row>
    <row r="395" spans="1:16" x14ac:dyDescent="0.25">
      <c r="A395" s="10">
        <v>394</v>
      </c>
      <c r="B395" s="11">
        <v>40560</v>
      </c>
      <c r="C395" s="12">
        <v>21</v>
      </c>
      <c r="D395" s="12" t="b">
        <v>1</v>
      </c>
      <c r="E395" s="12" t="str">
        <f t="shared" si="18"/>
        <v>Holiday</v>
      </c>
      <c r="F395" s="12">
        <v>1</v>
      </c>
      <c r="G395" s="12" t="str">
        <f t="shared" si="19"/>
        <v>Mon</v>
      </c>
      <c r="H395" s="12">
        <v>3</v>
      </c>
      <c r="I395" s="12" t="str">
        <f t="shared" si="20"/>
        <v>heavy rain</v>
      </c>
      <c r="J395" s="12">
        <v>0.16</v>
      </c>
      <c r="K395" s="12">
        <v>0.1515</v>
      </c>
      <c r="L395" s="12">
        <v>0.8</v>
      </c>
      <c r="M395" s="12">
        <v>0.19400000000000001</v>
      </c>
      <c r="N395" s="12">
        <v>3</v>
      </c>
      <c r="O395" s="12">
        <v>24</v>
      </c>
      <c r="P395" s="13">
        <v>27</v>
      </c>
    </row>
    <row r="396" spans="1:16" x14ac:dyDescent="0.25">
      <c r="A396" s="6">
        <v>395</v>
      </c>
      <c r="B396" s="7">
        <v>40560</v>
      </c>
      <c r="C396" s="8">
        <v>22</v>
      </c>
      <c r="D396" s="8" t="b">
        <v>1</v>
      </c>
      <c r="E396" s="8" t="str">
        <f t="shared" si="18"/>
        <v>Holiday</v>
      </c>
      <c r="F396" s="8">
        <v>1</v>
      </c>
      <c r="G396" s="8" t="str">
        <f t="shared" si="19"/>
        <v>Mon</v>
      </c>
      <c r="H396" s="8">
        <v>3</v>
      </c>
      <c r="I396" s="8" t="str">
        <f t="shared" si="20"/>
        <v>heavy rain</v>
      </c>
      <c r="J396" s="8">
        <v>0.14000000000000001</v>
      </c>
      <c r="K396" s="8">
        <v>0.1212</v>
      </c>
      <c r="L396" s="8">
        <v>0.93</v>
      </c>
      <c r="M396" s="8">
        <v>0.25369999999999998</v>
      </c>
      <c r="N396" s="8">
        <v>0</v>
      </c>
      <c r="O396" s="8">
        <v>13</v>
      </c>
      <c r="P396" s="9">
        <v>13</v>
      </c>
    </row>
    <row r="397" spans="1:16" x14ac:dyDescent="0.25">
      <c r="A397" s="10">
        <v>396</v>
      </c>
      <c r="B397" s="11">
        <v>40560</v>
      </c>
      <c r="C397" s="12">
        <v>23</v>
      </c>
      <c r="D397" s="12" t="b">
        <v>1</v>
      </c>
      <c r="E397" s="12" t="str">
        <f t="shared" si="18"/>
        <v>Holiday</v>
      </c>
      <c r="F397" s="12">
        <v>1</v>
      </c>
      <c r="G397" s="12" t="str">
        <f t="shared" si="19"/>
        <v>Mon</v>
      </c>
      <c r="H397" s="12">
        <v>3</v>
      </c>
      <c r="I397" s="12" t="str">
        <f t="shared" si="20"/>
        <v>heavy rain</v>
      </c>
      <c r="J397" s="12">
        <v>0.16</v>
      </c>
      <c r="K397" s="12">
        <v>0.13639999999999999</v>
      </c>
      <c r="L397" s="12">
        <v>0.86</v>
      </c>
      <c r="M397" s="12">
        <v>0.28360000000000002</v>
      </c>
      <c r="N397" s="12">
        <v>1</v>
      </c>
      <c r="O397" s="12">
        <v>3</v>
      </c>
      <c r="P397" s="13">
        <v>4</v>
      </c>
    </row>
    <row r="398" spans="1:16" x14ac:dyDescent="0.25">
      <c r="A398" s="6">
        <v>397</v>
      </c>
      <c r="B398" s="7">
        <v>40561</v>
      </c>
      <c r="C398" s="8">
        <v>12</v>
      </c>
      <c r="D398" s="8" t="b">
        <v>0</v>
      </c>
      <c r="E398" s="8" t="str">
        <f t="shared" si="18"/>
        <v>Working Day</v>
      </c>
      <c r="F398" s="8">
        <v>2</v>
      </c>
      <c r="G398" s="8" t="str">
        <f t="shared" si="19"/>
        <v>Tue</v>
      </c>
      <c r="H398" s="8">
        <v>2</v>
      </c>
      <c r="I398" s="8" t="str">
        <f t="shared" si="20"/>
        <v>light rain</v>
      </c>
      <c r="J398" s="8">
        <v>0.2</v>
      </c>
      <c r="K398" s="8">
        <v>0.18179999999999999</v>
      </c>
      <c r="L398" s="8">
        <v>0.86</v>
      </c>
      <c r="M398" s="8">
        <v>0.32840000000000003</v>
      </c>
      <c r="N398" s="8">
        <v>0</v>
      </c>
      <c r="O398" s="8">
        <v>3</v>
      </c>
      <c r="P398" s="9">
        <v>3</v>
      </c>
    </row>
    <row r="399" spans="1:16" x14ac:dyDescent="0.25">
      <c r="A399" s="10">
        <v>398</v>
      </c>
      <c r="B399" s="11">
        <v>40561</v>
      </c>
      <c r="C399" s="12">
        <v>13</v>
      </c>
      <c r="D399" s="12" t="b">
        <v>0</v>
      </c>
      <c r="E399" s="12" t="str">
        <f t="shared" si="18"/>
        <v>Working Day</v>
      </c>
      <c r="F399" s="12">
        <v>2</v>
      </c>
      <c r="G399" s="12" t="str">
        <f t="shared" si="19"/>
        <v>Tue</v>
      </c>
      <c r="H399" s="12">
        <v>2</v>
      </c>
      <c r="I399" s="12" t="str">
        <f t="shared" si="20"/>
        <v>light rain</v>
      </c>
      <c r="J399" s="12">
        <v>0.2</v>
      </c>
      <c r="K399" s="12">
        <v>0.19700000000000001</v>
      </c>
      <c r="L399" s="12">
        <v>0.86</v>
      </c>
      <c r="M399" s="12">
        <v>0.22389999999999999</v>
      </c>
      <c r="N399" s="12">
        <v>0</v>
      </c>
      <c r="O399" s="12">
        <v>22</v>
      </c>
      <c r="P399" s="13">
        <v>22</v>
      </c>
    </row>
    <row r="400" spans="1:16" x14ac:dyDescent="0.25">
      <c r="A400" s="6">
        <v>399</v>
      </c>
      <c r="B400" s="7">
        <v>40561</v>
      </c>
      <c r="C400" s="8">
        <v>14</v>
      </c>
      <c r="D400" s="8" t="b">
        <v>0</v>
      </c>
      <c r="E400" s="8" t="str">
        <f t="shared" si="18"/>
        <v>Working Day</v>
      </c>
      <c r="F400" s="8">
        <v>2</v>
      </c>
      <c r="G400" s="8" t="str">
        <f t="shared" si="19"/>
        <v>Tue</v>
      </c>
      <c r="H400" s="8">
        <v>2</v>
      </c>
      <c r="I400" s="8" t="str">
        <f t="shared" si="20"/>
        <v>light rain</v>
      </c>
      <c r="J400" s="8">
        <v>0.22</v>
      </c>
      <c r="K400" s="8">
        <v>0.2273</v>
      </c>
      <c r="L400" s="8">
        <v>0.8</v>
      </c>
      <c r="M400" s="8">
        <v>0.16420000000000001</v>
      </c>
      <c r="N400" s="8">
        <v>2</v>
      </c>
      <c r="O400" s="8">
        <v>26</v>
      </c>
      <c r="P400" s="9">
        <v>28</v>
      </c>
    </row>
    <row r="401" spans="1:16" x14ac:dyDescent="0.25">
      <c r="A401" s="10">
        <v>400</v>
      </c>
      <c r="B401" s="11">
        <v>40561</v>
      </c>
      <c r="C401" s="12">
        <v>15</v>
      </c>
      <c r="D401" s="12" t="b">
        <v>0</v>
      </c>
      <c r="E401" s="12" t="str">
        <f t="shared" si="18"/>
        <v>Working Day</v>
      </c>
      <c r="F401" s="12">
        <v>2</v>
      </c>
      <c r="G401" s="12" t="str">
        <f t="shared" si="19"/>
        <v>Tue</v>
      </c>
      <c r="H401" s="12">
        <v>2</v>
      </c>
      <c r="I401" s="12" t="str">
        <f t="shared" si="20"/>
        <v>light rain</v>
      </c>
      <c r="J401" s="12">
        <v>0.22</v>
      </c>
      <c r="K401" s="12">
        <v>0.2273</v>
      </c>
      <c r="L401" s="12">
        <v>0.87</v>
      </c>
      <c r="M401" s="12">
        <v>0.16420000000000001</v>
      </c>
      <c r="N401" s="12">
        <v>3</v>
      </c>
      <c r="O401" s="12">
        <v>32</v>
      </c>
      <c r="P401" s="13">
        <v>35</v>
      </c>
    </row>
    <row r="402" spans="1:16" x14ac:dyDescent="0.25">
      <c r="A402" s="6">
        <v>401</v>
      </c>
      <c r="B402" s="7">
        <v>40561</v>
      </c>
      <c r="C402" s="8">
        <v>16</v>
      </c>
      <c r="D402" s="8" t="b">
        <v>0</v>
      </c>
      <c r="E402" s="8" t="str">
        <f t="shared" si="18"/>
        <v>Working Day</v>
      </c>
      <c r="F402" s="8">
        <v>2</v>
      </c>
      <c r="G402" s="8" t="str">
        <f t="shared" si="19"/>
        <v>Tue</v>
      </c>
      <c r="H402" s="8">
        <v>2</v>
      </c>
      <c r="I402" s="8" t="str">
        <f t="shared" si="20"/>
        <v>light rain</v>
      </c>
      <c r="J402" s="8">
        <v>0.22</v>
      </c>
      <c r="K402" s="8">
        <v>0.2273</v>
      </c>
      <c r="L402" s="8">
        <v>0.87</v>
      </c>
      <c r="M402" s="8">
        <v>0.19400000000000001</v>
      </c>
      <c r="N402" s="8">
        <v>0</v>
      </c>
      <c r="O402" s="8">
        <v>61</v>
      </c>
      <c r="P402" s="9">
        <v>61</v>
      </c>
    </row>
    <row r="403" spans="1:16" x14ac:dyDescent="0.25">
      <c r="A403" s="10">
        <v>402</v>
      </c>
      <c r="B403" s="11">
        <v>40561</v>
      </c>
      <c r="C403" s="12">
        <v>17</v>
      </c>
      <c r="D403" s="12" t="b">
        <v>0</v>
      </c>
      <c r="E403" s="12" t="str">
        <f t="shared" si="18"/>
        <v>Working Day</v>
      </c>
      <c r="F403" s="12">
        <v>2</v>
      </c>
      <c r="G403" s="12" t="str">
        <f t="shared" si="19"/>
        <v>Tue</v>
      </c>
      <c r="H403" s="12">
        <v>2</v>
      </c>
      <c r="I403" s="12" t="str">
        <f t="shared" si="20"/>
        <v>light rain</v>
      </c>
      <c r="J403" s="12">
        <v>0.22</v>
      </c>
      <c r="K403" s="12">
        <v>0.2273</v>
      </c>
      <c r="L403" s="12">
        <v>0.82</v>
      </c>
      <c r="M403" s="12">
        <v>0.19400000000000001</v>
      </c>
      <c r="N403" s="12">
        <v>1</v>
      </c>
      <c r="O403" s="12">
        <v>124</v>
      </c>
      <c r="P403" s="13">
        <v>125</v>
      </c>
    </row>
    <row r="404" spans="1:16" x14ac:dyDescent="0.25">
      <c r="A404" s="6">
        <v>403</v>
      </c>
      <c r="B404" s="7">
        <v>40561</v>
      </c>
      <c r="C404" s="8">
        <v>18</v>
      </c>
      <c r="D404" s="8" t="b">
        <v>0</v>
      </c>
      <c r="E404" s="8" t="str">
        <f t="shared" si="18"/>
        <v>Working Day</v>
      </c>
      <c r="F404" s="8">
        <v>2</v>
      </c>
      <c r="G404" s="8" t="str">
        <f t="shared" si="19"/>
        <v>Tue</v>
      </c>
      <c r="H404" s="8">
        <v>2</v>
      </c>
      <c r="I404" s="8" t="str">
        <f t="shared" si="20"/>
        <v>light rain</v>
      </c>
      <c r="J404" s="8">
        <v>0.22</v>
      </c>
      <c r="K404" s="8">
        <v>0.2273</v>
      </c>
      <c r="L404" s="8">
        <v>0.8</v>
      </c>
      <c r="M404" s="8">
        <v>0.16420000000000001</v>
      </c>
      <c r="N404" s="8">
        <v>1</v>
      </c>
      <c r="O404" s="8">
        <v>132</v>
      </c>
      <c r="P404" s="9">
        <v>133</v>
      </c>
    </row>
    <row r="405" spans="1:16" x14ac:dyDescent="0.25">
      <c r="A405" s="10">
        <v>404</v>
      </c>
      <c r="B405" s="11">
        <v>40561</v>
      </c>
      <c r="C405" s="12">
        <v>19</v>
      </c>
      <c r="D405" s="12" t="b">
        <v>0</v>
      </c>
      <c r="E405" s="12" t="str">
        <f t="shared" si="18"/>
        <v>Working Day</v>
      </c>
      <c r="F405" s="12">
        <v>2</v>
      </c>
      <c r="G405" s="12" t="str">
        <f t="shared" si="19"/>
        <v>Tue</v>
      </c>
      <c r="H405" s="12">
        <v>2</v>
      </c>
      <c r="I405" s="12" t="str">
        <f t="shared" si="20"/>
        <v>light rain</v>
      </c>
      <c r="J405" s="12">
        <v>0.22</v>
      </c>
      <c r="K405" s="12">
        <v>0.2273</v>
      </c>
      <c r="L405" s="12">
        <v>0.8</v>
      </c>
      <c r="M405" s="12">
        <v>0.1343</v>
      </c>
      <c r="N405" s="12">
        <v>1</v>
      </c>
      <c r="O405" s="12">
        <v>98</v>
      </c>
      <c r="P405" s="13">
        <v>99</v>
      </c>
    </row>
    <row r="406" spans="1:16" x14ac:dyDescent="0.25">
      <c r="A406" s="6">
        <v>405</v>
      </c>
      <c r="B406" s="7">
        <v>40561</v>
      </c>
      <c r="C406" s="8">
        <v>20</v>
      </c>
      <c r="D406" s="8" t="b">
        <v>0</v>
      </c>
      <c r="E406" s="8" t="str">
        <f t="shared" si="18"/>
        <v>Working Day</v>
      </c>
      <c r="F406" s="8">
        <v>2</v>
      </c>
      <c r="G406" s="8" t="str">
        <f t="shared" si="19"/>
        <v>Tue</v>
      </c>
      <c r="H406" s="8">
        <v>2</v>
      </c>
      <c r="I406" s="8" t="str">
        <f t="shared" si="20"/>
        <v>light rain</v>
      </c>
      <c r="J406" s="8">
        <v>0.22</v>
      </c>
      <c r="K406" s="8">
        <v>0.2727</v>
      </c>
      <c r="L406" s="8">
        <v>0.87</v>
      </c>
      <c r="M406" s="8">
        <v>0</v>
      </c>
      <c r="N406" s="8">
        <v>0</v>
      </c>
      <c r="O406" s="8">
        <v>83</v>
      </c>
      <c r="P406" s="9">
        <v>83</v>
      </c>
    </row>
    <row r="407" spans="1:16" x14ac:dyDescent="0.25">
      <c r="A407" s="10">
        <v>406</v>
      </c>
      <c r="B407" s="11">
        <v>40561</v>
      </c>
      <c r="C407" s="12">
        <v>21</v>
      </c>
      <c r="D407" s="12" t="b">
        <v>0</v>
      </c>
      <c r="E407" s="12" t="str">
        <f t="shared" si="18"/>
        <v>Working Day</v>
      </c>
      <c r="F407" s="12">
        <v>2</v>
      </c>
      <c r="G407" s="12" t="str">
        <f t="shared" si="19"/>
        <v>Tue</v>
      </c>
      <c r="H407" s="12">
        <v>2</v>
      </c>
      <c r="I407" s="12" t="str">
        <f t="shared" si="20"/>
        <v>light rain</v>
      </c>
      <c r="J407" s="12">
        <v>0.22</v>
      </c>
      <c r="K407" s="12">
        <v>0.2424</v>
      </c>
      <c r="L407" s="12">
        <v>0.93</v>
      </c>
      <c r="M407" s="12">
        <v>0.1045</v>
      </c>
      <c r="N407" s="12">
        <v>0</v>
      </c>
      <c r="O407" s="12">
        <v>41</v>
      </c>
      <c r="P407" s="13">
        <v>41</v>
      </c>
    </row>
    <row r="408" spans="1:16" x14ac:dyDescent="0.25">
      <c r="A408" s="6">
        <v>407</v>
      </c>
      <c r="B408" s="7">
        <v>40561</v>
      </c>
      <c r="C408" s="8">
        <v>22</v>
      </c>
      <c r="D408" s="8" t="b">
        <v>0</v>
      </c>
      <c r="E408" s="8" t="str">
        <f t="shared" si="18"/>
        <v>Working Day</v>
      </c>
      <c r="F408" s="8">
        <v>2</v>
      </c>
      <c r="G408" s="8" t="str">
        <f t="shared" si="19"/>
        <v>Tue</v>
      </c>
      <c r="H408" s="8">
        <v>2</v>
      </c>
      <c r="I408" s="8" t="str">
        <f t="shared" si="20"/>
        <v>light rain</v>
      </c>
      <c r="J408" s="8">
        <v>0.22</v>
      </c>
      <c r="K408" s="8">
        <v>0.2576</v>
      </c>
      <c r="L408" s="8">
        <v>0.93</v>
      </c>
      <c r="M408" s="8">
        <v>8.9599999999999999E-2</v>
      </c>
      <c r="N408" s="8">
        <v>0</v>
      </c>
      <c r="O408" s="8">
        <v>33</v>
      </c>
      <c r="P408" s="9">
        <v>33</v>
      </c>
    </row>
    <row r="409" spans="1:16" x14ac:dyDescent="0.25">
      <c r="A409" s="10">
        <v>408</v>
      </c>
      <c r="B409" s="11">
        <v>40561</v>
      </c>
      <c r="C409" s="12">
        <v>23</v>
      </c>
      <c r="D409" s="12" t="b">
        <v>0</v>
      </c>
      <c r="E409" s="12" t="str">
        <f t="shared" si="18"/>
        <v>Working Day</v>
      </c>
      <c r="F409" s="12">
        <v>2</v>
      </c>
      <c r="G409" s="12" t="str">
        <f t="shared" si="19"/>
        <v>Tue</v>
      </c>
      <c r="H409" s="12">
        <v>2</v>
      </c>
      <c r="I409" s="12" t="str">
        <f t="shared" si="20"/>
        <v>light rain</v>
      </c>
      <c r="J409" s="12">
        <v>0.22</v>
      </c>
      <c r="K409" s="12">
        <v>0.2727</v>
      </c>
      <c r="L409" s="12">
        <v>0.93</v>
      </c>
      <c r="M409" s="12">
        <v>0</v>
      </c>
      <c r="N409" s="12">
        <v>1</v>
      </c>
      <c r="O409" s="12">
        <v>19</v>
      </c>
      <c r="P409" s="13">
        <v>20</v>
      </c>
    </row>
    <row r="410" spans="1:16" x14ac:dyDescent="0.25">
      <c r="A410" s="6">
        <v>409</v>
      </c>
      <c r="B410" s="7">
        <v>40562</v>
      </c>
      <c r="C410" s="8">
        <v>0</v>
      </c>
      <c r="D410" s="8" t="b">
        <v>0</v>
      </c>
      <c r="E410" s="8" t="str">
        <f t="shared" si="18"/>
        <v>Working Day</v>
      </c>
      <c r="F410" s="8">
        <v>3</v>
      </c>
      <c r="G410" s="8" t="str">
        <f t="shared" si="19"/>
        <v>Wed</v>
      </c>
      <c r="H410" s="8">
        <v>2</v>
      </c>
      <c r="I410" s="8" t="str">
        <f t="shared" si="20"/>
        <v>light rain</v>
      </c>
      <c r="J410" s="8">
        <v>0.22</v>
      </c>
      <c r="K410" s="8">
        <v>0.2727</v>
      </c>
      <c r="L410" s="8">
        <v>0.93</v>
      </c>
      <c r="M410" s="8">
        <v>0</v>
      </c>
      <c r="N410" s="8">
        <v>0</v>
      </c>
      <c r="O410" s="8">
        <v>3</v>
      </c>
      <c r="P410" s="9">
        <v>3</v>
      </c>
    </row>
    <row r="411" spans="1:16" x14ac:dyDescent="0.25">
      <c r="A411" s="10">
        <v>410</v>
      </c>
      <c r="B411" s="11">
        <v>40562</v>
      </c>
      <c r="C411" s="12">
        <v>1</v>
      </c>
      <c r="D411" s="12" t="b">
        <v>0</v>
      </c>
      <c r="E411" s="12" t="str">
        <f t="shared" si="18"/>
        <v>Working Day</v>
      </c>
      <c r="F411" s="12">
        <v>3</v>
      </c>
      <c r="G411" s="12" t="str">
        <f t="shared" si="19"/>
        <v>Wed</v>
      </c>
      <c r="H411" s="12">
        <v>3</v>
      </c>
      <c r="I411" s="12" t="str">
        <f t="shared" si="20"/>
        <v>heavy rain</v>
      </c>
      <c r="J411" s="12">
        <v>0.22</v>
      </c>
      <c r="K411" s="12">
        <v>0.2273</v>
      </c>
      <c r="L411" s="12">
        <v>0.93</v>
      </c>
      <c r="M411" s="12">
        <v>0.1343</v>
      </c>
      <c r="N411" s="12">
        <v>1</v>
      </c>
      <c r="O411" s="12">
        <v>6</v>
      </c>
      <c r="P411" s="13">
        <v>7</v>
      </c>
    </row>
    <row r="412" spans="1:16" x14ac:dyDescent="0.25">
      <c r="A412" s="6">
        <v>411</v>
      </c>
      <c r="B412" s="7">
        <v>40562</v>
      </c>
      <c r="C412" s="8">
        <v>2</v>
      </c>
      <c r="D412" s="8" t="b">
        <v>0</v>
      </c>
      <c r="E412" s="8" t="str">
        <f t="shared" si="18"/>
        <v>Working Day</v>
      </c>
      <c r="F412" s="8">
        <v>3</v>
      </c>
      <c r="G412" s="8" t="str">
        <f t="shared" si="19"/>
        <v>Wed</v>
      </c>
      <c r="H412" s="8">
        <v>3</v>
      </c>
      <c r="I412" s="8" t="str">
        <f t="shared" si="20"/>
        <v>heavy rain</v>
      </c>
      <c r="J412" s="8">
        <v>0.22</v>
      </c>
      <c r="K412" s="8">
        <v>0.2273</v>
      </c>
      <c r="L412" s="8">
        <v>0.93</v>
      </c>
      <c r="M412" s="8">
        <v>0.1343</v>
      </c>
      <c r="N412" s="8">
        <v>0</v>
      </c>
      <c r="O412" s="8">
        <v>3</v>
      </c>
      <c r="P412" s="9">
        <v>3</v>
      </c>
    </row>
    <row r="413" spans="1:16" x14ac:dyDescent="0.25">
      <c r="A413" s="10">
        <v>412</v>
      </c>
      <c r="B413" s="11">
        <v>40562</v>
      </c>
      <c r="C413" s="12">
        <v>4</v>
      </c>
      <c r="D413" s="12" t="b">
        <v>0</v>
      </c>
      <c r="E413" s="12" t="str">
        <f t="shared" si="18"/>
        <v>Working Day</v>
      </c>
      <c r="F413" s="12">
        <v>3</v>
      </c>
      <c r="G413" s="12" t="str">
        <f t="shared" si="19"/>
        <v>Wed</v>
      </c>
      <c r="H413" s="12">
        <v>3</v>
      </c>
      <c r="I413" s="12" t="str">
        <f t="shared" si="20"/>
        <v>heavy rain</v>
      </c>
      <c r="J413" s="12">
        <v>0.22</v>
      </c>
      <c r="K413" s="12">
        <v>0.2273</v>
      </c>
      <c r="L413" s="12">
        <v>0.93</v>
      </c>
      <c r="M413" s="12">
        <v>0.1343</v>
      </c>
      <c r="N413" s="12">
        <v>1</v>
      </c>
      <c r="O413" s="12">
        <v>1</v>
      </c>
      <c r="P413" s="13">
        <v>2</v>
      </c>
    </row>
    <row r="414" spans="1:16" x14ac:dyDescent="0.25">
      <c r="A414" s="6">
        <v>413</v>
      </c>
      <c r="B414" s="7">
        <v>40562</v>
      </c>
      <c r="C414" s="8">
        <v>5</v>
      </c>
      <c r="D414" s="8" t="b">
        <v>0</v>
      </c>
      <c r="E414" s="8" t="str">
        <f t="shared" si="18"/>
        <v>Working Day</v>
      </c>
      <c r="F414" s="8">
        <v>3</v>
      </c>
      <c r="G414" s="8" t="str">
        <f t="shared" si="19"/>
        <v>Wed</v>
      </c>
      <c r="H414" s="8">
        <v>2</v>
      </c>
      <c r="I414" s="8" t="str">
        <f t="shared" si="20"/>
        <v>light rain</v>
      </c>
      <c r="J414" s="8">
        <v>0.22</v>
      </c>
      <c r="K414" s="8">
        <v>0.2576</v>
      </c>
      <c r="L414" s="8">
        <v>0.93</v>
      </c>
      <c r="M414" s="8">
        <v>8.9599999999999999E-2</v>
      </c>
      <c r="N414" s="8">
        <v>0</v>
      </c>
      <c r="O414" s="8">
        <v>7</v>
      </c>
      <c r="P414" s="9">
        <v>7</v>
      </c>
    </row>
    <row r="415" spans="1:16" x14ac:dyDescent="0.25">
      <c r="A415" s="10">
        <v>414</v>
      </c>
      <c r="B415" s="11">
        <v>40562</v>
      </c>
      <c r="C415" s="12">
        <v>6</v>
      </c>
      <c r="D415" s="12" t="b">
        <v>0</v>
      </c>
      <c r="E415" s="12" t="str">
        <f t="shared" si="18"/>
        <v>Working Day</v>
      </c>
      <c r="F415" s="12">
        <v>3</v>
      </c>
      <c r="G415" s="12" t="str">
        <f t="shared" si="19"/>
        <v>Wed</v>
      </c>
      <c r="H415" s="12">
        <v>2</v>
      </c>
      <c r="I415" s="12" t="str">
        <f t="shared" si="20"/>
        <v>light rain</v>
      </c>
      <c r="J415" s="12">
        <v>0.22</v>
      </c>
      <c r="K415" s="12">
        <v>0.2576</v>
      </c>
      <c r="L415" s="12">
        <v>0.93</v>
      </c>
      <c r="M415" s="12">
        <v>8.9599999999999999E-2</v>
      </c>
      <c r="N415" s="12">
        <v>0</v>
      </c>
      <c r="O415" s="12">
        <v>32</v>
      </c>
      <c r="P415" s="13">
        <v>32</v>
      </c>
    </row>
    <row r="416" spans="1:16" x14ac:dyDescent="0.25">
      <c r="A416" s="6">
        <v>415</v>
      </c>
      <c r="B416" s="7">
        <v>40562</v>
      </c>
      <c r="C416" s="8">
        <v>7</v>
      </c>
      <c r="D416" s="8" t="b">
        <v>0</v>
      </c>
      <c r="E416" s="8" t="str">
        <f t="shared" si="18"/>
        <v>Working Day</v>
      </c>
      <c r="F416" s="8">
        <v>3</v>
      </c>
      <c r="G416" s="8" t="str">
        <f t="shared" si="19"/>
        <v>Wed</v>
      </c>
      <c r="H416" s="8">
        <v>2</v>
      </c>
      <c r="I416" s="8" t="str">
        <f t="shared" si="20"/>
        <v>light rain</v>
      </c>
      <c r="J416" s="8">
        <v>0.24</v>
      </c>
      <c r="K416" s="8">
        <v>0.2576</v>
      </c>
      <c r="L416" s="8">
        <v>0.92</v>
      </c>
      <c r="M416" s="8">
        <v>0.1045</v>
      </c>
      <c r="N416" s="8">
        <v>1</v>
      </c>
      <c r="O416" s="8">
        <v>89</v>
      </c>
      <c r="P416" s="9">
        <v>90</v>
      </c>
    </row>
    <row r="417" spans="1:16" x14ac:dyDescent="0.25">
      <c r="A417" s="10">
        <v>416</v>
      </c>
      <c r="B417" s="11">
        <v>40562</v>
      </c>
      <c r="C417" s="12">
        <v>8</v>
      </c>
      <c r="D417" s="12" t="b">
        <v>0</v>
      </c>
      <c r="E417" s="12" t="str">
        <f t="shared" si="18"/>
        <v>Working Day</v>
      </c>
      <c r="F417" s="12">
        <v>3</v>
      </c>
      <c r="G417" s="12" t="str">
        <f t="shared" si="19"/>
        <v>Wed</v>
      </c>
      <c r="H417" s="12">
        <v>2</v>
      </c>
      <c r="I417" s="12" t="str">
        <f t="shared" si="20"/>
        <v>light rain</v>
      </c>
      <c r="J417" s="12">
        <v>0.24</v>
      </c>
      <c r="K417" s="12">
        <v>0.2576</v>
      </c>
      <c r="L417" s="12">
        <v>0.93</v>
      </c>
      <c r="M417" s="12">
        <v>0.1045</v>
      </c>
      <c r="N417" s="12">
        <v>1</v>
      </c>
      <c r="O417" s="12">
        <v>196</v>
      </c>
      <c r="P417" s="13">
        <v>197</v>
      </c>
    </row>
    <row r="418" spans="1:16" x14ac:dyDescent="0.25">
      <c r="A418" s="6">
        <v>417</v>
      </c>
      <c r="B418" s="7">
        <v>40562</v>
      </c>
      <c r="C418" s="8">
        <v>9</v>
      </c>
      <c r="D418" s="8" t="b">
        <v>0</v>
      </c>
      <c r="E418" s="8" t="str">
        <f t="shared" si="18"/>
        <v>Working Day</v>
      </c>
      <c r="F418" s="8">
        <v>3</v>
      </c>
      <c r="G418" s="8" t="str">
        <f t="shared" si="19"/>
        <v>Wed</v>
      </c>
      <c r="H418" s="8">
        <v>2</v>
      </c>
      <c r="I418" s="8" t="str">
        <f t="shared" si="20"/>
        <v>light rain</v>
      </c>
      <c r="J418" s="8">
        <v>0.24</v>
      </c>
      <c r="K418" s="8">
        <v>0.2576</v>
      </c>
      <c r="L418" s="8">
        <v>0.93</v>
      </c>
      <c r="M418" s="8">
        <v>0.1045</v>
      </c>
      <c r="N418" s="8">
        <v>2</v>
      </c>
      <c r="O418" s="8">
        <v>107</v>
      </c>
      <c r="P418" s="9">
        <v>109</v>
      </c>
    </row>
    <row r="419" spans="1:16" x14ac:dyDescent="0.25">
      <c r="A419" s="10">
        <v>418</v>
      </c>
      <c r="B419" s="11">
        <v>40562</v>
      </c>
      <c r="C419" s="12">
        <v>10</v>
      </c>
      <c r="D419" s="12" t="b">
        <v>0</v>
      </c>
      <c r="E419" s="12" t="str">
        <f t="shared" si="18"/>
        <v>Working Day</v>
      </c>
      <c r="F419" s="12">
        <v>3</v>
      </c>
      <c r="G419" s="12" t="str">
        <f t="shared" si="19"/>
        <v>Wed</v>
      </c>
      <c r="H419" s="12">
        <v>2</v>
      </c>
      <c r="I419" s="12" t="str">
        <f t="shared" si="20"/>
        <v>light rain</v>
      </c>
      <c r="J419" s="12">
        <v>0.26</v>
      </c>
      <c r="K419" s="12">
        <v>0.2727</v>
      </c>
      <c r="L419" s="12">
        <v>0.93</v>
      </c>
      <c r="M419" s="12">
        <v>0.1343</v>
      </c>
      <c r="N419" s="12">
        <v>1</v>
      </c>
      <c r="O419" s="12">
        <v>46</v>
      </c>
      <c r="P419" s="13">
        <v>47</v>
      </c>
    </row>
    <row r="420" spans="1:16" x14ac:dyDescent="0.25">
      <c r="A420" s="6">
        <v>419</v>
      </c>
      <c r="B420" s="7">
        <v>40562</v>
      </c>
      <c r="C420" s="8">
        <v>11</v>
      </c>
      <c r="D420" s="8" t="b">
        <v>0</v>
      </c>
      <c r="E420" s="8" t="str">
        <f t="shared" si="18"/>
        <v>Working Day</v>
      </c>
      <c r="F420" s="8">
        <v>3</v>
      </c>
      <c r="G420" s="8" t="str">
        <f t="shared" si="19"/>
        <v>Wed</v>
      </c>
      <c r="H420" s="8">
        <v>2</v>
      </c>
      <c r="I420" s="8" t="str">
        <f t="shared" si="20"/>
        <v>light rain</v>
      </c>
      <c r="J420" s="8">
        <v>0.28000000000000003</v>
      </c>
      <c r="K420" s="8">
        <v>0.30299999999999999</v>
      </c>
      <c r="L420" s="8">
        <v>0.87</v>
      </c>
      <c r="M420" s="8">
        <v>8.9599999999999999E-2</v>
      </c>
      <c r="N420" s="8">
        <v>5</v>
      </c>
      <c r="O420" s="8">
        <v>47</v>
      </c>
      <c r="P420" s="9">
        <v>52</v>
      </c>
    </row>
    <row r="421" spans="1:16" x14ac:dyDescent="0.25">
      <c r="A421" s="10">
        <v>420</v>
      </c>
      <c r="B421" s="11">
        <v>40562</v>
      </c>
      <c r="C421" s="12">
        <v>12</v>
      </c>
      <c r="D421" s="12" t="b">
        <v>0</v>
      </c>
      <c r="E421" s="12" t="str">
        <f t="shared" si="18"/>
        <v>Working Day</v>
      </c>
      <c r="F421" s="12">
        <v>3</v>
      </c>
      <c r="G421" s="12" t="str">
        <f t="shared" si="19"/>
        <v>Wed</v>
      </c>
      <c r="H421" s="12">
        <v>2</v>
      </c>
      <c r="I421" s="12" t="str">
        <f t="shared" si="20"/>
        <v>light rain</v>
      </c>
      <c r="J421" s="12">
        <v>0.3</v>
      </c>
      <c r="K421" s="12">
        <v>0.31819999999999998</v>
      </c>
      <c r="L421" s="12">
        <v>0.81</v>
      </c>
      <c r="M421" s="12">
        <v>8.9599999999999999E-2</v>
      </c>
      <c r="N421" s="12">
        <v>5</v>
      </c>
      <c r="O421" s="12">
        <v>65</v>
      </c>
      <c r="P421" s="13">
        <v>70</v>
      </c>
    </row>
    <row r="422" spans="1:16" x14ac:dyDescent="0.25">
      <c r="A422" s="6">
        <v>421</v>
      </c>
      <c r="B422" s="7">
        <v>40562</v>
      </c>
      <c r="C422" s="8">
        <v>13</v>
      </c>
      <c r="D422" s="8" t="b">
        <v>0</v>
      </c>
      <c r="E422" s="8" t="str">
        <f t="shared" si="18"/>
        <v>Working Day</v>
      </c>
      <c r="F422" s="8">
        <v>3</v>
      </c>
      <c r="G422" s="8" t="str">
        <f t="shared" si="19"/>
        <v>Wed</v>
      </c>
      <c r="H422" s="8">
        <v>1</v>
      </c>
      <c r="I422" s="8" t="str">
        <f t="shared" si="20"/>
        <v>mist/cloudy</v>
      </c>
      <c r="J422" s="8">
        <v>0.4</v>
      </c>
      <c r="K422" s="8">
        <v>0.40910000000000002</v>
      </c>
      <c r="L422" s="8">
        <v>0.62</v>
      </c>
      <c r="M422" s="8">
        <v>0.28360000000000002</v>
      </c>
      <c r="N422" s="8">
        <v>11</v>
      </c>
      <c r="O422" s="8">
        <v>67</v>
      </c>
      <c r="P422" s="9">
        <v>78</v>
      </c>
    </row>
    <row r="423" spans="1:16" x14ac:dyDescent="0.25">
      <c r="A423" s="10">
        <v>422</v>
      </c>
      <c r="B423" s="11">
        <v>40562</v>
      </c>
      <c r="C423" s="12">
        <v>14</v>
      </c>
      <c r="D423" s="12" t="b">
        <v>0</v>
      </c>
      <c r="E423" s="12" t="str">
        <f t="shared" si="18"/>
        <v>Working Day</v>
      </c>
      <c r="F423" s="12">
        <v>3</v>
      </c>
      <c r="G423" s="12" t="str">
        <f t="shared" si="19"/>
        <v>Wed</v>
      </c>
      <c r="H423" s="12">
        <v>1</v>
      </c>
      <c r="I423" s="12" t="str">
        <f t="shared" si="20"/>
        <v>mist/cloudy</v>
      </c>
      <c r="J423" s="12">
        <v>0.4</v>
      </c>
      <c r="K423" s="12">
        <v>0.40910000000000002</v>
      </c>
      <c r="L423" s="12">
        <v>0.57999999999999996</v>
      </c>
      <c r="M423" s="12">
        <v>0.25369999999999998</v>
      </c>
      <c r="N423" s="12">
        <v>7</v>
      </c>
      <c r="O423" s="12">
        <v>68</v>
      </c>
      <c r="P423" s="13">
        <v>75</v>
      </c>
    </row>
    <row r="424" spans="1:16" x14ac:dyDescent="0.25">
      <c r="A424" s="6">
        <v>423</v>
      </c>
      <c r="B424" s="7">
        <v>40562</v>
      </c>
      <c r="C424" s="8">
        <v>15</v>
      </c>
      <c r="D424" s="8" t="b">
        <v>0</v>
      </c>
      <c r="E424" s="8" t="str">
        <f t="shared" si="18"/>
        <v>Working Day</v>
      </c>
      <c r="F424" s="8">
        <v>3</v>
      </c>
      <c r="G424" s="8" t="str">
        <f t="shared" si="19"/>
        <v>Wed</v>
      </c>
      <c r="H424" s="8">
        <v>1</v>
      </c>
      <c r="I424" s="8" t="str">
        <f t="shared" si="20"/>
        <v>mist/cloudy</v>
      </c>
      <c r="J424" s="8">
        <v>0.4</v>
      </c>
      <c r="K424" s="8">
        <v>0.40910000000000002</v>
      </c>
      <c r="L424" s="8">
        <v>0.54</v>
      </c>
      <c r="M424" s="8">
        <v>0.28360000000000002</v>
      </c>
      <c r="N424" s="8">
        <v>4</v>
      </c>
      <c r="O424" s="8">
        <v>78</v>
      </c>
      <c r="P424" s="9">
        <v>82</v>
      </c>
    </row>
    <row r="425" spans="1:16" x14ac:dyDescent="0.25">
      <c r="A425" s="10">
        <v>424</v>
      </c>
      <c r="B425" s="11">
        <v>40562</v>
      </c>
      <c r="C425" s="12">
        <v>16</v>
      </c>
      <c r="D425" s="12" t="b">
        <v>0</v>
      </c>
      <c r="E425" s="12" t="str">
        <f t="shared" si="18"/>
        <v>Working Day</v>
      </c>
      <c r="F425" s="12">
        <v>3</v>
      </c>
      <c r="G425" s="12" t="str">
        <f t="shared" si="19"/>
        <v>Wed</v>
      </c>
      <c r="H425" s="12">
        <v>1</v>
      </c>
      <c r="I425" s="12" t="str">
        <f t="shared" si="20"/>
        <v>mist/cloudy</v>
      </c>
      <c r="J425" s="12">
        <v>0.38</v>
      </c>
      <c r="K425" s="12">
        <v>0.39389999999999997</v>
      </c>
      <c r="L425" s="12">
        <v>0.57999999999999996</v>
      </c>
      <c r="M425" s="12">
        <v>0.3881</v>
      </c>
      <c r="N425" s="12">
        <v>10</v>
      </c>
      <c r="O425" s="12">
        <v>94</v>
      </c>
      <c r="P425" s="13">
        <v>104</v>
      </c>
    </row>
    <row r="426" spans="1:16" x14ac:dyDescent="0.25">
      <c r="A426" s="6">
        <v>425</v>
      </c>
      <c r="B426" s="7">
        <v>40562</v>
      </c>
      <c r="C426" s="8">
        <v>17</v>
      </c>
      <c r="D426" s="8" t="b">
        <v>0</v>
      </c>
      <c r="E426" s="8" t="str">
        <f t="shared" si="18"/>
        <v>Working Day</v>
      </c>
      <c r="F426" s="8">
        <v>3</v>
      </c>
      <c r="G426" s="8" t="str">
        <f t="shared" si="19"/>
        <v>Wed</v>
      </c>
      <c r="H426" s="8">
        <v>1</v>
      </c>
      <c r="I426" s="8" t="str">
        <f t="shared" si="20"/>
        <v>mist/cloudy</v>
      </c>
      <c r="J426" s="8">
        <v>0.36</v>
      </c>
      <c r="K426" s="8">
        <v>0.33329999999999999</v>
      </c>
      <c r="L426" s="8">
        <v>0.56999999999999995</v>
      </c>
      <c r="M426" s="8">
        <v>0.32840000000000003</v>
      </c>
      <c r="N426" s="8">
        <v>7</v>
      </c>
      <c r="O426" s="8">
        <v>190</v>
      </c>
      <c r="P426" s="9">
        <v>197</v>
      </c>
    </row>
    <row r="427" spans="1:16" x14ac:dyDescent="0.25">
      <c r="A427" s="10">
        <v>426</v>
      </c>
      <c r="B427" s="11">
        <v>40562</v>
      </c>
      <c r="C427" s="12">
        <v>18</v>
      </c>
      <c r="D427" s="12" t="b">
        <v>0</v>
      </c>
      <c r="E427" s="12" t="str">
        <f t="shared" si="18"/>
        <v>Working Day</v>
      </c>
      <c r="F427" s="12">
        <v>3</v>
      </c>
      <c r="G427" s="12" t="str">
        <f t="shared" si="19"/>
        <v>Wed</v>
      </c>
      <c r="H427" s="12">
        <v>1</v>
      </c>
      <c r="I427" s="12" t="str">
        <f t="shared" si="20"/>
        <v>mist/cloudy</v>
      </c>
      <c r="J427" s="12">
        <v>0.34</v>
      </c>
      <c r="K427" s="12">
        <v>0.31819999999999998</v>
      </c>
      <c r="L427" s="12">
        <v>0.61</v>
      </c>
      <c r="M427" s="12">
        <v>0.28360000000000002</v>
      </c>
      <c r="N427" s="12">
        <v>5</v>
      </c>
      <c r="O427" s="12">
        <v>156</v>
      </c>
      <c r="P427" s="13">
        <v>161</v>
      </c>
    </row>
    <row r="428" spans="1:16" x14ac:dyDescent="0.25">
      <c r="A428" s="6">
        <v>427</v>
      </c>
      <c r="B428" s="7">
        <v>40562</v>
      </c>
      <c r="C428" s="8">
        <v>19</v>
      </c>
      <c r="D428" s="8" t="b">
        <v>0</v>
      </c>
      <c r="E428" s="8" t="str">
        <f t="shared" si="18"/>
        <v>Working Day</v>
      </c>
      <c r="F428" s="8">
        <v>3</v>
      </c>
      <c r="G428" s="8" t="str">
        <f t="shared" si="19"/>
        <v>Wed</v>
      </c>
      <c r="H428" s="8">
        <v>1</v>
      </c>
      <c r="I428" s="8" t="str">
        <f t="shared" si="20"/>
        <v>mist/cloudy</v>
      </c>
      <c r="J428" s="8">
        <v>0.32</v>
      </c>
      <c r="K428" s="8">
        <v>0.28789999999999999</v>
      </c>
      <c r="L428" s="8">
        <v>0.56999999999999995</v>
      </c>
      <c r="M428" s="8">
        <v>0.41789999999999999</v>
      </c>
      <c r="N428" s="8">
        <v>4</v>
      </c>
      <c r="O428" s="8">
        <v>108</v>
      </c>
      <c r="P428" s="9">
        <v>112</v>
      </c>
    </row>
    <row r="429" spans="1:16" x14ac:dyDescent="0.25">
      <c r="A429" s="10">
        <v>428</v>
      </c>
      <c r="B429" s="11">
        <v>40562</v>
      </c>
      <c r="C429" s="12">
        <v>20</v>
      </c>
      <c r="D429" s="12" t="b">
        <v>0</v>
      </c>
      <c r="E429" s="12" t="str">
        <f t="shared" si="18"/>
        <v>Working Day</v>
      </c>
      <c r="F429" s="12">
        <v>3</v>
      </c>
      <c r="G429" s="12" t="str">
        <f t="shared" si="19"/>
        <v>Wed</v>
      </c>
      <c r="H429" s="12">
        <v>1</v>
      </c>
      <c r="I429" s="12" t="str">
        <f t="shared" si="20"/>
        <v>mist/cloudy</v>
      </c>
      <c r="J429" s="12">
        <v>0.32</v>
      </c>
      <c r="K429" s="12">
        <v>0.30299999999999999</v>
      </c>
      <c r="L429" s="12">
        <v>0.49</v>
      </c>
      <c r="M429" s="12">
        <v>0.29849999999999999</v>
      </c>
      <c r="N429" s="12">
        <v>2</v>
      </c>
      <c r="O429" s="12">
        <v>74</v>
      </c>
      <c r="P429" s="13">
        <v>76</v>
      </c>
    </row>
    <row r="430" spans="1:16" x14ac:dyDescent="0.25">
      <c r="A430" s="6">
        <v>429</v>
      </c>
      <c r="B430" s="7">
        <v>40562</v>
      </c>
      <c r="C430" s="8">
        <v>21</v>
      </c>
      <c r="D430" s="8" t="b">
        <v>0</v>
      </c>
      <c r="E430" s="8" t="str">
        <f t="shared" si="18"/>
        <v>Working Day</v>
      </c>
      <c r="F430" s="8">
        <v>3</v>
      </c>
      <c r="G430" s="8" t="str">
        <f t="shared" si="19"/>
        <v>Wed</v>
      </c>
      <c r="H430" s="8">
        <v>1</v>
      </c>
      <c r="I430" s="8" t="str">
        <f t="shared" si="20"/>
        <v>mist/cloudy</v>
      </c>
      <c r="J430" s="8">
        <v>0.32</v>
      </c>
      <c r="K430" s="8">
        <v>0.28789999999999999</v>
      </c>
      <c r="L430" s="8">
        <v>0.49</v>
      </c>
      <c r="M430" s="8">
        <v>0.41789999999999999</v>
      </c>
      <c r="N430" s="8">
        <v>4</v>
      </c>
      <c r="O430" s="8">
        <v>55</v>
      </c>
      <c r="P430" s="9">
        <v>59</v>
      </c>
    </row>
    <row r="431" spans="1:16" x14ac:dyDescent="0.25">
      <c r="A431" s="10">
        <v>430</v>
      </c>
      <c r="B431" s="11">
        <v>40562</v>
      </c>
      <c r="C431" s="12">
        <v>22</v>
      </c>
      <c r="D431" s="12" t="b">
        <v>0</v>
      </c>
      <c r="E431" s="12" t="str">
        <f t="shared" si="18"/>
        <v>Working Day</v>
      </c>
      <c r="F431" s="12">
        <v>3</v>
      </c>
      <c r="G431" s="12" t="str">
        <f t="shared" si="19"/>
        <v>Wed</v>
      </c>
      <c r="H431" s="12">
        <v>1</v>
      </c>
      <c r="I431" s="12" t="str">
        <f t="shared" si="20"/>
        <v>mist/cloudy</v>
      </c>
      <c r="J431" s="12">
        <v>0.3</v>
      </c>
      <c r="K431" s="12">
        <v>0.30299999999999999</v>
      </c>
      <c r="L431" s="12">
        <v>0.52</v>
      </c>
      <c r="M431" s="12">
        <v>0.16420000000000001</v>
      </c>
      <c r="N431" s="12">
        <v>6</v>
      </c>
      <c r="O431" s="12">
        <v>53</v>
      </c>
      <c r="P431" s="13">
        <v>59</v>
      </c>
    </row>
    <row r="432" spans="1:16" x14ac:dyDescent="0.25">
      <c r="A432" s="6">
        <v>431</v>
      </c>
      <c r="B432" s="7">
        <v>40562</v>
      </c>
      <c r="C432" s="8">
        <v>23</v>
      </c>
      <c r="D432" s="8" t="b">
        <v>0</v>
      </c>
      <c r="E432" s="8" t="str">
        <f t="shared" si="18"/>
        <v>Working Day</v>
      </c>
      <c r="F432" s="8">
        <v>3</v>
      </c>
      <c r="G432" s="8" t="str">
        <f t="shared" si="19"/>
        <v>Wed</v>
      </c>
      <c r="H432" s="8">
        <v>1</v>
      </c>
      <c r="I432" s="8" t="str">
        <f t="shared" si="20"/>
        <v>mist/cloudy</v>
      </c>
      <c r="J432" s="8">
        <v>0.3</v>
      </c>
      <c r="K432" s="8">
        <v>0.2727</v>
      </c>
      <c r="L432" s="8">
        <v>0.52</v>
      </c>
      <c r="M432" s="8">
        <v>0.4627</v>
      </c>
      <c r="N432" s="8">
        <v>1</v>
      </c>
      <c r="O432" s="8">
        <v>27</v>
      </c>
      <c r="P432" s="9">
        <v>28</v>
      </c>
    </row>
    <row r="433" spans="1:16" x14ac:dyDescent="0.25">
      <c r="A433" s="10">
        <v>432</v>
      </c>
      <c r="B433" s="11">
        <v>40563</v>
      </c>
      <c r="C433" s="12">
        <v>0</v>
      </c>
      <c r="D433" s="12" t="b">
        <v>0</v>
      </c>
      <c r="E433" s="12" t="str">
        <f t="shared" si="18"/>
        <v>Working Day</v>
      </c>
      <c r="F433" s="12">
        <v>4</v>
      </c>
      <c r="G433" s="12" t="str">
        <f t="shared" si="19"/>
        <v>Thu</v>
      </c>
      <c r="H433" s="12">
        <v>1</v>
      </c>
      <c r="I433" s="12" t="str">
        <f t="shared" si="20"/>
        <v>mist/cloudy</v>
      </c>
      <c r="J433" s="12">
        <v>0.26</v>
      </c>
      <c r="K433" s="12">
        <v>0.2273</v>
      </c>
      <c r="L433" s="12">
        <v>0.56000000000000005</v>
      </c>
      <c r="M433" s="12">
        <v>0.3881</v>
      </c>
      <c r="N433" s="12">
        <v>5</v>
      </c>
      <c r="O433" s="12">
        <v>8</v>
      </c>
      <c r="P433" s="13">
        <v>13</v>
      </c>
    </row>
    <row r="434" spans="1:16" x14ac:dyDescent="0.25">
      <c r="A434" s="6">
        <v>433</v>
      </c>
      <c r="B434" s="7">
        <v>40563</v>
      </c>
      <c r="C434" s="8">
        <v>1</v>
      </c>
      <c r="D434" s="8" t="b">
        <v>0</v>
      </c>
      <c r="E434" s="8" t="str">
        <f t="shared" si="18"/>
        <v>Working Day</v>
      </c>
      <c r="F434" s="8">
        <v>4</v>
      </c>
      <c r="G434" s="8" t="str">
        <f t="shared" si="19"/>
        <v>Thu</v>
      </c>
      <c r="H434" s="8">
        <v>1</v>
      </c>
      <c r="I434" s="8" t="str">
        <f t="shared" si="20"/>
        <v>mist/cloudy</v>
      </c>
      <c r="J434" s="8">
        <v>0.26</v>
      </c>
      <c r="K434" s="8">
        <v>0.2727</v>
      </c>
      <c r="L434" s="8">
        <v>0.56000000000000005</v>
      </c>
      <c r="M434" s="8">
        <v>0</v>
      </c>
      <c r="N434" s="8">
        <v>2</v>
      </c>
      <c r="O434" s="8">
        <v>3</v>
      </c>
      <c r="P434" s="9">
        <v>5</v>
      </c>
    </row>
    <row r="435" spans="1:16" x14ac:dyDescent="0.25">
      <c r="A435" s="10">
        <v>434</v>
      </c>
      <c r="B435" s="11">
        <v>40563</v>
      </c>
      <c r="C435" s="12">
        <v>2</v>
      </c>
      <c r="D435" s="12" t="b">
        <v>0</v>
      </c>
      <c r="E435" s="12" t="str">
        <f t="shared" si="18"/>
        <v>Working Day</v>
      </c>
      <c r="F435" s="12">
        <v>4</v>
      </c>
      <c r="G435" s="12" t="str">
        <f t="shared" si="19"/>
        <v>Thu</v>
      </c>
      <c r="H435" s="12">
        <v>1</v>
      </c>
      <c r="I435" s="12" t="str">
        <f t="shared" si="20"/>
        <v>mist/cloudy</v>
      </c>
      <c r="J435" s="12">
        <v>0.26</v>
      </c>
      <c r="K435" s="12">
        <v>0.2727</v>
      </c>
      <c r="L435" s="12">
        <v>0.56000000000000005</v>
      </c>
      <c r="M435" s="12">
        <v>0</v>
      </c>
      <c r="N435" s="12">
        <v>0</v>
      </c>
      <c r="O435" s="12">
        <v>2</v>
      </c>
      <c r="P435" s="13">
        <v>2</v>
      </c>
    </row>
    <row r="436" spans="1:16" x14ac:dyDescent="0.25">
      <c r="A436" s="6">
        <v>435</v>
      </c>
      <c r="B436" s="7">
        <v>40563</v>
      </c>
      <c r="C436" s="8">
        <v>3</v>
      </c>
      <c r="D436" s="8" t="b">
        <v>0</v>
      </c>
      <c r="E436" s="8" t="str">
        <f t="shared" si="18"/>
        <v>Working Day</v>
      </c>
      <c r="F436" s="8">
        <v>4</v>
      </c>
      <c r="G436" s="8" t="str">
        <f t="shared" si="19"/>
        <v>Thu</v>
      </c>
      <c r="H436" s="8">
        <v>1</v>
      </c>
      <c r="I436" s="8" t="str">
        <f t="shared" si="20"/>
        <v>mist/cloudy</v>
      </c>
      <c r="J436" s="8">
        <v>0.26</v>
      </c>
      <c r="K436" s="8">
        <v>0.2576</v>
      </c>
      <c r="L436" s="8">
        <v>0.56000000000000005</v>
      </c>
      <c r="M436" s="8">
        <v>0.16420000000000001</v>
      </c>
      <c r="N436" s="8">
        <v>0</v>
      </c>
      <c r="O436" s="8">
        <v>1</v>
      </c>
      <c r="P436" s="9">
        <v>1</v>
      </c>
    </row>
    <row r="437" spans="1:16" x14ac:dyDescent="0.25">
      <c r="A437" s="10">
        <v>436</v>
      </c>
      <c r="B437" s="11">
        <v>40563</v>
      </c>
      <c r="C437" s="12">
        <v>4</v>
      </c>
      <c r="D437" s="12" t="b">
        <v>0</v>
      </c>
      <c r="E437" s="12" t="str">
        <f t="shared" si="18"/>
        <v>Working Day</v>
      </c>
      <c r="F437" s="12">
        <v>4</v>
      </c>
      <c r="G437" s="12" t="str">
        <f t="shared" si="19"/>
        <v>Thu</v>
      </c>
      <c r="H437" s="12">
        <v>1</v>
      </c>
      <c r="I437" s="12" t="str">
        <f t="shared" si="20"/>
        <v>mist/cloudy</v>
      </c>
      <c r="J437" s="12">
        <v>0.26</v>
      </c>
      <c r="K437" s="12">
        <v>0.2576</v>
      </c>
      <c r="L437" s="12">
        <v>0.56000000000000005</v>
      </c>
      <c r="M437" s="12">
        <v>0.16420000000000001</v>
      </c>
      <c r="N437" s="12">
        <v>0</v>
      </c>
      <c r="O437" s="12">
        <v>1</v>
      </c>
      <c r="P437" s="13">
        <v>1</v>
      </c>
    </row>
    <row r="438" spans="1:16" x14ac:dyDescent="0.25">
      <c r="A438" s="6">
        <v>437</v>
      </c>
      <c r="B438" s="7">
        <v>40563</v>
      </c>
      <c r="C438" s="8">
        <v>5</v>
      </c>
      <c r="D438" s="8" t="b">
        <v>0</v>
      </c>
      <c r="E438" s="8" t="str">
        <f t="shared" si="18"/>
        <v>Working Day</v>
      </c>
      <c r="F438" s="8">
        <v>4</v>
      </c>
      <c r="G438" s="8" t="str">
        <f t="shared" si="19"/>
        <v>Thu</v>
      </c>
      <c r="H438" s="8">
        <v>1</v>
      </c>
      <c r="I438" s="8" t="str">
        <f t="shared" si="20"/>
        <v>mist/cloudy</v>
      </c>
      <c r="J438" s="8">
        <v>0.24</v>
      </c>
      <c r="K438" s="8">
        <v>0.2273</v>
      </c>
      <c r="L438" s="8">
        <v>0.6</v>
      </c>
      <c r="M438" s="8">
        <v>0.22389999999999999</v>
      </c>
      <c r="N438" s="8">
        <v>0</v>
      </c>
      <c r="O438" s="8">
        <v>6</v>
      </c>
      <c r="P438" s="9">
        <v>6</v>
      </c>
    </row>
    <row r="439" spans="1:16" x14ac:dyDescent="0.25">
      <c r="A439" s="10">
        <v>438</v>
      </c>
      <c r="B439" s="11">
        <v>40563</v>
      </c>
      <c r="C439" s="12">
        <v>6</v>
      </c>
      <c r="D439" s="12" t="b">
        <v>0</v>
      </c>
      <c r="E439" s="12" t="str">
        <f t="shared" si="18"/>
        <v>Working Day</v>
      </c>
      <c r="F439" s="12">
        <v>4</v>
      </c>
      <c r="G439" s="12" t="str">
        <f t="shared" si="19"/>
        <v>Thu</v>
      </c>
      <c r="H439" s="12">
        <v>1</v>
      </c>
      <c r="I439" s="12" t="str">
        <f t="shared" si="20"/>
        <v>mist/cloudy</v>
      </c>
      <c r="J439" s="12">
        <v>0.22</v>
      </c>
      <c r="K439" s="12">
        <v>0.21210000000000001</v>
      </c>
      <c r="L439" s="12">
        <v>0.6</v>
      </c>
      <c r="M439" s="12">
        <v>0.22389999999999999</v>
      </c>
      <c r="N439" s="12">
        <v>0</v>
      </c>
      <c r="O439" s="12">
        <v>35</v>
      </c>
      <c r="P439" s="13">
        <v>35</v>
      </c>
    </row>
    <row r="440" spans="1:16" x14ac:dyDescent="0.25">
      <c r="A440" s="6">
        <v>439</v>
      </c>
      <c r="B440" s="7">
        <v>40563</v>
      </c>
      <c r="C440" s="8">
        <v>7</v>
      </c>
      <c r="D440" s="8" t="b">
        <v>0</v>
      </c>
      <c r="E440" s="8" t="str">
        <f t="shared" si="18"/>
        <v>Working Day</v>
      </c>
      <c r="F440" s="8">
        <v>4</v>
      </c>
      <c r="G440" s="8" t="str">
        <f t="shared" si="19"/>
        <v>Thu</v>
      </c>
      <c r="H440" s="8">
        <v>1</v>
      </c>
      <c r="I440" s="8" t="str">
        <f t="shared" si="20"/>
        <v>mist/cloudy</v>
      </c>
      <c r="J440" s="8">
        <v>0.22</v>
      </c>
      <c r="K440" s="8">
        <v>0.21210000000000001</v>
      </c>
      <c r="L440" s="8">
        <v>0.55000000000000004</v>
      </c>
      <c r="M440" s="8">
        <v>0.22389999999999999</v>
      </c>
      <c r="N440" s="8">
        <v>1</v>
      </c>
      <c r="O440" s="8">
        <v>100</v>
      </c>
      <c r="P440" s="9">
        <v>101</v>
      </c>
    </row>
    <row r="441" spans="1:16" x14ac:dyDescent="0.25">
      <c r="A441" s="10">
        <v>440</v>
      </c>
      <c r="B441" s="11">
        <v>40563</v>
      </c>
      <c r="C441" s="12">
        <v>8</v>
      </c>
      <c r="D441" s="12" t="b">
        <v>0</v>
      </c>
      <c r="E441" s="12" t="str">
        <f t="shared" si="18"/>
        <v>Working Day</v>
      </c>
      <c r="F441" s="12">
        <v>4</v>
      </c>
      <c r="G441" s="12" t="str">
        <f t="shared" si="19"/>
        <v>Thu</v>
      </c>
      <c r="H441" s="12">
        <v>1</v>
      </c>
      <c r="I441" s="12" t="str">
        <f t="shared" si="20"/>
        <v>mist/cloudy</v>
      </c>
      <c r="J441" s="12">
        <v>0.22</v>
      </c>
      <c r="K441" s="12">
        <v>0.21210000000000001</v>
      </c>
      <c r="L441" s="12">
        <v>0.55000000000000004</v>
      </c>
      <c r="M441" s="12">
        <v>0.28360000000000002</v>
      </c>
      <c r="N441" s="12">
        <v>2</v>
      </c>
      <c r="O441" s="12">
        <v>247</v>
      </c>
      <c r="P441" s="13">
        <v>249</v>
      </c>
    </row>
    <row r="442" spans="1:16" x14ac:dyDescent="0.25">
      <c r="A442" s="6">
        <v>441</v>
      </c>
      <c r="B442" s="7">
        <v>40563</v>
      </c>
      <c r="C442" s="8">
        <v>9</v>
      </c>
      <c r="D442" s="8" t="b">
        <v>0</v>
      </c>
      <c r="E442" s="8" t="str">
        <f t="shared" si="18"/>
        <v>Working Day</v>
      </c>
      <c r="F442" s="8">
        <v>4</v>
      </c>
      <c r="G442" s="8" t="str">
        <f t="shared" si="19"/>
        <v>Thu</v>
      </c>
      <c r="H442" s="8">
        <v>2</v>
      </c>
      <c r="I442" s="8" t="str">
        <f t="shared" si="20"/>
        <v>light rain</v>
      </c>
      <c r="J442" s="8">
        <v>0.24</v>
      </c>
      <c r="K442" s="8">
        <v>0.2273</v>
      </c>
      <c r="L442" s="8">
        <v>0.52</v>
      </c>
      <c r="M442" s="8">
        <v>0.22389999999999999</v>
      </c>
      <c r="N442" s="8">
        <v>3</v>
      </c>
      <c r="O442" s="8">
        <v>140</v>
      </c>
      <c r="P442" s="9">
        <v>143</v>
      </c>
    </row>
    <row r="443" spans="1:16" x14ac:dyDescent="0.25">
      <c r="A443" s="10">
        <v>442</v>
      </c>
      <c r="B443" s="11">
        <v>40563</v>
      </c>
      <c r="C443" s="12">
        <v>10</v>
      </c>
      <c r="D443" s="12" t="b">
        <v>0</v>
      </c>
      <c r="E443" s="12" t="str">
        <f t="shared" si="18"/>
        <v>Working Day</v>
      </c>
      <c r="F443" s="12">
        <v>4</v>
      </c>
      <c r="G443" s="12" t="str">
        <f t="shared" si="19"/>
        <v>Thu</v>
      </c>
      <c r="H443" s="12">
        <v>1</v>
      </c>
      <c r="I443" s="12" t="str">
        <f t="shared" si="20"/>
        <v>mist/cloudy</v>
      </c>
      <c r="J443" s="12">
        <v>0.26</v>
      </c>
      <c r="K443" s="12">
        <v>0.2273</v>
      </c>
      <c r="L443" s="12">
        <v>0.48</v>
      </c>
      <c r="M443" s="12">
        <v>0.29849999999999999</v>
      </c>
      <c r="N443" s="12">
        <v>1</v>
      </c>
      <c r="O443" s="12">
        <v>56</v>
      </c>
      <c r="P443" s="13">
        <v>57</v>
      </c>
    </row>
    <row r="444" spans="1:16" x14ac:dyDescent="0.25">
      <c r="A444" s="6">
        <v>443</v>
      </c>
      <c r="B444" s="7">
        <v>40563</v>
      </c>
      <c r="C444" s="8">
        <v>11</v>
      </c>
      <c r="D444" s="8" t="b">
        <v>0</v>
      </c>
      <c r="E444" s="8" t="str">
        <f t="shared" si="18"/>
        <v>Working Day</v>
      </c>
      <c r="F444" s="8">
        <v>4</v>
      </c>
      <c r="G444" s="8" t="str">
        <f t="shared" si="19"/>
        <v>Thu</v>
      </c>
      <c r="H444" s="8">
        <v>2</v>
      </c>
      <c r="I444" s="8" t="str">
        <f t="shared" si="20"/>
        <v>light rain</v>
      </c>
      <c r="J444" s="8">
        <v>0.28000000000000003</v>
      </c>
      <c r="K444" s="8">
        <v>0.2727</v>
      </c>
      <c r="L444" s="8">
        <v>0.45</v>
      </c>
      <c r="M444" s="8">
        <v>0.16420000000000001</v>
      </c>
      <c r="N444" s="8">
        <v>5</v>
      </c>
      <c r="O444" s="8">
        <v>63</v>
      </c>
      <c r="P444" s="9">
        <v>68</v>
      </c>
    </row>
    <row r="445" spans="1:16" x14ac:dyDescent="0.25">
      <c r="A445" s="10">
        <v>444</v>
      </c>
      <c r="B445" s="11">
        <v>40563</v>
      </c>
      <c r="C445" s="12">
        <v>12</v>
      </c>
      <c r="D445" s="12" t="b">
        <v>0</v>
      </c>
      <c r="E445" s="12" t="str">
        <f t="shared" si="18"/>
        <v>Working Day</v>
      </c>
      <c r="F445" s="12">
        <v>4</v>
      </c>
      <c r="G445" s="12" t="str">
        <f t="shared" si="19"/>
        <v>Thu</v>
      </c>
      <c r="H445" s="12">
        <v>2</v>
      </c>
      <c r="I445" s="12" t="str">
        <f t="shared" si="20"/>
        <v>light rain</v>
      </c>
      <c r="J445" s="12">
        <v>0.3</v>
      </c>
      <c r="K445" s="12">
        <v>0.33329999999999999</v>
      </c>
      <c r="L445" s="12">
        <v>0.42</v>
      </c>
      <c r="M445" s="12">
        <v>0</v>
      </c>
      <c r="N445" s="12">
        <v>7</v>
      </c>
      <c r="O445" s="12">
        <v>77</v>
      </c>
      <c r="P445" s="13">
        <v>84</v>
      </c>
    </row>
    <row r="446" spans="1:16" x14ac:dyDescent="0.25">
      <c r="A446" s="6">
        <v>445</v>
      </c>
      <c r="B446" s="7">
        <v>40563</v>
      </c>
      <c r="C446" s="8">
        <v>13</v>
      </c>
      <c r="D446" s="8" t="b">
        <v>0</v>
      </c>
      <c r="E446" s="8" t="str">
        <f t="shared" si="18"/>
        <v>Working Day</v>
      </c>
      <c r="F446" s="8">
        <v>4</v>
      </c>
      <c r="G446" s="8" t="str">
        <f t="shared" si="19"/>
        <v>Thu</v>
      </c>
      <c r="H446" s="8">
        <v>2</v>
      </c>
      <c r="I446" s="8" t="str">
        <f t="shared" si="20"/>
        <v>light rain</v>
      </c>
      <c r="J446" s="8">
        <v>0.28000000000000003</v>
      </c>
      <c r="K446" s="8">
        <v>0.28789999999999999</v>
      </c>
      <c r="L446" s="8">
        <v>0.45</v>
      </c>
      <c r="M446" s="8">
        <v>0.1045</v>
      </c>
      <c r="N446" s="8">
        <v>12</v>
      </c>
      <c r="O446" s="8">
        <v>86</v>
      </c>
      <c r="P446" s="9">
        <v>98</v>
      </c>
    </row>
    <row r="447" spans="1:16" x14ac:dyDescent="0.25">
      <c r="A447" s="10">
        <v>446</v>
      </c>
      <c r="B447" s="11">
        <v>40563</v>
      </c>
      <c r="C447" s="12">
        <v>14</v>
      </c>
      <c r="D447" s="12" t="b">
        <v>0</v>
      </c>
      <c r="E447" s="12" t="str">
        <f t="shared" si="18"/>
        <v>Working Day</v>
      </c>
      <c r="F447" s="12">
        <v>4</v>
      </c>
      <c r="G447" s="12" t="str">
        <f t="shared" si="19"/>
        <v>Thu</v>
      </c>
      <c r="H447" s="12">
        <v>2</v>
      </c>
      <c r="I447" s="12" t="str">
        <f t="shared" si="20"/>
        <v>light rain</v>
      </c>
      <c r="J447" s="12">
        <v>0.3</v>
      </c>
      <c r="K447" s="12">
        <v>0.30299999999999999</v>
      </c>
      <c r="L447" s="12">
        <v>0.45</v>
      </c>
      <c r="M447" s="12">
        <v>0.1343</v>
      </c>
      <c r="N447" s="12">
        <v>6</v>
      </c>
      <c r="O447" s="12">
        <v>75</v>
      </c>
      <c r="P447" s="13">
        <v>81</v>
      </c>
    </row>
    <row r="448" spans="1:16" x14ac:dyDescent="0.25">
      <c r="A448" s="6">
        <v>447</v>
      </c>
      <c r="B448" s="7">
        <v>40563</v>
      </c>
      <c r="C448" s="8">
        <v>15</v>
      </c>
      <c r="D448" s="8" t="b">
        <v>0</v>
      </c>
      <c r="E448" s="8" t="str">
        <f t="shared" si="18"/>
        <v>Working Day</v>
      </c>
      <c r="F448" s="8">
        <v>4</v>
      </c>
      <c r="G448" s="8" t="str">
        <f t="shared" si="19"/>
        <v>Thu</v>
      </c>
      <c r="H448" s="8">
        <v>2</v>
      </c>
      <c r="I448" s="8" t="str">
        <f t="shared" si="20"/>
        <v>light rain</v>
      </c>
      <c r="J448" s="8">
        <v>0.32</v>
      </c>
      <c r="K448" s="8">
        <v>0.31819999999999998</v>
      </c>
      <c r="L448" s="8">
        <v>0.45</v>
      </c>
      <c r="M448" s="8">
        <v>0.19400000000000001</v>
      </c>
      <c r="N448" s="8">
        <v>8</v>
      </c>
      <c r="O448" s="8">
        <v>62</v>
      </c>
      <c r="P448" s="9">
        <v>70</v>
      </c>
    </row>
    <row r="449" spans="1:16" x14ac:dyDescent="0.25">
      <c r="A449" s="10">
        <v>448</v>
      </c>
      <c r="B449" s="11">
        <v>40563</v>
      </c>
      <c r="C449" s="12">
        <v>16</v>
      </c>
      <c r="D449" s="12" t="b">
        <v>0</v>
      </c>
      <c r="E449" s="12" t="str">
        <f t="shared" si="18"/>
        <v>Working Day</v>
      </c>
      <c r="F449" s="12">
        <v>4</v>
      </c>
      <c r="G449" s="12" t="str">
        <f t="shared" si="19"/>
        <v>Thu</v>
      </c>
      <c r="H449" s="12">
        <v>2</v>
      </c>
      <c r="I449" s="12" t="str">
        <f t="shared" si="20"/>
        <v>light rain</v>
      </c>
      <c r="J449" s="12">
        <v>0.3</v>
      </c>
      <c r="K449" s="12">
        <v>0.30299999999999999</v>
      </c>
      <c r="L449" s="12">
        <v>0.49</v>
      </c>
      <c r="M449" s="12">
        <v>0.1343</v>
      </c>
      <c r="N449" s="12">
        <v>8</v>
      </c>
      <c r="O449" s="12">
        <v>83</v>
      </c>
      <c r="P449" s="13">
        <v>91</v>
      </c>
    </row>
    <row r="450" spans="1:16" x14ac:dyDescent="0.25">
      <c r="A450" s="6">
        <v>449</v>
      </c>
      <c r="B450" s="7">
        <v>40563</v>
      </c>
      <c r="C450" s="8">
        <v>17</v>
      </c>
      <c r="D450" s="8" t="b">
        <v>0</v>
      </c>
      <c r="E450" s="8" t="str">
        <f t="shared" ref="E450:E513" si="21">IF(D450=FALSE,"Working Day","Holiday")</f>
        <v>Working Day</v>
      </c>
      <c r="F450" s="8">
        <v>4</v>
      </c>
      <c r="G450" s="8" t="str">
        <f t="shared" ref="G450:G513" si="22">TEXT(F450+1, "ddd")</f>
        <v>Thu</v>
      </c>
      <c r="H450" s="8">
        <v>2</v>
      </c>
      <c r="I450" s="8" t="str">
        <f t="shared" si="20"/>
        <v>light rain</v>
      </c>
      <c r="J450" s="8">
        <v>0.3</v>
      </c>
      <c r="K450" s="8">
        <v>0.31819999999999998</v>
      </c>
      <c r="L450" s="8">
        <v>0.49</v>
      </c>
      <c r="M450" s="8">
        <v>0.1045</v>
      </c>
      <c r="N450" s="8">
        <v>8</v>
      </c>
      <c r="O450" s="8">
        <v>207</v>
      </c>
      <c r="P450" s="9">
        <v>215</v>
      </c>
    </row>
    <row r="451" spans="1:16" x14ac:dyDescent="0.25">
      <c r="A451" s="10">
        <v>450</v>
      </c>
      <c r="B451" s="11">
        <v>40563</v>
      </c>
      <c r="C451" s="12">
        <v>18</v>
      </c>
      <c r="D451" s="12" t="b">
        <v>0</v>
      </c>
      <c r="E451" s="12" t="str">
        <f t="shared" si="21"/>
        <v>Working Day</v>
      </c>
      <c r="F451" s="12">
        <v>4</v>
      </c>
      <c r="G451" s="12" t="str">
        <f t="shared" si="22"/>
        <v>Thu</v>
      </c>
      <c r="H451" s="12">
        <v>2</v>
      </c>
      <c r="I451" s="12" t="str">
        <f t="shared" ref="I451:I514" si="23">IF(H451=0, "clear", IF(H451=1, "mist/cloudy", IF(H451=2, "light rain", IF(H451=3, "heavy rain", IF(H451=4, "extreme weather condition", "Unknown")))))</f>
        <v>light rain</v>
      </c>
      <c r="J451" s="12">
        <v>0.26</v>
      </c>
      <c r="K451" s="12">
        <v>0.2576</v>
      </c>
      <c r="L451" s="12">
        <v>0.56000000000000005</v>
      </c>
      <c r="M451" s="12">
        <v>0.19400000000000001</v>
      </c>
      <c r="N451" s="12">
        <v>1</v>
      </c>
      <c r="O451" s="12">
        <v>184</v>
      </c>
      <c r="P451" s="13">
        <v>185</v>
      </c>
    </row>
    <row r="452" spans="1:16" x14ac:dyDescent="0.25">
      <c r="A452" s="6">
        <v>451</v>
      </c>
      <c r="B452" s="7">
        <v>40563</v>
      </c>
      <c r="C452" s="8">
        <v>19</v>
      </c>
      <c r="D452" s="8" t="b">
        <v>0</v>
      </c>
      <c r="E452" s="8" t="str">
        <f t="shared" si="21"/>
        <v>Working Day</v>
      </c>
      <c r="F452" s="8">
        <v>4</v>
      </c>
      <c r="G452" s="8" t="str">
        <f t="shared" si="22"/>
        <v>Thu</v>
      </c>
      <c r="H452" s="8">
        <v>1</v>
      </c>
      <c r="I452" s="8" t="str">
        <f t="shared" si="23"/>
        <v>mist/cloudy</v>
      </c>
      <c r="J452" s="8">
        <v>0.26</v>
      </c>
      <c r="K452" s="8">
        <v>0.2273</v>
      </c>
      <c r="L452" s="8">
        <v>0.56000000000000005</v>
      </c>
      <c r="M452" s="8">
        <v>0.32840000000000003</v>
      </c>
      <c r="N452" s="8">
        <v>6</v>
      </c>
      <c r="O452" s="8">
        <v>146</v>
      </c>
      <c r="P452" s="9">
        <v>152</v>
      </c>
    </row>
    <row r="453" spans="1:16" x14ac:dyDescent="0.25">
      <c r="A453" s="10">
        <v>452</v>
      </c>
      <c r="B453" s="11">
        <v>40563</v>
      </c>
      <c r="C453" s="12">
        <v>20</v>
      </c>
      <c r="D453" s="12" t="b">
        <v>0</v>
      </c>
      <c r="E453" s="12" t="str">
        <f t="shared" si="21"/>
        <v>Working Day</v>
      </c>
      <c r="F453" s="12">
        <v>4</v>
      </c>
      <c r="G453" s="12" t="str">
        <f t="shared" si="22"/>
        <v>Thu</v>
      </c>
      <c r="H453" s="12">
        <v>2</v>
      </c>
      <c r="I453" s="12" t="str">
        <f t="shared" si="23"/>
        <v>light rain</v>
      </c>
      <c r="J453" s="12">
        <v>0.26</v>
      </c>
      <c r="K453" s="12">
        <v>0.2424</v>
      </c>
      <c r="L453" s="12">
        <v>0.6</v>
      </c>
      <c r="M453" s="12">
        <v>0.28360000000000002</v>
      </c>
      <c r="N453" s="12">
        <v>2</v>
      </c>
      <c r="O453" s="12">
        <v>124</v>
      </c>
      <c r="P453" s="13">
        <v>126</v>
      </c>
    </row>
    <row r="454" spans="1:16" x14ac:dyDescent="0.25">
      <c r="A454" s="6">
        <v>453</v>
      </c>
      <c r="B454" s="7">
        <v>40563</v>
      </c>
      <c r="C454" s="8">
        <v>21</v>
      </c>
      <c r="D454" s="8" t="b">
        <v>0</v>
      </c>
      <c r="E454" s="8" t="str">
        <f t="shared" si="21"/>
        <v>Working Day</v>
      </c>
      <c r="F454" s="8">
        <v>4</v>
      </c>
      <c r="G454" s="8" t="str">
        <f t="shared" si="22"/>
        <v>Thu</v>
      </c>
      <c r="H454" s="8">
        <v>2</v>
      </c>
      <c r="I454" s="8" t="str">
        <f t="shared" si="23"/>
        <v>light rain</v>
      </c>
      <c r="J454" s="8">
        <v>0.24</v>
      </c>
      <c r="K454" s="8">
        <v>0.2273</v>
      </c>
      <c r="L454" s="8">
        <v>0.6</v>
      </c>
      <c r="M454" s="8">
        <v>0.25369999999999998</v>
      </c>
      <c r="N454" s="8">
        <v>3</v>
      </c>
      <c r="O454" s="8">
        <v>54</v>
      </c>
      <c r="P454" s="9">
        <v>57</v>
      </c>
    </row>
    <row r="455" spans="1:16" x14ac:dyDescent="0.25">
      <c r="A455" s="10">
        <v>454</v>
      </c>
      <c r="B455" s="11">
        <v>40563</v>
      </c>
      <c r="C455" s="12">
        <v>22</v>
      </c>
      <c r="D455" s="12" t="b">
        <v>0</v>
      </c>
      <c r="E455" s="12" t="str">
        <f t="shared" si="21"/>
        <v>Working Day</v>
      </c>
      <c r="F455" s="12">
        <v>4</v>
      </c>
      <c r="G455" s="12" t="str">
        <f t="shared" si="22"/>
        <v>Thu</v>
      </c>
      <c r="H455" s="12">
        <v>2</v>
      </c>
      <c r="I455" s="12" t="str">
        <f t="shared" si="23"/>
        <v>light rain</v>
      </c>
      <c r="J455" s="12">
        <v>0.24</v>
      </c>
      <c r="K455" s="12">
        <v>0.21210000000000001</v>
      </c>
      <c r="L455" s="12">
        <v>0.65</v>
      </c>
      <c r="M455" s="12">
        <v>0.28360000000000002</v>
      </c>
      <c r="N455" s="12">
        <v>0</v>
      </c>
      <c r="O455" s="12">
        <v>56</v>
      </c>
      <c r="P455" s="13">
        <v>56</v>
      </c>
    </row>
    <row r="456" spans="1:16" x14ac:dyDescent="0.25">
      <c r="A456" s="6">
        <v>455</v>
      </c>
      <c r="B456" s="7">
        <v>40563</v>
      </c>
      <c r="C456" s="8">
        <v>23</v>
      </c>
      <c r="D456" s="8" t="b">
        <v>0</v>
      </c>
      <c r="E456" s="8" t="str">
        <f t="shared" si="21"/>
        <v>Working Day</v>
      </c>
      <c r="F456" s="8">
        <v>4</v>
      </c>
      <c r="G456" s="8" t="str">
        <f t="shared" si="22"/>
        <v>Thu</v>
      </c>
      <c r="H456" s="8">
        <v>2</v>
      </c>
      <c r="I456" s="8" t="str">
        <f t="shared" si="23"/>
        <v>light rain</v>
      </c>
      <c r="J456" s="8">
        <v>0.24</v>
      </c>
      <c r="K456" s="8">
        <v>0.21210000000000001</v>
      </c>
      <c r="L456" s="8">
        <v>0.65</v>
      </c>
      <c r="M456" s="8">
        <v>0.32840000000000003</v>
      </c>
      <c r="N456" s="8">
        <v>3</v>
      </c>
      <c r="O456" s="8">
        <v>28</v>
      </c>
      <c r="P456" s="9">
        <v>31</v>
      </c>
    </row>
    <row r="457" spans="1:16" x14ac:dyDescent="0.25">
      <c r="A457" s="10">
        <v>456</v>
      </c>
      <c r="B457" s="11">
        <v>40564</v>
      </c>
      <c r="C457" s="12">
        <v>0</v>
      </c>
      <c r="D457" s="12" t="b">
        <v>0</v>
      </c>
      <c r="E457" s="12" t="str">
        <f t="shared" si="21"/>
        <v>Working Day</v>
      </c>
      <c r="F457" s="12">
        <v>5</v>
      </c>
      <c r="G457" s="12" t="str">
        <f t="shared" si="22"/>
        <v>Fri</v>
      </c>
      <c r="H457" s="12">
        <v>2</v>
      </c>
      <c r="I457" s="12" t="str">
        <f t="shared" si="23"/>
        <v>light rain</v>
      </c>
      <c r="J457" s="12">
        <v>0.24</v>
      </c>
      <c r="K457" s="12">
        <v>0.2273</v>
      </c>
      <c r="L457" s="12">
        <v>0.7</v>
      </c>
      <c r="M457" s="12">
        <v>0.25369999999999998</v>
      </c>
      <c r="N457" s="12">
        <v>1</v>
      </c>
      <c r="O457" s="12">
        <v>20</v>
      </c>
      <c r="P457" s="13">
        <v>21</v>
      </c>
    </row>
    <row r="458" spans="1:16" x14ac:dyDescent="0.25">
      <c r="A458" s="6">
        <v>457</v>
      </c>
      <c r="B458" s="7">
        <v>40564</v>
      </c>
      <c r="C458" s="8">
        <v>1</v>
      </c>
      <c r="D458" s="8" t="b">
        <v>0</v>
      </c>
      <c r="E458" s="8" t="str">
        <f t="shared" si="21"/>
        <v>Working Day</v>
      </c>
      <c r="F458" s="8">
        <v>5</v>
      </c>
      <c r="G458" s="8" t="str">
        <f t="shared" si="22"/>
        <v>Fri</v>
      </c>
      <c r="H458" s="8">
        <v>2</v>
      </c>
      <c r="I458" s="8" t="str">
        <f t="shared" si="23"/>
        <v>light rain</v>
      </c>
      <c r="J458" s="8">
        <v>0.24</v>
      </c>
      <c r="K458" s="8">
        <v>0.2273</v>
      </c>
      <c r="L458" s="8">
        <v>0.7</v>
      </c>
      <c r="M458" s="8">
        <v>0.25369999999999998</v>
      </c>
      <c r="N458" s="8">
        <v>0</v>
      </c>
      <c r="O458" s="8">
        <v>6</v>
      </c>
      <c r="P458" s="9">
        <v>6</v>
      </c>
    </row>
    <row r="459" spans="1:16" x14ac:dyDescent="0.25">
      <c r="A459" s="10">
        <v>458</v>
      </c>
      <c r="B459" s="11">
        <v>40564</v>
      </c>
      <c r="C459" s="12">
        <v>2</v>
      </c>
      <c r="D459" s="12" t="b">
        <v>0</v>
      </c>
      <c r="E459" s="12" t="str">
        <f t="shared" si="21"/>
        <v>Working Day</v>
      </c>
      <c r="F459" s="12">
        <v>5</v>
      </c>
      <c r="G459" s="12" t="str">
        <f t="shared" si="22"/>
        <v>Fri</v>
      </c>
      <c r="H459" s="12">
        <v>3</v>
      </c>
      <c r="I459" s="12" t="str">
        <f t="shared" si="23"/>
        <v>heavy rain</v>
      </c>
      <c r="J459" s="12">
        <v>0.24</v>
      </c>
      <c r="K459" s="12">
        <v>0.2424</v>
      </c>
      <c r="L459" s="12">
        <v>0.75</v>
      </c>
      <c r="M459" s="12">
        <v>0.16420000000000001</v>
      </c>
      <c r="N459" s="12">
        <v>0</v>
      </c>
      <c r="O459" s="12">
        <v>2</v>
      </c>
      <c r="P459" s="13">
        <v>2</v>
      </c>
    </row>
    <row r="460" spans="1:16" x14ac:dyDescent="0.25">
      <c r="A460" s="6">
        <v>459</v>
      </c>
      <c r="B460" s="7">
        <v>40564</v>
      </c>
      <c r="C460" s="8">
        <v>3</v>
      </c>
      <c r="D460" s="8" t="b">
        <v>0</v>
      </c>
      <c r="E460" s="8" t="str">
        <f t="shared" si="21"/>
        <v>Working Day</v>
      </c>
      <c r="F460" s="8">
        <v>5</v>
      </c>
      <c r="G460" s="8" t="str">
        <f t="shared" si="22"/>
        <v>Fri</v>
      </c>
      <c r="H460" s="8">
        <v>3</v>
      </c>
      <c r="I460" s="8" t="str">
        <f t="shared" si="23"/>
        <v>heavy rain</v>
      </c>
      <c r="J460" s="8">
        <v>0.22</v>
      </c>
      <c r="K460" s="8">
        <v>0.21210000000000001</v>
      </c>
      <c r="L460" s="8">
        <v>0.8</v>
      </c>
      <c r="M460" s="8">
        <v>0.29849999999999999</v>
      </c>
      <c r="N460" s="8">
        <v>0</v>
      </c>
      <c r="O460" s="8">
        <v>1</v>
      </c>
      <c r="P460" s="9">
        <v>1</v>
      </c>
    </row>
    <row r="461" spans="1:16" x14ac:dyDescent="0.25">
      <c r="A461" s="10">
        <v>460</v>
      </c>
      <c r="B461" s="11">
        <v>40564</v>
      </c>
      <c r="C461" s="12">
        <v>4</v>
      </c>
      <c r="D461" s="12" t="b">
        <v>0</v>
      </c>
      <c r="E461" s="12" t="str">
        <f t="shared" si="21"/>
        <v>Working Day</v>
      </c>
      <c r="F461" s="12">
        <v>5</v>
      </c>
      <c r="G461" s="12" t="str">
        <f t="shared" si="22"/>
        <v>Fri</v>
      </c>
      <c r="H461" s="12">
        <v>2</v>
      </c>
      <c r="I461" s="12" t="str">
        <f t="shared" si="23"/>
        <v>light rain</v>
      </c>
      <c r="J461" s="12">
        <v>0.22</v>
      </c>
      <c r="K461" s="12">
        <v>0.2576</v>
      </c>
      <c r="L461" s="12">
        <v>0.87</v>
      </c>
      <c r="M461" s="12">
        <v>8.9599999999999999E-2</v>
      </c>
      <c r="N461" s="12">
        <v>0</v>
      </c>
      <c r="O461" s="12">
        <v>1</v>
      </c>
      <c r="P461" s="13">
        <v>1</v>
      </c>
    </row>
    <row r="462" spans="1:16" x14ac:dyDescent="0.25">
      <c r="A462" s="6">
        <v>461</v>
      </c>
      <c r="B462" s="7">
        <v>40564</v>
      </c>
      <c r="C462" s="8">
        <v>5</v>
      </c>
      <c r="D462" s="8" t="b">
        <v>0</v>
      </c>
      <c r="E462" s="8" t="str">
        <f t="shared" si="21"/>
        <v>Working Day</v>
      </c>
      <c r="F462" s="8">
        <v>5</v>
      </c>
      <c r="G462" s="8" t="str">
        <f t="shared" si="22"/>
        <v>Fri</v>
      </c>
      <c r="H462" s="8">
        <v>1</v>
      </c>
      <c r="I462" s="8" t="str">
        <f t="shared" si="23"/>
        <v>mist/cloudy</v>
      </c>
      <c r="J462" s="8">
        <v>0.24</v>
      </c>
      <c r="K462" s="8">
        <v>0.19700000000000001</v>
      </c>
      <c r="L462" s="8">
        <v>0.6</v>
      </c>
      <c r="M462" s="8">
        <v>0.41789999999999999</v>
      </c>
      <c r="N462" s="8">
        <v>1</v>
      </c>
      <c r="O462" s="8">
        <v>4</v>
      </c>
      <c r="P462" s="9">
        <v>5</v>
      </c>
    </row>
    <row r="463" spans="1:16" x14ac:dyDescent="0.25">
      <c r="A463" s="10">
        <v>462</v>
      </c>
      <c r="B463" s="11">
        <v>40564</v>
      </c>
      <c r="C463" s="12">
        <v>6</v>
      </c>
      <c r="D463" s="12" t="b">
        <v>0</v>
      </c>
      <c r="E463" s="12" t="str">
        <f t="shared" si="21"/>
        <v>Working Day</v>
      </c>
      <c r="F463" s="12">
        <v>5</v>
      </c>
      <c r="G463" s="12" t="str">
        <f t="shared" si="22"/>
        <v>Fri</v>
      </c>
      <c r="H463" s="12">
        <v>1</v>
      </c>
      <c r="I463" s="12" t="str">
        <f t="shared" si="23"/>
        <v>mist/cloudy</v>
      </c>
      <c r="J463" s="12">
        <v>0.22</v>
      </c>
      <c r="K463" s="12">
        <v>0.21210000000000001</v>
      </c>
      <c r="L463" s="12">
        <v>0.55000000000000004</v>
      </c>
      <c r="M463" s="12">
        <v>0.25369999999999998</v>
      </c>
      <c r="N463" s="12">
        <v>0</v>
      </c>
      <c r="O463" s="12">
        <v>27</v>
      </c>
      <c r="P463" s="13">
        <v>27</v>
      </c>
    </row>
    <row r="464" spans="1:16" x14ac:dyDescent="0.25">
      <c r="A464" s="6">
        <v>463</v>
      </c>
      <c r="B464" s="7">
        <v>40564</v>
      </c>
      <c r="C464" s="8">
        <v>7</v>
      </c>
      <c r="D464" s="8" t="b">
        <v>0</v>
      </c>
      <c r="E464" s="8" t="str">
        <f t="shared" si="21"/>
        <v>Working Day</v>
      </c>
      <c r="F464" s="8">
        <v>5</v>
      </c>
      <c r="G464" s="8" t="str">
        <f t="shared" si="22"/>
        <v>Fri</v>
      </c>
      <c r="H464" s="8">
        <v>1</v>
      </c>
      <c r="I464" s="8" t="str">
        <f t="shared" si="23"/>
        <v>mist/cloudy</v>
      </c>
      <c r="J464" s="8">
        <v>0.2</v>
      </c>
      <c r="K464" s="8">
        <v>0.18179999999999999</v>
      </c>
      <c r="L464" s="8">
        <v>0.51</v>
      </c>
      <c r="M464" s="8">
        <v>0.28360000000000002</v>
      </c>
      <c r="N464" s="8">
        <v>2</v>
      </c>
      <c r="O464" s="8">
        <v>66</v>
      </c>
      <c r="P464" s="9">
        <v>68</v>
      </c>
    </row>
    <row r="465" spans="1:16" x14ac:dyDescent="0.25">
      <c r="A465" s="10">
        <v>464</v>
      </c>
      <c r="B465" s="11">
        <v>40564</v>
      </c>
      <c r="C465" s="12">
        <v>8</v>
      </c>
      <c r="D465" s="12" t="b">
        <v>0</v>
      </c>
      <c r="E465" s="12" t="str">
        <f t="shared" si="21"/>
        <v>Working Day</v>
      </c>
      <c r="F465" s="12">
        <v>5</v>
      </c>
      <c r="G465" s="12" t="str">
        <f t="shared" si="22"/>
        <v>Fri</v>
      </c>
      <c r="H465" s="12">
        <v>1</v>
      </c>
      <c r="I465" s="12" t="str">
        <f t="shared" si="23"/>
        <v>mist/cloudy</v>
      </c>
      <c r="J465" s="12">
        <v>0.2</v>
      </c>
      <c r="K465" s="12">
        <v>0.18179999999999999</v>
      </c>
      <c r="L465" s="12">
        <v>0.47</v>
      </c>
      <c r="M465" s="12">
        <v>0.32840000000000003</v>
      </c>
      <c r="N465" s="12">
        <v>7</v>
      </c>
      <c r="O465" s="12">
        <v>210</v>
      </c>
      <c r="P465" s="13">
        <v>217</v>
      </c>
    </row>
    <row r="466" spans="1:16" x14ac:dyDescent="0.25">
      <c r="A466" s="6">
        <v>465</v>
      </c>
      <c r="B466" s="7">
        <v>40564</v>
      </c>
      <c r="C466" s="8">
        <v>9</v>
      </c>
      <c r="D466" s="8" t="b">
        <v>0</v>
      </c>
      <c r="E466" s="8" t="str">
        <f t="shared" si="21"/>
        <v>Working Day</v>
      </c>
      <c r="F466" s="8">
        <v>5</v>
      </c>
      <c r="G466" s="8" t="str">
        <f t="shared" si="22"/>
        <v>Fri</v>
      </c>
      <c r="H466" s="8">
        <v>1</v>
      </c>
      <c r="I466" s="8" t="str">
        <f t="shared" si="23"/>
        <v>mist/cloudy</v>
      </c>
      <c r="J466" s="8">
        <v>0.2</v>
      </c>
      <c r="K466" s="8">
        <v>0.18179999999999999</v>
      </c>
      <c r="L466" s="8">
        <v>0.51</v>
      </c>
      <c r="M466" s="8">
        <v>0.35820000000000002</v>
      </c>
      <c r="N466" s="8">
        <v>7</v>
      </c>
      <c r="O466" s="8">
        <v>159</v>
      </c>
      <c r="P466" s="9">
        <v>166</v>
      </c>
    </row>
    <row r="467" spans="1:16" x14ac:dyDescent="0.25">
      <c r="A467" s="10">
        <v>466</v>
      </c>
      <c r="B467" s="11">
        <v>40564</v>
      </c>
      <c r="C467" s="12">
        <v>10</v>
      </c>
      <c r="D467" s="12" t="b">
        <v>0</v>
      </c>
      <c r="E467" s="12" t="str">
        <f t="shared" si="21"/>
        <v>Working Day</v>
      </c>
      <c r="F467" s="12">
        <v>5</v>
      </c>
      <c r="G467" s="12" t="str">
        <f t="shared" si="22"/>
        <v>Fri</v>
      </c>
      <c r="H467" s="12">
        <v>1</v>
      </c>
      <c r="I467" s="12" t="str">
        <f t="shared" si="23"/>
        <v>mist/cloudy</v>
      </c>
      <c r="J467" s="12">
        <v>0.2</v>
      </c>
      <c r="K467" s="12">
        <v>0.16669999999999999</v>
      </c>
      <c r="L467" s="12">
        <v>0.47</v>
      </c>
      <c r="M467" s="12">
        <v>0.4627</v>
      </c>
      <c r="N467" s="12">
        <v>6</v>
      </c>
      <c r="O467" s="12">
        <v>57</v>
      </c>
      <c r="P467" s="13">
        <v>63</v>
      </c>
    </row>
    <row r="468" spans="1:16" x14ac:dyDescent="0.25">
      <c r="A468" s="6">
        <v>467</v>
      </c>
      <c r="B468" s="7">
        <v>40564</v>
      </c>
      <c r="C468" s="8">
        <v>11</v>
      </c>
      <c r="D468" s="8" t="b">
        <v>0</v>
      </c>
      <c r="E468" s="8" t="str">
        <f t="shared" si="21"/>
        <v>Working Day</v>
      </c>
      <c r="F468" s="8">
        <v>5</v>
      </c>
      <c r="G468" s="8" t="str">
        <f t="shared" si="22"/>
        <v>Fri</v>
      </c>
      <c r="H468" s="8">
        <v>1</v>
      </c>
      <c r="I468" s="8" t="str">
        <f t="shared" si="23"/>
        <v>mist/cloudy</v>
      </c>
      <c r="J468" s="8">
        <v>0.22</v>
      </c>
      <c r="K468" s="8">
        <v>0.18179999999999999</v>
      </c>
      <c r="L468" s="8">
        <v>0.41</v>
      </c>
      <c r="M468" s="8">
        <v>0.4627</v>
      </c>
      <c r="N468" s="8">
        <v>6</v>
      </c>
      <c r="O468" s="8">
        <v>53</v>
      </c>
      <c r="P468" s="9">
        <v>59</v>
      </c>
    </row>
    <row r="469" spans="1:16" x14ac:dyDescent="0.25">
      <c r="A469" s="10">
        <v>468</v>
      </c>
      <c r="B469" s="11">
        <v>40564</v>
      </c>
      <c r="C469" s="12">
        <v>12</v>
      </c>
      <c r="D469" s="12" t="b">
        <v>0</v>
      </c>
      <c r="E469" s="12" t="str">
        <f t="shared" si="21"/>
        <v>Working Day</v>
      </c>
      <c r="F469" s="12">
        <v>5</v>
      </c>
      <c r="G469" s="12" t="str">
        <f t="shared" si="22"/>
        <v>Fri</v>
      </c>
      <c r="H469" s="12">
        <v>1</v>
      </c>
      <c r="I469" s="12" t="str">
        <f t="shared" si="23"/>
        <v>mist/cloudy</v>
      </c>
      <c r="J469" s="12">
        <v>0.22</v>
      </c>
      <c r="K469" s="12">
        <v>0.18179999999999999</v>
      </c>
      <c r="L469" s="12">
        <v>0.27</v>
      </c>
      <c r="M469" s="12">
        <v>0.58209999999999995</v>
      </c>
      <c r="N469" s="12">
        <v>11</v>
      </c>
      <c r="O469" s="12">
        <v>67</v>
      </c>
      <c r="P469" s="13">
        <v>78</v>
      </c>
    </row>
    <row r="470" spans="1:16" x14ac:dyDescent="0.25">
      <c r="A470" s="6">
        <v>469</v>
      </c>
      <c r="B470" s="7">
        <v>40564</v>
      </c>
      <c r="C470" s="8">
        <v>13</v>
      </c>
      <c r="D470" s="8" t="b">
        <v>0</v>
      </c>
      <c r="E470" s="8" t="str">
        <f t="shared" si="21"/>
        <v>Working Day</v>
      </c>
      <c r="F470" s="8">
        <v>5</v>
      </c>
      <c r="G470" s="8" t="str">
        <f t="shared" si="22"/>
        <v>Fri</v>
      </c>
      <c r="H470" s="8">
        <v>1</v>
      </c>
      <c r="I470" s="8" t="str">
        <f t="shared" si="23"/>
        <v>mist/cloudy</v>
      </c>
      <c r="J470" s="8">
        <v>0.2</v>
      </c>
      <c r="K470" s="8">
        <v>0.1515</v>
      </c>
      <c r="L470" s="8">
        <v>0.21</v>
      </c>
      <c r="M470" s="8">
        <v>0.58209999999999995</v>
      </c>
      <c r="N470" s="8">
        <v>8</v>
      </c>
      <c r="O470" s="8">
        <v>65</v>
      </c>
      <c r="P470" s="9">
        <v>73</v>
      </c>
    </row>
    <row r="471" spans="1:16" x14ac:dyDescent="0.25">
      <c r="A471" s="10">
        <v>470</v>
      </c>
      <c r="B471" s="11">
        <v>40564</v>
      </c>
      <c r="C471" s="12">
        <v>14</v>
      </c>
      <c r="D471" s="12" t="b">
        <v>0</v>
      </c>
      <c r="E471" s="12" t="str">
        <f t="shared" si="21"/>
        <v>Working Day</v>
      </c>
      <c r="F471" s="12">
        <v>5</v>
      </c>
      <c r="G471" s="12" t="str">
        <f t="shared" si="22"/>
        <v>Fri</v>
      </c>
      <c r="H471" s="12">
        <v>1</v>
      </c>
      <c r="I471" s="12" t="str">
        <f t="shared" si="23"/>
        <v>mist/cloudy</v>
      </c>
      <c r="J471" s="12">
        <v>0.2</v>
      </c>
      <c r="K471" s="12">
        <v>0.1515</v>
      </c>
      <c r="L471" s="12">
        <v>0.25</v>
      </c>
      <c r="M471" s="12">
        <v>0.52239999999999998</v>
      </c>
      <c r="N471" s="12">
        <v>6</v>
      </c>
      <c r="O471" s="12">
        <v>56</v>
      </c>
      <c r="P471" s="13">
        <v>62</v>
      </c>
    </row>
    <row r="472" spans="1:16" x14ac:dyDescent="0.25">
      <c r="A472" s="6">
        <v>471</v>
      </c>
      <c r="B472" s="7">
        <v>40564</v>
      </c>
      <c r="C472" s="8">
        <v>15</v>
      </c>
      <c r="D472" s="8" t="b">
        <v>0</v>
      </c>
      <c r="E472" s="8" t="str">
        <f t="shared" si="21"/>
        <v>Working Day</v>
      </c>
      <c r="F472" s="8">
        <v>5</v>
      </c>
      <c r="G472" s="8" t="str">
        <f t="shared" si="22"/>
        <v>Fri</v>
      </c>
      <c r="H472" s="8">
        <v>1</v>
      </c>
      <c r="I472" s="8" t="str">
        <f t="shared" si="23"/>
        <v>mist/cloudy</v>
      </c>
      <c r="J472" s="8">
        <v>0.16</v>
      </c>
      <c r="K472" s="8">
        <v>0.1212</v>
      </c>
      <c r="L472" s="8">
        <v>0.26</v>
      </c>
      <c r="M472" s="8">
        <v>0.44779999999999998</v>
      </c>
      <c r="N472" s="8">
        <v>4</v>
      </c>
      <c r="O472" s="8">
        <v>61</v>
      </c>
      <c r="P472" s="9">
        <v>65</v>
      </c>
    </row>
    <row r="473" spans="1:16" x14ac:dyDescent="0.25">
      <c r="A473" s="10">
        <v>472</v>
      </c>
      <c r="B473" s="11">
        <v>40564</v>
      </c>
      <c r="C473" s="12">
        <v>16</v>
      </c>
      <c r="D473" s="12" t="b">
        <v>0</v>
      </c>
      <c r="E473" s="12" t="str">
        <f t="shared" si="21"/>
        <v>Working Day</v>
      </c>
      <c r="F473" s="12">
        <v>5</v>
      </c>
      <c r="G473" s="12" t="str">
        <f t="shared" si="22"/>
        <v>Fri</v>
      </c>
      <c r="H473" s="12">
        <v>1</v>
      </c>
      <c r="I473" s="12" t="str">
        <f t="shared" si="23"/>
        <v>mist/cloudy</v>
      </c>
      <c r="J473" s="12">
        <v>0.16</v>
      </c>
      <c r="K473" s="12">
        <v>0.13639999999999999</v>
      </c>
      <c r="L473" s="12">
        <v>0.26</v>
      </c>
      <c r="M473" s="12">
        <v>0.35820000000000002</v>
      </c>
      <c r="N473" s="12">
        <v>0</v>
      </c>
      <c r="O473" s="12">
        <v>97</v>
      </c>
      <c r="P473" s="13">
        <v>97</v>
      </c>
    </row>
    <row r="474" spans="1:16" x14ac:dyDescent="0.25">
      <c r="A474" s="6">
        <v>473</v>
      </c>
      <c r="B474" s="7">
        <v>40564</v>
      </c>
      <c r="C474" s="8">
        <v>17</v>
      </c>
      <c r="D474" s="8" t="b">
        <v>0</v>
      </c>
      <c r="E474" s="8" t="str">
        <f t="shared" si="21"/>
        <v>Working Day</v>
      </c>
      <c r="F474" s="8">
        <v>5</v>
      </c>
      <c r="G474" s="8" t="str">
        <f t="shared" si="22"/>
        <v>Fri</v>
      </c>
      <c r="H474" s="8">
        <v>1</v>
      </c>
      <c r="I474" s="8" t="str">
        <f t="shared" si="23"/>
        <v>mist/cloudy</v>
      </c>
      <c r="J474" s="8">
        <v>0.14000000000000001</v>
      </c>
      <c r="K474" s="8">
        <v>0.1212</v>
      </c>
      <c r="L474" s="8">
        <v>0.28000000000000003</v>
      </c>
      <c r="M474" s="8">
        <v>0.35820000000000002</v>
      </c>
      <c r="N474" s="8">
        <v>10</v>
      </c>
      <c r="O474" s="8">
        <v>151</v>
      </c>
      <c r="P474" s="9">
        <v>161</v>
      </c>
    </row>
    <row r="475" spans="1:16" x14ac:dyDescent="0.25">
      <c r="A475" s="10">
        <v>474</v>
      </c>
      <c r="B475" s="11">
        <v>40564</v>
      </c>
      <c r="C475" s="12">
        <v>18</v>
      </c>
      <c r="D475" s="12" t="b">
        <v>0</v>
      </c>
      <c r="E475" s="12" t="str">
        <f t="shared" si="21"/>
        <v>Working Day</v>
      </c>
      <c r="F475" s="12">
        <v>5</v>
      </c>
      <c r="G475" s="12" t="str">
        <f t="shared" si="22"/>
        <v>Fri</v>
      </c>
      <c r="H475" s="12">
        <v>1</v>
      </c>
      <c r="I475" s="12" t="str">
        <f t="shared" si="23"/>
        <v>mist/cloudy</v>
      </c>
      <c r="J475" s="12">
        <v>0.12</v>
      </c>
      <c r="K475" s="12">
        <v>0.1212</v>
      </c>
      <c r="L475" s="12">
        <v>0.3</v>
      </c>
      <c r="M475" s="12">
        <v>0.25369999999999998</v>
      </c>
      <c r="N475" s="12">
        <v>1</v>
      </c>
      <c r="O475" s="12">
        <v>119</v>
      </c>
      <c r="P475" s="13">
        <v>120</v>
      </c>
    </row>
    <row r="476" spans="1:16" x14ac:dyDescent="0.25">
      <c r="A476" s="6">
        <v>475</v>
      </c>
      <c r="B476" s="7">
        <v>40564</v>
      </c>
      <c r="C476" s="8">
        <v>19</v>
      </c>
      <c r="D476" s="8" t="b">
        <v>0</v>
      </c>
      <c r="E476" s="8" t="str">
        <f t="shared" si="21"/>
        <v>Working Day</v>
      </c>
      <c r="F476" s="8">
        <v>5</v>
      </c>
      <c r="G476" s="8" t="str">
        <f t="shared" si="22"/>
        <v>Fri</v>
      </c>
      <c r="H476" s="8">
        <v>1</v>
      </c>
      <c r="I476" s="8" t="str">
        <f t="shared" si="23"/>
        <v>mist/cloudy</v>
      </c>
      <c r="J476" s="8">
        <v>0.12</v>
      </c>
      <c r="K476" s="8">
        <v>0.1061</v>
      </c>
      <c r="L476" s="8">
        <v>0.3</v>
      </c>
      <c r="M476" s="8">
        <v>0.32840000000000003</v>
      </c>
      <c r="N476" s="8">
        <v>3</v>
      </c>
      <c r="O476" s="8">
        <v>93</v>
      </c>
      <c r="P476" s="9">
        <v>96</v>
      </c>
    </row>
    <row r="477" spans="1:16" x14ac:dyDescent="0.25">
      <c r="A477" s="10">
        <v>476</v>
      </c>
      <c r="B477" s="11">
        <v>40564</v>
      </c>
      <c r="C477" s="12">
        <v>20</v>
      </c>
      <c r="D477" s="12" t="b">
        <v>0</v>
      </c>
      <c r="E477" s="12" t="str">
        <f t="shared" si="21"/>
        <v>Working Day</v>
      </c>
      <c r="F477" s="12">
        <v>5</v>
      </c>
      <c r="G477" s="12" t="str">
        <f t="shared" si="22"/>
        <v>Fri</v>
      </c>
      <c r="H477" s="12">
        <v>1</v>
      </c>
      <c r="I477" s="12" t="str">
        <f t="shared" si="23"/>
        <v>mist/cloudy</v>
      </c>
      <c r="J477" s="12">
        <v>0.1</v>
      </c>
      <c r="K477" s="12">
        <v>7.5800000000000006E-2</v>
      </c>
      <c r="L477" s="12">
        <v>0.33</v>
      </c>
      <c r="M477" s="12">
        <v>0.41789999999999999</v>
      </c>
      <c r="N477" s="12">
        <v>1</v>
      </c>
      <c r="O477" s="12">
        <v>52</v>
      </c>
      <c r="P477" s="13">
        <v>53</v>
      </c>
    </row>
    <row r="478" spans="1:16" x14ac:dyDescent="0.25">
      <c r="A478" s="6">
        <v>477</v>
      </c>
      <c r="B478" s="7">
        <v>40564</v>
      </c>
      <c r="C478" s="8">
        <v>21</v>
      </c>
      <c r="D478" s="8" t="b">
        <v>0</v>
      </c>
      <c r="E478" s="8" t="str">
        <f t="shared" si="21"/>
        <v>Working Day</v>
      </c>
      <c r="F478" s="8">
        <v>5</v>
      </c>
      <c r="G478" s="8" t="str">
        <f t="shared" si="22"/>
        <v>Fri</v>
      </c>
      <c r="H478" s="8">
        <v>1</v>
      </c>
      <c r="I478" s="8" t="str">
        <f t="shared" si="23"/>
        <v>mist/cloudy</v>
      </c>
      <c r="J478" s="8">
        <v>0.08</v>
      </c>
      <c r="K478" s="8">
        <v>7.5800000000000006E-2</v>
      </c>
      <c r="L478" s="8">
        <v>0.38</v>
      </c>
      <c r="M478" s="8">
        <v>0.28360000000000002</v>
      </c>
      <c r="N478" s="8">
        <v>0</v>
      </c>
      <c r="O478" s="8">
        <v>41</v>
      </c>
      <c r="P478" s="9">
        <v>41</v>
      </c>
    </row>
    <row r="479" spans="1:16" x14ac:dyDescent="0.25">
      <c r="A479" s="10">
        <v>478</v>
      </c>
      <c r="B479" s="11">
        <v>40564</v>
      </c>
      <c r="C479" s="12">
        <v>22</v>
      </c>
      <c r="D479" s="12" t="b">
        <v>0</v>
      </c>
      <c r="E479" s="12" t="str">
        <f t="shared" si="21"/>
        <v>Working Day</v>
      </c>
      <c r="F479" s="12">
        <v>5</v>
      </c>
      <c r="G479" s="12" t="str">
        <f t="shared" si="22"/>
        <v>Fri</v>
      </c>
      <c r="H479" s="12">
        <v>1</v>
      </c>
      <c r="I479" s="12" t="str">
        <f t="shared" si="23"/>
        <v>mist/cloudy</v>
      </c>
      <c r="J479" s="12">
        <v>0.06</v>
      </c>
      <c r="K479" s="12">
        <v>3.0300000000000001E-2</v>
      </c>
      <c r="L479" s="12">
        <v>0.41</v>
      </c>
      <c r="M479" s="12">
        <v>0.3881</v>
      </c>
      <c r="N479" s="12">
        <v>1</v>
      </c>
      <c r="O479" s="12">
        <v>33</v>
      </c>
      <c r="P479" s="13">
        <v>34</v>
      </c>
    </row>
    <row r="480" spans="1:16" x14ac:dyDescent="0.25">
      <c r="A480" s="6">
        <v>479</v>
      </c>
      <c r="B480" s="7">
        <v>40564</v>
      </c>
      <c r="C480" s="8">
        <v>23</v>
      </c>
      <c r="D480" s="8" t="b">
        <v>0</v>
      </c>
      <c r="E480" s="8" t="str">
        <f t="shared" si="21"/>
        <v>Working Day</v>
      </c>
      <c r="F480" s="8">
        <v>5</v>
      </c>
      <c r="G480" s="8" t="str">
        <f t="shared" si="22"/>
        <v>Fri</v>
      </c>
      <c r="H480" s="8">
        <v>1</v>
      </c>
      <c r="I480" s="8" t="str">
        <f t="shared" si="23"/>
        <v>mist/cloudy</v>
      </c>
      <c r="J480" s="8">
        <v>0.06</v>
      </c>
      <c r="K480" s="8">
        <v>4.5499999999999999E-2</v>
      </c>
      <c r="L480" s="8">
        <v>0.38</v>
      </c>
      <c r="M480" s="8">
        <v>0.32840000000000003</v>
      </c>
      <c r="N480" s="8">
        <v>0</v>
      </c>
      <c r="O480" s="8">
        <v>27</v>
      </c>
      <c r="P480" s="9">
        <v>27</v>
      </c>
    </row>
    <row r="481" spans="1:16" x14ac:dyDescent="0.25">
      <c r="A481" s="10">
        <v>480</v>
      </c>
      <c r="B481" s="11">
        <v>40565</v>
      </c>
      <c r="C481" s="12">
        <v>0</v>
      </c>
      <c r="D481" s="12" t="b">
        <v>0</v>
      </c>
      <c r="E481" s="12" t="str">
        <f t="shared" si="21"/>
        <v>Working Day</v>
      </c>
      <c r="F481" s="12">
        <v>6</v>
      </c>
      <c r="G481" s="12" t="str">
        <f t="shared" si="22"/>
        <v>Sat</v>
      </c>
      <c r="H481" s="12">
        <v>1</v>
      </c>
      <c r="I481" s="12" t="str">
        <f t="shared" si="23"/>
        <v>mist/cloudy</v>
      </c>
      <c r="J481" s="12">
        <v>0.04</v>
      </c>
      <c r="K481" s="12">
        <v>3.0300000000000001E-2</v>
      </c>
      <c r="L481" s="12">
        <v>0.45</v>
      </c>
      <c r="M481" s="12">
        <v>0.25369999999999998</v>
      </c>
      <c r="N481" s="12">
        <v>0</v>
      </c>
      <c r="O481" s="12">
        <v>13</v>
      </c>
      <c r="P481" s="13">
        <v>13</v>
      </c>
    </row>
    <row r="482" spans="1:16" x14ac:dyDescent="0.25">
      <c r="A482" s="6">
        <v>481</v>
      </c>
      <c r="B482" s="7">
        <v>40565</v>
      </c>
      <c r="C482" s="8">
        <v>1</v>
      </c>
      <c r="D482" s="8" t="b">
        <v>0</v>
      </c>
      <c r="E482" s="8" t="str">
        <f t="shared" si="21"/>
        <v>Working Day</v>
      </c>
      <c r="F482" s="8">
        <v>6</v>
      </c>
      <c r="G482" s="8" t="str">
        <f t="shared" si="22"/>
        <v>Sat</v>
      </c>
      <c r="H482" s="8">
        <v>2</v>
      </c>
      <c r="I482" s="8" t="str">
        <f t="shared" si="23"/>
        <v>light rain</v>
      </c>
      <c r="J482" s="8">
        <v>0.04</v>
      </c>
      <c r="K482" s="8">
        <v>0</v>
      </c>
      <c r="L482" s="8">
        <v>0.41</v>
      </c>
      <c r="M482" s="8">
        <v>0.3881</v>
      </c>
      <c r="N482" s="8">
        <v>3</v>
      </c>
      <c r="O482" s="8">
        <v>9</v>
      </c>
      <c r="P482" s="9">
        <v>12</v>
      </c>
    </row>
    <row r="483" spans="1:16" x14ac:dyDescent="0.25">
      <c r="A483" s="10">
        <v>482</v>
      </c>
      <c r="B483" s="11">
        <v>40565</v>
      </c>
      <c r="C483" s="12">
        <v>2</v>
      </c>
      <c r="D483" s="12" t="b">
        <v>0</v>
      </c>
      <c r="E483" s="12" t="str">
        <f t="shared" si="21"/>
        <v>Working Day</v>
      </c>
      <c r="F483" s="12">
        <v>6</v>
      </c>
      <c r="G483" s="12" t="str">
        <f t="shared" si="22"/>
        <v>Sat</v>
      </c>
      <c r="H483" s="12">
        <v>2</v>
      </c>
      <c r="I483" s="12" t="str">
        <f t="shared" si="23"/>
        <v>light rain</v>
      </c>
      <c r="J483" s="12">
        <v>0.04</v>
      </c>
      <c r="K483" s="12">
        <v>3.0300000000000001E-2</v>
      </c>
      <c r="L483" s="12">
        <v>0.41</v>
      </c>
      <c r="M483" s="12">
        <v>0.25369999999999998</v>
      </c>
      <c r="N483" s="12">
        <v>0</v>
      </c>
      <c r="O483" s="12">
        <v>11</v>
      </c>
      <c r="P483" s="13">
        <v>11</v>
      </c>
    </row>
    <row r="484" spans="1:16" x14ac:dyDescent="0.25">
      <c r="A484" s="6">
        <v>483</v>
      </c>
      <c r="B484" s="7">
        <v>40565</v>
      </c>
      <c r="C484" s="8">
        <v>3</v>
      </c>
      <c r="D484" s="8" t="b">
        <v>0</v>
      </c>
      <c r="E484" s="8" t="str">
        <f t="shared" si="21"/>
        <v>Working Day</v>
      </c>
      <c r="F484" s="8">
        <v>6</v>
      </c>
      <c r="G484" s="8" t="str">
        <f t="shared" si="22"/>
        <v>Sat</v>
      </c>
      <c r="H484" s="8">
        <v>2</v>
      </c>
      <c r="I484" s="8" t="str">
        <f t="shared" si="23"/>
        <v>light rain</v>
      </c>
      <c r="J484" s="8">
        <v>0.04</v>
      </c>
      <c r="K484" s="8">
        <v>3.0300000000000001E-2</v>
      </c>
      <c r="L484" s="8">
        <v>0.41</v>
      </c>
      <c r="M484" s="8">
        <v>0.28360000000000002</v>
      </c>
      <c r="N484" s="8">
        <v>1</v>
      </c>
      <c r="O484" s="8">
        <v>6</v>
      </c>
      <c r="P484" s="9">
        <v>7</v>
      </c>
    </row>
    <row r="485" spans="1:16" x14ac:dyDescent="0.25">
      <c r="A485" s="10">
        <v>484</v>
      </c>
      <c r="B485" s="11">
        <v>40565</v>
      </c>
      <c r="C485" s="12">
        <v>4</v>
      </c>
      <c r="D485" s="12" t="b">
        <v>0</v>
      </c>
      <c r="E485" s="12" t="str">
        <f t="shared" si="21"/>
        <v>Working Day</v>
      </c>
      <c r="F485" s="12">
        <v>6</v>
      </c>
      <c r="G485" s="12" t="str">
        <f t="shared" si="22"/>
        <v>Sat</v>
      </c>
      <c r="H485" s="12">
        <v>2</v>
      </c>
      <c r="I485" s="12" t="str">
        <f t="shared" si="23"/>
        <v>light rain</v>
      </c>
      <c r="J485" s="12">
        <v>0.02</v>
      </c>
      <c r="K485" s="12">
        <v>1.52E-2</v>
      </c>
      <c r="L485" s="12">
        <v>0.48</v>
      </c>
      <c r="M485" s="12">
        <v>0.29849999999999999</v>
      </c>
      <c r="N485" s="12">
        <v>0</v>
      </c>
      <c r="O485" s="12">
        <v>3</v>
      </c>
      <c r="P485" s="13">
        <v>3</v>
      </c>
    </row>
    <row r="486" spans="1:16" x14ac:dyDescent="0.25">
      <c r="A486" s="6">
        <v>485</v>
      </c>
      <c r="B486" s="7">
        <v>40565</v>
      </c>
      <c r="C486" s="8">
        <v>6</v>
      </c>
      <c r="D486" s="8" t="b">
        <v>0</v>
      </c>
      <c r="E486" s="8" t="str">
        <f t="shared" si="21"/>
        <v>Working Day</v>
      </c>
      <c r="F486" s="8">
        <v>6</v>
      </c>
      <c r="G486" s="8" t="str">
        <f t="shared" si="22"/>
        <v>Sat</v>
      </c>
      <c r="H486" s="8">
        <v>2</v>
      </c>
      <c r="I486" s="8" t="str">
        <f t="shared" si="23"/>
        <v>light rain</v>
      </c>
      <c r="J486" s="8">
        <v>0.02</v>
      </c>
      <c r="K486" s="8">
        <v>3.0300000000000001E-2</v>
      </c>
      <c r="L486" s="8">
        <v>0.44</v>
      </c>
      <c r="M486" s="8">
        <v>0.22389999999999999</v>
      </c>
      <c r="N486" s="8">
        <v>0</v>
      </c>
      <c r="O486" s="8">
        <v>2</v>
      </c>
      <c r="P486" s="9">
        <v>2</v>
      </c>
    </row>
    <row r="487" spans="1:16" x14ac:dyDescent="0.25">
      <c r="A487" s="10">
        <v>486</v>
      </c>
      <c r="B487" s="11">
        <v>40565</v>
      </c>
      <c r="C487" s="12">
        <v>7</v>
      </c>
      <c r="D487" s="12" t="b">
        <v>0</v>
      </c>
      <c r="E487" s="12" t="str">
        <f t="shared" si="21"/>
        <v>Working Day</v>
      </c>
      <c r="F487" s="12">
        <v>6</v>
      </c>
      <c r="G487" s="12" t="str">
        <f t="shared" si="22"/>
        <v>Sat</v>
      </c>
      <c r="H487" s="12">
        <v>1</v>
      </c>
      <c r="I487" s="12" t="str">
        <f t="shared" si="23"/>
        <v>mist/cloudy</v>
      </c>
      <c r="J487" s="12">
        <v>0.02</v>
      </c>
      <c r="K487" s="12">
        <v>1.52E-2</v>
      </c>
      <c r="L487" s="12">
        <v>0.44</v>
      </c>
      <c r="M487" s="12">
        <v>0.28360000000000002</v>
      </c>
      <c r="N487" s="12">
        <v>0</v>
      </c>
      <c r="O487" s="12">
        <v>8</v>
      </c>
      <c r="P487" s="13">
        <v>8</v>
      </c>
    </row>
    <row r="488" spans="1:16" x14ac:dyDescent="0.25">
      <c r="A488" s="6">
        <v>487</v>
      </c>
      <c r="B488" s="7">
        <v>40565</v>
      </c>
      <c r="C488" s="8">
        <v>8</v>
      </c>
      <c r="D488" s="8" t="b">
        <v>0</v>
      </c>
      <c r="E488" s="8" t="str">
        <f t="shared" si="21"/>
        <v>Working Day</v>
      </c>
      <c r="F488" s="8">
        <v>6</v>
      </c>
      <c r="G488" s="8" t="str">
        <f t="shared" si="22"/>
        <v>Sat</v>
      </c>
      <c r="H488" s="8">
        <v>1</v>
      </c>
      <c r="I488" s="8" t="str">
        <f t="shared" si="23"/>
        <v>mist/cloudy</v>
      </c>
      <c r="J488" s="8">
        <v>0.02</v>
      </c>
      <c r="K488" s="8">
        <v>0</v>
      </c>
      <c r="L488" s="8">
        <v>0.44</v>
      </c>
      <c r="M488" s="8">
        <v>0.32840000000000003</v>
      </c>
      <c r="N488" s="8">
        <v>1</v>
      </c>
      <c r="O488" s="8">
        <v>26</v>
      </c>
      <c r="P488" s="9">
        <v>27</v>
      </c>
    </row>
    <row r="489" spans="1:16" x14ac:dyDescent="0.25">
      <c r="A489" s="10">
        <v>488</v>
      </c>
      <c r="B489" s="11">
        <v>40565</v>
      </c>
      <c r="C489" s="12">
        <v>9</v>
      </c>
      <c r="D489" s="12" t="b">
        <v>0</v>
      </c>
      <c r="E489" s="12" t="str">
        <f t="shared" si="21"/>
        <v>Working Day</v>
      </c>
      <c r="F489" s="12">
        <v>6</v>
      </c>
      <c r="G489" s="12" t="str">
        <f t="shared" si="22"/>
        <v>Sat</v>
      </c>
      <c r="H489" s="12">
        <v>1</v>
      </c>
      <c r="I489" s="12" t="str">
        <f t="shared" si="23"/>
        <v>mist/cloudy</v>
      </c>
      <c r="J489" s="12">
        <v>0.04</v>
      </c>
      <c r="K489" s="12">
        <v>3.0300000000000001E-2</v>
      </c>
      <c r="L489" s="12">
        <v>0.41</v>
      </c>
      <c r="M489" s="12">
        <v>0.25369999999999998</v>
      </c>
      <c r="N489" s="12">
        <v>3</v>
      </c>
      <c r="O489" s="12">
        <v>37</v>
      </c>
      <c r="P489" s="13">
        <v>40</v>
      </c>
    </row>
    <row r="490" spans="1:16" x14ac:dyDescent="0.25">
      <c r="A490" s="6">
        <v>489</v>
      </c>
      <c r="B490" s="7">
        <v>40565</v>
      </c>
      <c r="C490" s="8">
        <v>10</v>
      </c>
      <c r="D490" s="8" t="b">
        <v>0</v>
      </c>
      <c r="E490" s="8" t="str">
        <f t="shared" si="21"/>
        <v>Working Day</v>
      </c>
      <c r="F490" s="8">
        <v>6</v>
      </c>
      <c r="G490" s="8" t="str">
        <f t="shared" si="22"/>
        <v>Sat</v>
      </c>
      <c r="H490" s="8">
        <v>2</v>
      </c>
      <c r="I490" s="8" t="str">
        <f t="shared" si="23"/>
        <v>light rain</v>
      </c>
      <c r="J490" s="8">
        <v>0.04</v>
      </c>
      <c r="K490" s="8">
        <v>6.0600000000000001E-2</v>
      </c>
      <c r="L490" s="8">
        <v>0.41</v>
      </c>
      <c r="M490" s="8">
        <v>0.16420000000000001</v>
      </c>
      <c r="N490" s="8">
        <v>3</v>
      </c>
      <c r="O490" s="8">
        <v>50</v>
      </c>
      <c r="P490" s="9">
        <v>53</v>
      </c>
    </row>
    <row r="491" spans="1:16" x14ac:dyDescent="0.25">
      <c r="A491" s="10">
        <v>490</v>
      </c>
      <c r="B491" s="11">
        <v>40565</v>
      </c>
      <c r="C491" s="12">
        <v>11</v>
      </c>
      <c r="D491" s="12" t="b">
        <v>0</v>
      </c>
      <c r="E491" s="12" t="str">
        <f t="shared" si="21"/>
        <v>Working Day</v>
      </c>
      <c r="F491" s="12">
        <v>6</v>
      </c>
      <c r="G491" s="12" t="str">
        <f t="shared" si="22"/>
        <v>Sat</v>
      </c>
      <c r="H491" s="12">
        <v>2</v>
      </c>
      <c r="I491" s="12" t="str">
        <f t="shared" si="23"/>
        <v>light rain</v>
      </c>
      <c r="J491" s="12">
        <v>0.06</v>
      </c>
      <c r="K491" s="12">
        <v>7.5800000000000006E-2</v>
      </c>
      <c r="L491" s="12">
        <v>0.38</v>
      </c>
      <c r="M491" s="12">
        <v>0.1343</v>
      </c>
      <c r="N491" s="12">
        <v>4</v>
      </c>
      <c r="O491" s="12">
        <v>59</v>
      </c>
      <c r="P491" s="13">
        <v>63</v>
      </c>
    </row>
    <row r="492" spans="1:16" x14ac:dyDescent="0.25">
      <c r="A492" s="6">
        <v>491</v>
      </c>
      <c r="B492" s="7">
        <v>40565</v>
      </c>
      <c r="C492" s="8">
        <v>12</v>
      </c>
      <c r="D492" s="8" t="b">
        <v>0</v>
      </c>
      <c r="E492" s="8" t="str">
        <f t="shared" si="21"/>
        <v>Working Day</v>
      </c>
      <c r="F492" s="8">
        <v>6</v>
      </c>
      <c r="G492" s="8" t="str">
        <f t="shared" si="22"/>
        <v>Sat</v>
      </c>
      <c r="H492" s="8">
        <v>2</v>
      </c>
      <c r="I492" s="8" t="str">
        <f t="shared" si="23"/>
        <v>light rain</v>
      </c>
      <c r="J492" s="8">
        <v>0.06</v>
      </c>
      <c r="K492" s="8">
        <v>0.1061</v>
      </c>
      <c r="L492" s="8">
        <v>0.38</v>
      </c>
      <c r="M492" s="8">
        <v>0.1045</v>
      </c>
      <c r="N492" s="8">
        <v>10</v>
      </c>
      <c r="O492" s="8">
        <v>60</v>
      </c>
      <c r="P492" s="9">
        <v>70</v>
      </c>
    </row>
    <row r="493" spans="1:16" x14ac:dyDescent="0.25">
      <c r="A493" s="10">
        <v>492</v>
      </c>
      <c r="B493" s="11">
        <v>40565</v>
      </c>
      <c r="C493" s="12">
        <v>13</v>
      </c>
      <c r="D493" s="12" t="b">
        <v>0</v>
      </c>
      <c r="E493" s="12" t="str">
        <f t="shared" si="21"/>
        <v>Working Day</v>
      </c>
      <c r="F493" s="12">
        <v>6</v>
      </c>
      <c r="G493" s="12" t="str">
        <f t="shared" si="22"/>
        <v>Sat</v>
      </c>
      <c r="H493" s="12">
        <v>1</v>
      </c>
      <c r="I493" s="12" t="str">
        <f t="shared" si="23"/>
        <v>mist/cloudy</v>
      </c>
      <c r="J493" s="12">
        <v>0.08</v>
      </c>
      <c r="K493" s="12">
        <v>0.16669999999999999</v>
      </c>
      <c r="L493" s="12">
        <v>0.35</v>
      </c>
      <c r="M493" s="12">
        <v>0</v>
      </c>
      <c r="N493" s="12">
        <v>12</v>
      </c>
      <c r="O493" s="12">
        <v>72</v>
      </c>
      <c r="P493" s="13">
        <v>84</v>
      </c>
    </row>
    <row r="494" spans="1:16" x14ac:dyDescent="0.25">
      <c r="A494" s="6">
        <v>493</v>
      </c>
      <c r="B494" s="7">
        <v>40565</v>
      </c>
      <c r="C494" s="8">
        <v>14</v>
      </c>
      <c r="D494" s="8" t="b">
        <v>0</v>
      </c>
      <c r="E494" s="8" t="str">
        <f t="shared" si="21"/>
        <v>Working Day</v>
      </c>
      <c r="F494" s="8">
        <v>6</v>
      </c>
      <c r="G494" s="8" t="str">
        <f t="shared" si="22"/>
        <v>Sat</v>
      </c>
      <c r="H494" s="8">
        <v>1</v>
      </c>
      <c r="I494" s="8" t="str">
        <f t="shared" si="23"/>
        <v>mist/cloudy</v>
      </c>
      <c r="J494" s="8">
        <v>0.1</v>
      </c>
      <c r="K494" s="8">
        <v>0.13639999999999999</v>
      </c>
      <c r="L494" s="8">
        <v>0.33</v>
      </c>
      <c r="M494" s="8">
        <v>0.1045</v>
      </c>
      <c r="N494" s="8">
        <v>11</v>
      </c>
      <c r="O494" s="8">
        <v>64</v>
      </c>
      <c r="P494" s="9">
        <v>75</v>
      </c>
    </row>
    <row r="495" spans="1:16" x14ac:dyDescent="0.25">
      <c r="A495" s="10">
        <v>494</v>
      </c>
      <c r="B495" s="11">
        <v>40565</v>
      </c>
      <c r="C495" s="12">
        <v>15</v>
      </c>
      <c r="D495" s="12" t="b">
        <v>0</v>
      </c>
      <c r="E495" s="12" t="str">
        <f t="shared" si="21"/>
        <v>Working Day</v>
      </c>
      <c r="F495" s="12">
        <v>6</v>
      </c>
      <c r="G495" s="12" t="str">
        <f t="shared" si="22"/>
        <v>Sat</v>
      </c>
      <c r="H495" s="12">
        <v>1</v>
      </c>
      <c r="I495" s="12" t="str">
        <f t="shared" si="23"/>
        <v>mist/cloudy</v>
      </c>
      <c r="J495" s="12">
        <v>0.12</v>
      </c>
      <c r="K495" s="12">
        <v>0.1515</v>
      </c>
      <c r="L495" s="12">
        <v>0.28000000000000003</v>
      </c>
      <c r="M495" s="12">
        <v>0</v>
      </c>
      <c r="N495" s="12">
        <v>10</v>
      </c>
      <c r="O495" s="12">
        <v>93</v>
      </c>
      <c r="P495" s="13">
        <v>103</v>
      </c>
    </row>
    <row r="496" spans="1:16" x14ac:dyDescent="0.25">
      <c r="A496" s="6">
        <v>495</v>
      </c>
      <c r="B496" s="7">
        <v>40565</v>
      </c>
      <c r="C496" s="8">
        <v>16</v>
      </c>
      <c r="D496" s="8" t="b">
        <v>0</v>
      </c>
      <c r="E496" s="8" t="str">
        <f t="shared" si="21"/>
        <v>Working Day</v>
      </c>
      <c r="F496" s="8">
        <v>6</v>
      </c>
      <c r="G496" s="8" t="str">
        <f t="shared" si="22"/>
        <v>Sat</v>
      </c>
      <c r="H496" s="8">
        <v>1</v>
      </c>
      <c r="I496" s="8" t="str">
        <f t="shared" si="23"/>
        <v>mist/cloudy</v>
      </c>
      <c r="J496" s="8">
        <v>0.12</v>
      </c>
      <c r="K496" s="8">
        <v>0.13639999999999999</v>
      </c>
      <c r="L496" s="8">
        <v>0.28000000000000003</v>
      </c>
      <c r="M496" s="8">
        <v>0.19400000000000001</v>
      </c>
      <c r="N496" s="8">
        <v>11</v>
      </c>
      <c r="O496" s="8">
        <v>72</v>
      </c>
      <c r="P496" s="9">
        <v>83</v>
      </c>
    </row>
    <row r="497" spans="1:16" x14ac:dyDescent="0.25">
      <c r="A497" s="10">
        <v>496</v>
      </c>
      <c r="B497" s="11">
        <v>40565</v>
      </c>
      <c r="C497" s="12">
        <v>17</v>
      </c>
      <c r="D497" s="12" t="b">
        <v>0</v>
      </c>
      <c r="E497" s="12" t="str">
        <f t="shared" si="21"/>
        <v>Working Day</v>
      </c>
      <c r="F497" s="12">
        <v>6</v>
      </c>
      <c r="G497" s="12" t="str">
        <f t="shared" si="22"/>
        <v>Sat</v>
      </c>
      <c r="H497" s="12">
        <v>1</v>
      </c>
      <c r="I497" s="12" t="str">
        <f t="shared" si="23"/>
        <v>mist/cloudy</v>
      </c>
      <c r="J497" s="12">
        <v>0.12</v>
      </c>
      <c r="K497" s="12">
        <v>0.19700000000000001</v>
      </c>
      <c r="L497" s="12">
        <v>0.28000000000000003</v>
      </c>
      <c r="M497" s="12">
        <v>0</v>
      </c>
      <c r="N497" s="12">
        <v>8</v>
      </c>
      <c r="O497" s="12">
        <v>59</v>
      </c>
      <c r="P497" s="13">
        <v>67</v>
      </c>
    </row>
    <row r="498" spans="1:16" x14ac:dyDescent="0.25">
      <c r="A498" s="6">
        <v>497</v>
      </c>
      <c r="B498" s="7">
        <v>40565</v>
      </c>
      <c r="C498" s="8">
        <v>18</v>
      </c>
      <c r="D498" s="8" t="b">
        <v>0</v>
      </c>
      <c r="E498" s="8" t="str">
        <f t="shared" si="21"/>
        <v>Working Day</v>
      </c>
      <c r="F498" s="8">
        <v>6</v>
      </c>
      <c r="G498" s="8" t="str">
        <f t="shared" si="22"/>
        <v>Sat</v>
      </c>
      <c r="H498" s="8">
        <v>1</v>
      </c>
      <c r="I498" s="8" t="str">
        <f t="shared" si="23"/>
        <v>mist/cloudy</v>
      </c>
      <c r="J498" s="8">
        <v>0.08</v>
      </c>
      <c r="K498" s="8">
        <v>9.0899999999999995E-2</v>
      </c>
      <c r="L498" s="8">
        <v>0.35</v>
      </c>
      <c r="M498" s="8">
        <v>0.19400000000000001</v>
      </c>
      <c r="N498" s="8">
        <v>0</v>
      </c>
      <c r="O498" s="8">
        <v>54</v>
      </c>
      <c r="P498" s="9">
        <v>54</v>
      </c>
    </row>
    <row r="499" spans="1:16" x14ac:dyDescent="0.25">
      <c r="A499" s="10">
        <v>498</v>
      </c>
      <c r="B499" s="11">
        <v>40565</v>
      </c>
      <c r="C499" s="12">
        <v>19</v>
      </c>
      <c r="D499" s="12" t="b">
        <v>0</v>
      </c>
      <c r="E499" s="12" t="str">
        <f t="shared" si="21"/>
        <v>Working Day</v>
      </c>
      <c r="F499" s="12">
        <v>6</v>
      </c>
      <c r="G499" s="12" t="str">
        <f t="shared" si="22"/>
        <v>Sat</v>
      </c>
      <c r="H499" s="12">
        <v>1</v>
      </c>
      <c r="I499" s="12" t="str">
        <f t="shared" si="23"/>
        <v>mist/cloudy</v>
      </c>
      <c r="J499" s="12">
        <v>0.08</v>
      </c>
      <c r="K499" s="12">
        <v>0.1061</v>
      </c>
      <c r="L499" s="12">
        <v>0.35</v>
      </c>
      <c r="M499" s="12">
        <v>0.1343</v>
      </c>
      <c r="N499" s="12">
        <v>6</v>
      </c>
      <c r="O499" s="12">
        <v>53</v>
      </c>
      <c r="P499" s="13">
        <v>59</v>
      </c>
    </row>
    <row r="500" spans="1:16" x14ac:dyDescent="0.25">
      <c r="A500" s="6">
        <v>499</v>
      </c>
      <c r="B500" s="7">
        <v>40565</v>
      </c>
      <c r="C500" s="8">
        <v>20</v>
      </c>
      <c r="D500" s="8" t="b">
        <v>0</v>
      </c>
      <c r="E500" s="8" t="str">
        <f t="shared" si="21"/>
        <v>Working Day</v>
      </c>
      <c r="F500" s="8">
        <v>6</v>
      </c>
      <c r="G500" s="8" t="str">
        <f t="shared" si="22"/>
        <v>Sat</v>
      </c>
      <c r="H500" s="8">
        <v>1</v>
      </c>
      <c r="I500" s="8" t="str">
        <f t="shared" si="23"/>
        <v>mist/cloudy</v>
      </c>
      <c r="J500" s="8">
        <v>0.06</v>
      </c>
      <c r="K500" s="8">
        <v>7.5800000000000006E-2</v>
      </c>
      <c r="L500" s="8">
        <v>0.45</v>
      </c>
      <c r="M500" s="8">
        <v>0.16420000000000001</v>
      </c>
      <c r="N500" s="8">
        <v>1</v>
      </c>
      <c r="O500" s="8">
        <v>44</v>
      </c>
      <c r="P500" s="9">
        <v>45</v>
      </c>
    </row>
    <row r="501" spans="1:16" x14ac:dyDescent="0.25">
      <c r="A501" s="10">
        <v>500</v>
      </c>
      <c r="B501" s="11">
        <v>40565</v>
      </c>
      <c r="C501" s="12">
        <v>21</v>
      </c>
      <c r="D501" s="12" t="b">
        <v>0</v>
      </c>
      <c r="E501" s="12" t="str">
        <f t="shared" si="21"/>
        <v>Working Day</v>
      </c>
      <c r="F501" s="12">
        <v>6</v>
      </c>
      <c r="G501" s="12" t="str">
        <f t="shared" si="22"/>
        <v>Sat</v>
      </c>
      <c r="H501" s="12">
        <v>1</v>
      </c>
      <c r="I501" s="12" t="str">
        <f t="shared" si="23"/>
        <v>mist/cloudy</v>
      </c>
      <c r="J501" s="12">
        <v>0.06</v>
      </c>
      <c r="K501" s="12">
        <v>0.1061</v>
      </c>
      <c r="L501" s="12">
        <v>0.41</v>
      </c>
      <c r="M501" s="12">
        <v>8.9599999999999999E-2</v>
      </c>
      <c r="N501" s="12">
        <v>0</v>
      </c>
      <c r="O501" s="12">
        <v>39</v>
      </c>
      <c r="P501" s="13">
        <v>39</v>
      </c>
    </row>
    <row r="502" spans="1:16" x14ac:dyDescent="0.25">
      <c r="A502" s="6">
        <v>501</v>
      </c>
      <c r="B502" s="7">
        <v>40565</v>
      </c>
      <c r="C502" s="8">
        <v>22</v>
      </c>
      <c r="D502" s="8" t="b">
        <v>0</v>
      </c>
      <c r="E502" s="8" t="str">
        <f t="shared" si="21"/>
        <v>Working Day</v>
      </c>
      <c r="F502" s="8">
        <v>6</v>
      </c>
      <c r="G502" s="8" t="str">
        <f t="shared" si="22"/>
        <v>Sat</v>
      </c>
      <c r="H502" s="8">
        <v>1</v>
      </c>
      <c r="I502" s="8" t="str">
        <f t="shared" si="23"/>
        <v>mist/cloudy</v>
      </c>
      <c r="J502" s="8">
        <v>0.06</v>
      </c>
      <c r="K502" s="8">
        <v>0.1515</v>
      </c>
      <c r="L502" s="8">
        <v>0.49</v>
      </c>
      <c r="M502" s="8">
        <v>0</v>
      </c>
      <c r="N502" s="8">
        <v>7</v>
      </c>
      <c r="O502" s="8">
        <v>23</v>
      </c>
      <c r="P502" s="9">
        <v>30</v>
      </c>
    </row>
    <row r="503" spans="1:16" x14ac:dyDescent="0.25">
      <c r="A503" s="10">
        <v>502</v>
      </c>
      <c r="B503" s="11">
        <v>40565</v>
      </c>
      <c r="C503" s="12">
        <v>23</v>
      </c>
      <c r="D503" s="12" t="b">
        <v>0</v>
      </c>
      <c r="E503" s="12" t="str">
        <f t="shared" si="21"/>
        <v>Working Day</v>
      </c>
      <c r="F503" s="12">
        <v>6</v>
      </c>
      <c r="G503" s="12" t="str">
        <f t="shared" si="22"/>
        <v>Sat</v>
      </c>
      <c r="H503" s="12">
        <v>1</v>
      </c>
      <c r="I503" s="12" t="str">
        <f t="shared" si="23"/>
        <v>mist/cloudy</v>
      </c>
      <c r="J503" s="12">
        <v>0.04</v>
      </c>
      <c r="K503" s="12">
        <v>7.5800000000000006E-2</v>
      </c>
      <c r="L503" s="12">
        <v>0.56999999999999995</v>
      </c>
      <c r="M503" s="12">
        <v>0.1045</v>
      </c>
      <c r="N503" s="12">
        <v>2</v>
      </c>
      <c r="O503" s="12">
        <v>31</v>
      </c>
      <c r="P503" s="13">
        <v>33</v>
      </c>
    </row>
    <row r="504" spans="1:16" x14ac:dyDescent="0.25">
      <c r="A504" s="6">
        <v>503</v>
      </c>
      <c r="B504" s="7">
        <v>40566</v>
      </c>
      <c r="C504" s="8">
        <v>0</v>
      </c>
      <c r="D504" s="8" t="b">
        <v>0</v>
      </c>
      <c r="E504" s="8" t="str">
        <f t="shared" si="21"/>
        <v>Working Day</v>
      </c>
      <c r="F504" s="8">
        <v>0</v>
      </c>
      <c r="G504" s="8" t="str">
        <f t="shared" si="22"/>
        <v>Sun</v>
      </c>
      <c r="H504" s="8">
        <v>1</v>
      </c>
      <c r="I504" s="8" t="str">
        <f t="shared" si="23"/>
        <v>mist/cloudy</v>
      </c>
      <c r="J504" s="8">
        <v>0.04</v>
      </c>
      <c r="K504" s="8">
        <v>7.5800000000000006E-2</v>
      </c>
      <c r="L504" s="8">
        <v>0.56999999999999995</v>
      </c>
      <c r="M504" s="8">
        <v>0.1045</v>
      </c>
      <c r="N504" s="8">
        <v>2</v>
      </c>
      <c r="O504" s="8">
        <v>20</v>
      </c>
      <c r="P504" s="9">
        <v>22</v>
      </c>
    </row>
    <row r="505" spans="1:16" x14ac:dyDescent="0.25">
      <c r="A505" s="10">
        <v>504</v>
      </c>
      <c r="B505" s="11">
        <v>40566</v>
      </c>
      <c r="C505" s="12">
        <v>1</v>
      </c>
      <c r="D505" s="12" t="b">
        <v>0</v>
      </c>
      <c r="E505" s="12" t="str">
        <f t="shared" si="21"/>
        <v>Working Day</v>
      </c>
      <c r="F505" s="12">
        <v>0</v>
      </c>
      <c r="G505" s="12" t="str">
        <f t="shared" si="22"/>
        <v>Sun</v>
      </c>
      <c r="H505" s="12">
        <v>1</v>
      </c>
      <c r="I505" s="12" t="str">
        <f t="shared" si="23"/>
        <v>mist/cloudy</v>
      </c>
      <c r="J505" s="12">
        <v>0.04</v>
      </c>
      <c r="K505" s="12">
        <v>7.5800000000000006E-2</v>
      </c>
      <c r="L505" s="12">
        <v>0.56999999999999995</v>
      </c>
      <c r="M505" s="12">
        <v>0.1045</v>
      </c>
      <c r="N505" s="12">
        <v>1</v>
      </c>
      <c r="O505" s="12">
        <v>12</v>
      </c>
      <c r="P505" s="13">
        <v>13</v>
      </c>
    </row>
    <row r="506" spans="1:16" x14ac:dyDescent="0.25">
      <c r="A506" s="6">
        <v>505</v>
      </c>
      <c r="B506" s="7">
        <v>40566</v>
      </c>
      <c r="C506" s="8">
        <v>2</v>
      </c>
      <c r="D506" s="8" t="b">
        <v>0</v>
      </c>
      <c r="E506" s="8" t="str">
        <f t="shared" si="21"/>
        <v>Working Day</v>
      </c>
      <c r="F506" s="8">
        <v>0</v>
      </c>
      <c r="G506" s="8" t="str">
        <f t="shared" si="22"/>
        <v>Sun</v>
      </c>
      <c r="H506" s="8">
        <v>1</v>
      </c>
      <c r="I506" s="8" t="str">
        <f t="shared" si="23"/>
        <v>mist/cloudy</v>
      </c>
      <c r="J506" s="8">
        <v>0.02</v>
      </c>
      <c r="K506" s="8">
        <v>6.0600000000000001E-2</v>
      </c>
      <c r="L506" s="8">
        <v>0.62</v>
      </c>
      <c r="M506" s="8">
        <v>0.1343</v>
      </c>
      <c r="N506" s="8">
        <v>3</v>
      </c>
      <c r="O506" s="8">
        <v>15</v>
      </c>
      <c r="P506" s="9">
        <v>18</v>
      </c>
    </row>
    <row r="507" spans="1:16" x14ac:dyDescent="0.25">
      <c r="A507" s="10">
        <v>506</v>
      </c>
      <c r="B507" s="11">
        <v>40566</v>
      </c>
      <c r="C507" s="12">
        <v>3</v>
      </c>
      <c r="D507" s="12" t="b">
        <v>0</v>
      </c>
      <c r="E507" s="12" t="str">
        <f t="shared" si="21"/>
        <v>Working Day</v>
      </c>
      <c r="F507" s="12">
        <v>0</v>
      </c>
      <c r="G507" s="12" t="str">
        <f t="shared" si="22"/>
        <v>Sun</v>
      </c>
      <c r="H507" s="12">
        <v>1</v>
      </c>
      <c r="I507" s="12" t="str">
        <f t="shared" si="23"/>
        <v>mist/cloudy</v>
      </c>
      <c r="J507" s="12">
        <v>0.02</v>
      </c>
      <c r="K507" s="12">
        <v>6.0600000000000001E-2</v>
      </c>
      <c r="L507" s="12">
        <v>0.62</v>
      </c>
      <c r="M507" s="12">
        <v>0.1343</v>
      </c>
      <c r="N507" s="12">
        <v>1</v>
      </c>
      <c r="O507" s="12">
        <v>4</v>
      </c>
      <c r="P507" s="13">
        <v>5</v>
      </c>
    </row>
    <row r="508" spans="1:16" x14ac:dyDescent="0.25">
      <c r="A508" s="6">
        <v>507</v>
      </c>
      <c r="B508" s="7">
        <v>40566</v>
      </c>
      <c r="C508" s="8">
        <v>5</v>
      </c>
      <c r="D508" s="8" t="b">
        <v>0</v>
      </c>
      <c r="E508" s="8" t="str">
        <f t="shared" si="21"/>
        <v>Working Day</v>
      </c>
      <c r="F508" s="8">
        <v>0</v>
      </c>
      <c r="G508" s="8" t="str">
        <f t="shared" si="22"/>
        <v>Sun</v>
      </c>
      <c r="H508" s="8">
        <v>2</v>
      </c>
      <c r="I508" s="8" t="str">
        <f t="shared" si="23"/>
        <v>light rain</v>
      </c>
      <c r="J508" s="8">
        <v>0.04</v>
      </c>
      <c r="K508" s="8">
        <v>7.5800000000000006E-2</v>
      </c>
      <c r="L508" s="8">
        <v>0.56999999999999995</v>
      </c>
      <c r="M508" s="8">
        <v>0.1045</v>
      </c>
      <c r="N508" s="8">
        <v>0</v>
      </c>
      <c r="O508" s="8">
        <v>3</v>
      </c>
      <c r="P508" s="9">
        <v>3</v>
      </c>
    </row>
    <row r="509" spans="1:16" x14ac:dyDescent="0.25">
      <c r="A509" s="10">
        <v>508</v>
      </c>
      <c r="B509" s="11">
        <v>40566</v>
      </c>
      <c r="C509" s="12">
        <v>6</v>
      </c>
      <c r="D509" s="12" t="b">
        <v>0</v>
      </c>
      <c r="E509" s="12" t="str">
        <f t="shared" si="21"/>
        <v>Working Day</v>
      </c>
      <c r="F509" s="12">
        <v>0</v>
      </c>
      <c r="G509" s="12" t="str">
        <f t="shared" si="22"/>
        <v>Sun</v>
      </c>
      <c r="H509" s="12">
        <v>2</v>
      </c>
      <c r="I509" s="12" t="str">
        <f t="shared" si="23"/>
        <v>light rain</v>
      </c>
      <c r="J509" s="12">
        <v>0.04</v>
      </c>
      <c r="K509" s="12">
        <v>7.5800000000000006E-2</v>
      </c>
      <c r="L509" s="12">
        <v>0.56999999999999995</v>
      </c>
      <c r="M509" s="12">
        <v>0.1045</v>
      </c>
      <c r="N509" s="12">
        <v>0</v>
      </c>
      <c r="O509" s="12">
        <v>1</v>
      </c>
      <c r="P509" s="13">
        <v>1</v>
      </c>
    </row>
    <row r="510" spans="1:16" x14ac:dyDescent="0.25">
      <c r="A510" s="6">
        <v>509</v>
      </c>
      <c r="B510" s="7">
        <v>40566</v>
      </c>
      <c r="C510" s="8">
        <v>7</v>
      </c>
      <c r="D510" s="8" t="b">
        <v>0</v>
      </c>
      <c r="E510" s="8" t="str">
        <f t="shared" si="21"/>
        <v>Working Day</v>
      </c>
      <c r="F510" s="8">
        <v>0</v>
      </c>
      <c r="G510" s="8" t="str">
        <f t="shared" si="22"/>
        <v>Sun</v>
      </c>
      <c r="H510" s="8">
        <v>1</v>
      </c>
      <c r="I510" s="8" t="str">
        <f t="shared" si="23"/>
        <v>mist/cloudy</v>
      </c>
      <c r="J510" s="8">
        <v>0.08</v>
      </c>
      <c r="K510" s="8">
        <v>0.1061</v>
      </c>
      <c r="L510" s="8">
        <v>0.57999999999999996</v>
      </c>
      <c r="M510" s="8">
        <v>0.16420000000000001</v>
      </c>
      <c r="N510" s="8">
        <v>1</v>
      </c>
      <c r="O510" s="8">
        <v>1</v>
      </c>
      <c r="P510" s="9">
        <v>2</v>
      </c>
    </row>
    <row r="511" spans="1:16" x14ac:dyDescent="0.25">
      <c r="A511" s="10">
        <v>510</v>
      </c>
      <c r="B511" s="11">
        <v>40566</v>
      </c>
      <c r="C511" s="12">
        <v>8</v>
      </c>
      <c r="D511" s="12" t="b">
        <v>0</v>
      </c>
      <c r="E511" s="12" t="str">
        <f t="shared" si="21"/>
        <v>Working Day</v>
      </c>
      <c r="F511" s="12">
        <v>0</v>
      </c>
      <c r="G511" s="12" t="str">
        <f t="shared" si="22"/>
        <v>Sun</v>
      </c>
      <c r="H511" s="12">
        <v>1</v>
      </c>
      <c r="I511" s="12" t="str">
        <f t="shared" si="23"/>
        <v>mist/cloudy</v>
      </c>
      <c r="J511" s="12">
        <v>0.06</v>
      </c>
      <c r="K511" s="12">
        <v>7.5800000000000006E-2</v>
      </c>
      <c r="L511" s="12">
        <v>0.62</v>
      </c>
      <c r="M511" s="12">
        <v>0.16420000000000001</v>
      </c>
      <c r="N511" s="12">
        <v>2</v>
      </c>
      <c r="O511" s="12">
        <v>17</v>
      </c>
      <c r="P511" s="13">
        <v>19</v>
      </c>
    </row>
    <row r="512" spans="1:16" x14ac:dyDescent="0.25">
      <c r="A512" s="6">
        <v>511</v>
      </c>
      <c r="B512" s="7">
        <v>40566</v>
      </c>
      <c r="C512" s="8">
        <v>9</v>
      </c>
      <c r="D512" s="8" t="b">
        <v>0</v>
      </c>
      <c r="E512" s="8" t="str">
        <f t="shared" si="21"/>
        <v>Working Day</v>
      </c>
      <c r="F512" s="8">
        <v>0</v>
      </c>
      <c r="G512" s="8" t="str">
        <f t="shared" si="22"/>
        <v>Sun</v>
      </c>
      <c r="H512" s="8">
        <v>1</v>
      </c>
      <c r="I512" s="8" t="str">
        <f t="shared" si="23"/>
        <v>mist/cloudy</v>
      </c>
      <c r="J512" s="8">
        <v>0.1</v>
      </c>
      <c r="K512" s="8">
        <v>7.5800000000000006E-2</v>
      </c>
      <c r="L512" s="8">
        <v>0.54</v>
      </c>
      <c r="M512" s="8">
        <v>0.35820000000000002</v>
      </c>
      <c r="N512" s="8">
        <v>3</v>
      </c>
      <c r="O512" s="8">
        <v>25</v>
      </c>
      <c r="P512" s="9">
        <v>28</v>
      </c>
    </row>
    <row r="513" spans="1:16" x14ac:dyDescent="0.25">
      <c r="A513" s="10">
        <v>512</v>
      </c>
      <c r="B513" s="11">
        <v>40566</v>
      </c>
      <c r="C513" s="12">
        <v>10</v>
      </c>
      <c r="D513" s="12" t="b">
        <v>0</v>
      </c>
      <c r="E513" s="12" t="str">
        <f t="shared" si="21"/>
        <v>Working Day</v>
      </c>
      <c r="F513" s="12">
        <v>0</v>
      </c>
      <c r="G513" s="12" t="str">
        <f t="shared" si="22"/>
        <v>Sun</v>
      </c>
      <c r="H513" s="12">
        <v>1</v>
      </c>
      <c r="I513" s="12" t="str">
        <f t="shared" si="23"/>
        <v>mist/cloudy</v>
      </c>
      <c r="J513" s="12">
        <v>0.14000000000000001</v>
      </c>
      <c r="K513" s="12">
        <v>0.1061</v>
      </c>
      <c r="L513" s="12">
        <v>0.46</v>
      </c>
      <c r="M513" s="12">
        <v>0.3881</v>
      </c>
      <c r="N513" s="12">
        <v>7</v>
      </c>
      <c r="O513" s="12">
        <v>51</v>
      </c>
      <c r="P513" s="13">
        <v>58</v>
      </c>
    </row>
    <row r="514" spans="1:16" x14ac:dyDescent="0.25">
      <c r="A514" s="6">
        <v>513</v>
      </c>
      <c r="B514" s="7">
        <v>40566</v>
      </c>
      <c r="C514" s="8">
        <v>11</v>
      </c>
      <c r="D514" s="8" t="b">
        <v>0</v>
      </c>
      <c r="E514" s="8" t="str">
        <f t="shared" ref="E514:E577" si="24">IF(D514=FALSE,"Working Day","Holiday")</f>
        <v>Working Day</v>
      </c>
      <c r="F514" s="8">
        <v>0</v>
      </c>
      <c r="G514" s="8" t="str">
        <f t="shared" ref="G514:G577" si="25">TEXT(F514+1, "ddd")</f>
        <v>Sun</v>
      </c>
      <c r="H514" s="8">
        <v>1</v>
      </c>
      <c r="I514" s="8" t="str">
        <f t="shared" si="23"/>
        <v>mist/cloudy</v>
      </c>
      <c r="J514" s="8">
        <v>0.14000000000000001</v>
      </c>
      <c r="K514" s="8">
        <v>0.13639999999999999</v>
      </c>
      <c r="L514" s="8">
        <v>0.43</v>
      </c>
      <c r="M514" s="8">
        <v>0.22389999999999999</v>
      </c>
      <c r="N514" s="8">
        <v>22</v>
      </c>
      <c r="O514" s="8">
        <v>77</v>
      </c>
      <c r="P514" s="9">
        <v>99</v>
      </c>
    </row>
    <row r="515" spans="1:16" x14ac:dyDescent="0.25">
      <c r="A515" s="10">
        <v>514</v>
      </c>
      <c r="B515" s="11">
        <v>40566</v>
      </c>
      <c r="C515" s="12">
        <v>12</v>
      </c>
      <c r="D515" s="12" t="b">
        <v>0</v>
      </c>
      <c r="E515" s="12" t="str">
        <f t="shared" si="24"/>
        <v>Working Day</v>
      </c>
      <c r="F515" s="12">
        <v>0</v>
      </c>
      <c r="G515" s="12" t="str">
        <f t="shared" si="25"/>
        <v>Sun</v>
      </c>
      <c r="H515" s="12">
        <v>1</v>
      </c>
      <c r="I515" s="12" t="str">
        <f t="shared" ref="I515:I578" si="26">IF(H515=0, "clear", IF(H515=1, "mist/cloudy", IF(H515=2, "light rain", IF(H515=3, "heavy rain", IF(H515=4, "extreme weather condition", "Unknown")))))</f>
        <v>mist/cloudy</v>
      </c>
      <c r="J515" s="12">
        <v>0.16</v>
      </c>
      <c r="K515" s="12">
        <v>0.1212</v>
      </c>
      <c r="L515" s="12">
        <v>0.37</v>
      </c>
      <c r="M515" s="12">
        <v>0.4627</v>
      </c>
      <c r="N515" s="12">
        <v>24</v>
      </c>
      <c r="O515" s="12">
        <v>92</v>
      </c>
      <c r="P515" s="13">
        <v>116</v>
      </c>
    </row>
    <row r="516" spans="1:16" x14ac:dyDescent="0.25">
      <c r="A516" s="6">
        <v>515</v>
      </c>
      <c r="B516" s="7">
        <v>40566</v>
      </c>
      <c r="C516" s="8">
        <v>13</v>
      </c>
      <c r="D516" s="8" t="b">
        <v>0</v>
      </c>
      <c r="E516" s="8" t="str">
        <f t="shared" si="24"/>
        <v>Working Day</v>
      </c>
      <c r="F516" s="8">
        <v>0</v>
      </c>
      <c r="G516" s="8" t="str">
        <f t="shared" si="25"/>
        <v>Sun</v>
      </c>
      <c r="H516" s="8">
        <v>1</v>
      </c>
      <c r="I516" s="8" t="str">
        <f t="shared" si="26"/>
        <v>mist/cloudy</v>
      </c>
      <c r="J516" s="8">
        <v>0.14000000000000001</v>
      </c>
      <c r="K516" s="8">
        <v>0.1061</v>
      </c>
      <c r="L516" s="8">
        <v>0.33</v>
      </c>
      <c r="M516" s="8">
        <v>0.3881</v>
      </c>
      <c r="N516" s="8">
        <v>12</v>
      </c>
      <c r="O516" s="8">
        <v>75</v>
      </c>
      <c r="P516" s="9">
        <v>87</v>
      </c>
    </row>
    <row r="517" spans="1:16" x14ac:dyDescent="0.25">
      <c r="A517" s="10">
        <v>516</v>
      </c>
      <c r="B517" s="11">
        <v>40566</v>
      </c>
      <c r="C517" s="12">
        <v>14</v>
      </c>
      <c r="D517" s="12" t="b">
        <v>0</v>
      </c>
      <c r="E517" s="12" t="str">
        <f t="shared" si="24"/>
        <v>Working Day</v>
      </c>
      <c r="F517" s="12">
        <v>0</v>
      </c>
      <c r="G517" s="12" t="str">
        <f t="shared" si="25"/>
        <v>Sun</v>
      </c>
      <c r="H517" s="12">
        <v>1</v>
      </c>
      <c r="I517" s="12" t="str">
        <f t="shared" si="26"/>
        <v>mist/cloudy</v>
      </c>
      <c r="J517" s="12">
        <v>0.16</v>
      </c>
      <c r="K517" s="12">
        <v>0.13639999999999999</v>
      </c>
      <c r="L517" s="12">
        <v>0.28000000000000003</v>
      </c>
      <c r="M517" s="12">
        <v>0.35820000000000002</v>
      </c>
      <c r="N517" s="12">
        <v>17</v>
      </c>
      <c r="O517" s="12">
        <v>93</v>
      </c>
      <c r="P517" s="13">
        <v>110</v>
      </c>
    </row>
    <row r="518" spans="1:16" x14ac:dyDescent="0.25">
      <c r="A518" s="6">
        <v>517</v>
      </c>
      <c r="B518" s="7">
        <v>40566</v>
      </c>
      <c r="C518" s="8">
        <v>15</v>
      </c>
      <c r="D518" s="8" t="b">
        <v>0</v>
      </c>
      <c r="E518" s="8" t="str">
        <f t="shared" si="24"/>
        <v>Working Day</v>
      </c>
      <c r="F518" s="8">
        <v>0</v>
      </c>
      <c r="G518" s="8" t="str">
        <f t="shared" si="25"/>
        <v>Sun</v>
      </c>
      <c r="H518" s="8">
        <v>1</v>
      </c>
      <c r="I518" s="8" t="str">
        <f t="shared" si="26"/>
        <v>mist/cloudy</v>
      </c>
      <c r="J518" s="8">
        <v>0.16</v>
      </c>
      <c r="K518" s="8">
        <v>0.13639999999999999</v>
      </c>
      <c r="L518" s="8">
        <v>0.28000000000000003</v>
      </c>
      <c r="M518" s="8">
        <v>0.35820000000000002</v>
      </c>
      <c r="N518" s="8">
        <v>13</v>
      </c>
      <c r="O518" s="8">
        <v>64</v>
      </c>
      <c r="P518" s="9">
        <v>77</v>
      </c>
    </row>
    <row r="519" spans="1:16" x14ac:dyDescent="0.25">
      <c r="A519" s="10">
        <v>518</v>
      </c>
      <c r="B519" s="11">
        <v>40566</v>
      </c>
      <c r="C519" s="12">
        <v>16</v>
      </c>
      <c r="D519" s="12" t="b">
        <v>0</v>
      </c>
      <c r="E519" s="12" t="str">
        <f t="shared" si="24"/>
        <v>Working Day</v>
      </c>
      <c r="F519" s="12">
        <v>0</v>
      </c>
      <c r="G519" s="12" t="str">
        <f t="shared" si="25"/>
        <v>Sun</v>
      </c>
      <c r="H519" s="12">
        <v>1</v>
      </c>
      <c r="I519" s="12" t="str">
        <f t="shared" si="26"/>
        <v>mist/cloudy</v>
      </c>
      <c r="J519" s="12">
        <v>0.16</v>
      </c>
      <c r="K519" s="12">
        <v>0.13639999999999999</v>
      </c>
      <c r="L519" s="12">
        <v>0.26</v>
      </c>
      <c r="M519" s="12">
        <v>0.32840000000000003</v>
      </c>
      <c r="N519" s="12">
        <v>9</v>
      </c>
      <c r="O519" s="12">
        <v>56</v>
      </c>
      <c r="P519" s="13">
        <v>65</v>
      </c>
    </row>
    <row r="520" spans="1:16" x14ac:dyDescent="0.25">
      <c r="A520" s="6">
        <v>519</v>
      </c>
      <c r="B520" s="7">
        <v>40566</v>
      </c>
      <c r="C520" s="8">
        <v>17</v>
      </c>
      <c r="D520" s="8" t="b">
        <v>0</v>
      </c>
      <c r="E520" s="8" t="str">
        <f t="shared" si="24"/>
        <v>Working Day</v>
      </c>
      <c r="F520" s="8">
        <v>0</v>
      </c>
      <c r="G520" s="8" t="str">
        <f t="shared" si="25"/>
        <v>Sun</v>
      </c>
      <c r="H520" s="8">
        <v>1</v>
      </c>
      <c r="I520" s="8" t="str">
        <f t="shared" si="26"/>
        <v>mist/cloudy</v>
      </c>
      <c r="J520" s="8">
        <v>0.14000000000000001</v>
      </c>
      <c r="K520" s="8">
        <v>0.1061</v>
      </c>
      <c r="L520" s="8">
        <v>0.26</v>
      </c>
      <c r="M520" s="8">
        <v>0.3881</v>
      </c>
      <c r="N520" s="8">
        <v>5</v>
      </c>
      <c r="O520" s="8">
        <v>50</v>
      </c>
      <c r="P520" s="9">
        <v>55</v>
      </c>
    </row>
    <row r="521" spans="1:16" x14ac:dyDescent="0.25">
      <c r="A521" s="10">
        <v>520</v>
      </c>
      <c r="B521" s="11">
        <v>40566</v>
      </c>
      <c r="C521" s="12">
        <v>18</v>
      </c>
      <c r="D521" s="12" t="b">
        <v>0</v>
      </c>
      <c r="E521" s="12" t="str">
        <f t="shared" si="24"/>
        <v>Working Day</v>
      </c>
      <c r="F521" s="12">
        <v>0</v>
      </c>
      <c r="G521" s="12" t="str">
        <f t="shared" si="25"/>
        <v>Sun</v>
      </c>
      <c r="H521" s="12">
        <v>1</v>
      </c>
      <c r="I521" s="12" t="str">
        <f t="shared" si="26"/>
        <v>mist/cloudy</v>
      </c>
      <c r="J521" s="12">
        <v>0.12</v>
      </c>
      <c r="K521" s="12">
        <v>0.1212</v>
      </c>
      <c r="L521" s="12">
        <v>0.3</v>
      </c>
      <c r="M521" s="12">
        <v>0.25369999999999998</v>
      </c>
      <c r="N521" s="12">
        <v>5</v>
      </c>
      <c r="O521" s="12">
        <v>44</v>
      </c>
      <c r="P521" s="13">
        <v>49</v>
      </c>
    </row>
    <row r="522" spans="1:16" x14ac:dyDescent="0.25">
      <c r="A522" s="6">
        <v>521</v>
      </c>
      <c r="B522" s="7">
        <v>40566</v>
      </c>
      <c r="C522" s="8">
        <v>19</v>
      </c>
      <c r="D522" s="8" t="b">
        <v>0</v>
      </c>
      <c r="E522" s="8" t="str">
        <f t="shared" si="24"/>
        <v>Working Day</v>
      </c>
      <c r="F522" s="8">
        <v>0</v>
      </c>
      <c r="G522" s="8" t="str">
        <f t="shared" si="25"/>
        <v>Sun</v>
      </c>
      <c r="H522" s="8">
        <v>1</v>
      </c>
      <c r="I522" s="8" t="str">
        <f t="shared" si="26"/>
        <v>mist/cloudy</v>
      </c>
      <c r="J522" s="8">
        <v>0.12</v>
      </c>
      <c r="K522" s="8">
        <v>0.1212</v>
      </c>
      <c r="L522" s="8">
        <v>0.3</v>
      </c>
      <c r="M522" s="8">
        <v>0.28360000000000002</v>
      </c>
      <c r="N522" s="8">
        <v>5</v>
      </c>
      <c r="O522" s="8">
        <v>45</v>
      </c>
      <c r="P522" s="9">
        <v>50</v>
      </c>
    </row>
    <row r="523" spans="1:16" x14ac:dyDescent="0.25">
      <c r="A523" s="10">
        <v>522</v>
      </c>
      <c r="B523" s="11">
        <v>40566</v>
      </c>
      <c r="C523" s="12">
        <v>20</v>
      </c>
      <c r="D523" s="12" t="b">
        <v>0</v>
      </c>
      <c r="E523" s="12" t="str">
        <f t="shared" si="24"/>
        <v>Working Day</v>
      </c>
      <c r="F523" s="12">
        <v>0</v>
      </c>
      <c r="G523" s="12" t="str">
        <f t="shared" si="25"/>
        <v>Sun</v>
      </c>
      <c r="H523" s="12">
        <v>1</v>
      </c>
      <c r="I523" s="12" t="str">
        <f t="shared" si="26"/>
        <v>mist/cloudy</v>
      </c>
      <c r="J523" s="12">
        <v>0.1</v>
      </c>
      <c r="K523" s="12">
        <v>0.1061</v>
      </c>
      <c r="L523" s="12">
        <v>0.36</v>
      </c>
      <c r="M523" s="12">
        <v>0.25369999999999998</v>
      </c>
      <c r="N523" s="12">
        <v>4</v>
      </c>
      <c r="O523" s="12">
        <v>31</v>
      </c>
      <c r="P523" s="13">
        <v>35</v>
      </c>
    </row>
    <row r="524" spans="1:16" x14ac:dyDescent="0.25">
      <c r="A524" s="6">
        <v>523</v>
      </c>
      <c r="B524" s="7">
        <v>40566</v>
      </c>
      <c r="C524" s="8">
        <v>21</v>
      </c>
      <c r="D524" s="8" t="b">
        <v>0</v>
      </c>
      <c r="E524" s="8" t="str">
        <f t="shared" si="24"/>
        <v>Working Day</v>
      </c>
      <c r="F524" s="8">
        <v>0</v>
      </c>
      <c r="G524" s="8" t="str">
        <f t="shared" si="25"/>
        <v>Sun</v>
      </c>
      <c r="H524" s="8">
        <v>1</v>
      </c>
      <c r="I524" s="8" t="str">
        <f t="shared" si="26"/>
        <v>mist/cloudy</v>
      </c>
      <c r="J524" s="8">
        <v>0.1</v>
      </c>
      <c r="K524" s="8">
        <v>0.1061</v>
      </c>
      <c r="L524" s="8">
        <v>0.36</v>
      </c>
      <c r="M524" s="8">
        <v>0.19400000000000001</v>
      </c>
      <c r="N524" s="8">
        <v>5</v>
      </c>
      <c r="O524" s="8">
        <v>20</v>
      </c>
      <c r="P524" s="9">
        <v>25</v>
      </c>
    </row>
    <row r="525" spans="1:16" x14ac:dyDescent="0.25">
      <c r="A525" s="10">
        <v>524</v>
      </c>
      <c r="B525" s="11">
        <v>40566</v>
      </c>
      <c r="C525" s="12">
        <v>22</v>
      </c>
      <c r="D525" s="12" t="b">
        <v>0</v>
      </c>
      <c r="E525" s="12" t="str">
        <f t="shared" si="24"/>
        <v>Working Day</v>
      </c>
      <c r="F525" s="12">
        <v>0</v>
      </c>
      <c r="G525" s="12" t="str">
        <f t="shared" si="25"/>
        <v>Sun</v>
      </c>
      <c r="H525" s="12">
        <v>1</v>
      </c>
      <c r="I525" s="12" t="str">
        <f t="shared" si="26"/>
        <v>mist/cloudy</v>
      </c>
      <c r="J525" s="12">
        <v>0.08</v>
      </c>
      <c r="K525" s="12">
        <v>9.0899999999999995E-2</v>
      </c>
      <c r="L525" s="12">
        <v>0.38</v>
      </c>
      <c r="M525" s="12">
        <v>0.19400000000000001</v>
      </c>
      <c r="N525" s="12">
        <v>5</v>
      </c>
      <c r="O525" s="12">
        <v>23</v>
      </c>
      <c r="P525" s="13">
        <v>28</v>
      </c>
    </row>
    <row r="526" spans="1:16" x14ac:dyDescent="0.25">
      <c r="A526" s="6">
        <v>525</v>
      </c>
      <c r="B526" s="7">
        <v>40566</v>
      </c>
      <c r="C526" s="8">
        <v>23</v>
      </c>
      <c r="D526" s="8" t="b">
        <v>0</v>
      </c>
      <c r="E526" s="8" t="str">
        <f t="shared" si="24"/>
        <v>Working Day</v>
      </c>
      <c r="F526" s="8">
        <v>0</v>
      </c>
      <c r="G526" s="8" t="str">
        <f t="shared" si="25"/>
        <v>Sun</v>
      </c>
      <c r="H526" s="8">
        <v>1</v>
      </c>
      <c r="I526" s="8" t="str">
        <f t="shared" si="26"/>
        <v>mist/cloudy</v>
      </c>
      <c r="J526" s="8">
        <v>0.06</v>
      </c>
      <c r="K526" s="8">
        <v>6.0600000000000001E-2</v>
      </c>
      <c r="L526" s="8">
        <v>0.41</v>
      </c>
      <c r="M526" s="8">
        <v>0.22389999999999999</v>
      </c>
      <c r="N526" s="8">
        <v>4</v>
      </c>
      <c r="O526" s="8">
        <v>17</v>
      </c>
      <c r="P526" s="9">
        <v>21</v>
      </c>
    </row>
    <row r="527" spans="1:16" x14ac:dyDescent="0.25">
      <c r="A527" s="10">
        <v>526</v>
      </c>
      <c r="B527" s="11">
        <v>40567</v>
      </c>
      <c r="C527" s="12">
        <v>0</v>
      </c>
      <c r="D527" s="12" t="b">
        <v>0</v>
      </c>
      <c r="E527" s="12" t="str">
        <f t="shared" si="24"/>
        <v>Working Day</v>
      </c>
      <c r="F527" s="12">
        <v>1</v>
      </c>
      <c r="G527" s="12" t="str">
        <f t="shared" si="25"/>
        <v>Mon</v>
      </c>
      <c r="H527" s="12">
        <v>1</v>
      </c>
      <c r="I527" s="12" t="str">
        <f t="shared" si="26"/>
        <v>mist/cloudy</v>
      </c>
      <c r="J527" s="12">
        <v>0.06</v>
      </c>
      <c r="K527" s="12">
        <v>6.0600000000000001E-2</v>
      </c>
      <c r="L527" s="12">
        <v>0.41</v>
      </c>
      <c r="M527" s="12">
        <v>0.19400000000000001</v>
      </c>
      <c r="N527" s="12">
        <v>0</v>
      </c>
      <c r="O527" s="12">
        <v>7</v>
      </c>
      <c r="P527" s="13">
        <v>7</v>
      </c>
    </row>
    <row r="528" spans="1:16" x14ac:dyDescent="0.25">
      <c r="A528" s="6">
        <v>527</v>
      </c>
      <c r="B528" s="7">
        <v>40567</v>
      </c>
      <c r="C528" s="8">
        <v>1</v>
      </c>
      <c r="D528" s="8" t="b">
        <v>0</v>
      </c>
      <c r="E528" s="8" t="str">
        <f t="shared" si="24"/>
        <v>Working Day</v>
      </c>
      <c r="F528" s="8">
        <v>1</v>
      </c>
      <c r="G528" s="8" t="str">
        <f t="shared" si="25"/>
        <v>Mon</v>
      </c>
      <c r="H528" s="8">
        <v>1</v>
      </c>
      <c r="I528" s="8" t="str">
        <f t="shared" si="26"/>
        <v>mist/cloudy</v>
      </c>
      <c r="J528" s="8">
        <v>0.04</v>
      </c>
      <c r="K528" s="8">
        <v>4.5499999999999999E-2</v>
      </c>
      <c r="L528" s="8">
        <v>0.45</v>
      </c>
      <c r="M528" s="8">
        <v>0.19400000000000001</v>
      </c>
      <c r="N528" s="8">
        <v>0</v>
      </c>
      <c r="O528" s="8">
        <v>1</v>
      </c>
      <c r="P528" s="9">
        <v>1</v>
      </c>
    </row>
    <row r="529" spans="1:16" x14ac:dyDescent="0.25">
      <c r="A529" s="10">
        <v>528</v>
      </c>
      <c r="B529" s="11">
        <v>40567</v>
      </c>
      <c r="C529" s="12">
        <v>3</v>
      </c>
      <c r="D529" s="12" t="b">
        <v>0</v>
      </c>
      <c r="E529" s="12" t="str">
        <f t="shared" si="24"/>
        <v>Working Day</v>
      </c>
      <c r="F529" s="12">
        <v>1</v>
      </c>
      <c r="G529" s="12" t="str">
        <f t="shared" si="25"/>
        <v>Mon</v>
      </c>
      <c r="H529" s="12">
        <v>1</v>
      </c>
      <c r="I529" s="12" t="str">
        <f t="shared" si="26"/>
        <v>mist/cloudy</v>
      </c>
      <c r="J529" s="12">
        <v>0.04</v>
      </c>
      <c r="K529" s="12">
        <v>3.0300000000000001E-2</v>
      </c>
      <c r="L529" s="12">
        <v>0.45</v>
      </c>
      <c r="M529" s="12">
        <v>0.25369999999999998</v>
      </c>
      <c r="N529" s="12">
        <v>0</v>
      </c>
      <c r="O529" s="12">
        <v>1</v>
      </c>
      <c r="P529" s="13">
        <v>1</v>
      </c>
    </row>
    <row r="530" spans="1:16" x14ac:dyDescent="0.25">
      <c r="A530" s="6">
        <v>529</v>
      </c>
      <c r="B530" s="7">
        <v>40567</v>
      </c>
      <c r="C530" s="8">
        <v>4</v>
      </c>
      <c r="D530" s="8" t="b">
        <v>0</v>
      </c>
      <c r="E530" s="8" t="str">
        <f t="shared" si="24"/>
        <v>Working Day</v>
      </c>
      <c r="F530" s="8">
        <v>1</v>
      </c>
      <c r="G530" s="8" t="str">
        <f t="shared" si="25"/>
        <v>Mon</v>
      </c>
      <c r="H530" s="8">
        <v>1</v>
      </c>
      <c r="I530" s="8" t="str">
        <f t="shared" si="26"/>
        <v>mist/cloudy</v>
      </c>
      <c r="J530" s="8">
        <v>0.02</v>
      </c>
      <c r="K530" s="8">
        <v>6.0600000000000001E-2</v>
      </c>
      <c r="L530" s="8">
        <v>0.48</v>
      </c>
      <c r="M530" s="8">
        <v>0.1343</v>
      </c>
      <c r="N530" s="8">
        <v>0</v>
      </c>
      <c r="O530" s="8">
        <v>1</v>
      </c>
      <c r="P530" s="9">
        <v>1</v>
      </c>
    </row>
    <row r="531" spans="1:16" x14ac:dyDescent="0.25">
      <c r="A531" s="10">
        <v>530</v>
      </c>
      <c r="B531" s="11">
        <v>40567</v>
      </c>
      <c r="C531" s="12">
        <v>5</v>
      </c>
      <c r="D531" s="12" t="b">
        <v>0</v>
      </c>
      <c r="E531" s="12" t="str">
        <f t="shared" si="24"/>
        <v>Working Day</v>
      </c>
      <c r="F531" s="12">
        <v>1</v>
      </c>
      <c r="G531" s="12" t="str">
        <f t="shared" si="25"/>
        <v>Mon</v>
      </c>
      <c r="H531" s="12">
        <v>1</v>
      </c>
      <c r="I531" s="12" t="str">
        <f t="shared" si="26"/>
        <v>mist/cloudy</v>
      </c>
      <c r="J531" s="12">
        <v>0.02</v>
      </c>
      <c r="K531" s="12">
        <v>6.0600000000000001E-2</v>
      </c>
      <c r="L531" s="12">
        <v>0.48</v>
      </c>
      <c r="M531" s="12">
        <v>0.1343</v>
      </c>
      <c r="N531" s="12">
        <v>0</v>
      </c>
      <c r="O531" s="12">
        <v>5</v>
      </c>
      <c r="P531" s="13">
        <v>5</v>
      </c>
    </row>
    <row r="532" spans="1:16" x14ac:dyDescent="0.25">
      <c r="A532" s="6">
        <v>531</v>
      </c>
      <c r="B532" s="7">
        <v>40567</v>
      </c>
      <c r="C532" s="8">
        <v>6</v>
      </c>
      <c r="D532" s="8" t="b">
        <v>0</v>
      </c>
      <c r="E532" s="8" t="str">
        <f t="shared" si="24"/>
        <v>Working Day</v>
      </c>
      <c r="F532" s="8">
        <v>1</v>
      </c>
      <c r="G532" s="8" t="str">
        <f t="shared" si="25"/>
        <v>Mon</v>
      </c>
      <c r="H532" s="8">
        <v>1</v>
      </c>
      <c r="I532" s="8" t="str">
        <f t="shared" si="26"/>
        <v>mist/cloudy</v>
      </c>
      <c r="J532" s="8">
        <v>0.02</v>
      </c>
      <c r="K532" s="8">
        <v>7.5800000000000006E-2</v>
      </c>
      <c r="L532" s="8">
        <v>0.48</v>
      </c>
      <c r="M532" s="8">
        <v>8.9599999999999999E-2</v>
      </c>
      <c r="N532" s="8">
        <v>0</v>
      </c>
      <c r="O532" s="8">
        <v>15</v>
      </c>
      <c r="P532" s="9">
        <v>15</v>
      </c>
    </row>
    <row r="533" spans="1:16" x14ac:dyDescent="0.25">
      <c r="A533" s="10">
        <v>532</v>
      </c>
      <c r="B533" s="11">
        <v>40567</v>
      </c>
      <c r="C533" s="12">
        <v>7</v>
      </c>
      <c r="D533" s="12" t="b">
        <v>0</v>
      </c>
      <c r="E533" s="12" t="str">
        <f t="shared" si="24"/>
        <v>Working Day</v>
      </c>
      <c r="F533" s="12">
        <v>1</v>
      </c>
      <c r="G533" s="12" t="str">
        <f t="shared" si="25"/>
        <v>Mon</v>
      </c>
      <c r="H533" s="12">
        <v>1</v>
      </c>
      <c r="I533" s="12" t="str">
        <f t="shared" si="26"/>
        <v>mist/cloudy</v>
      </c>
      <c r="J533" s="12">
        <v>0.02</v>
      </c>
      <c r="K533" s="12">
        <v>0.1212</v>
      </c>
      <c r="L533" s="12">
        <v>0.48</v>
      </c>
      <c r="M533" s="12">
        <v>0</v>
      </c>
      <c r="N533" s="12">
        <v>5</v>
      </c>
      <c r="O533" s="12">
        <v>79</v>
      </c>
      <c r="P533" s="13">
        <v>84</v>
      </c>
    </row>
    <row r="534" spans="1:16" x14ac:dyDescent="0.25">
      <c r="A534" s="6">
        <v>533</v>
      </c>
      <c r="B534" s="7">
        <v>40567</v>
      </c>
      <c r="C534" s="8">
        <v>8</v>
      </c>
      <c r="D534" s="8" t="b">
        <v>0</v>
      </c>
      <c r="E534" s="8" t="str">
        <f t="shared" si="24"/>
        <v>Working Day</v>
      </c>
      <c r="F534" s="8">
        <v>1</v>
      </c>
      <c r="G534" s="8" t="str">
        <f t="shared" si="25"/>
        <v>Mon</v>
      </c>
      <c r="H534" s="8">
        <v>1</v>
      </c>
      <c r="I534" s="8" t="str">
        <f t="shared" si="26"/>
        <v>mist/cloudy</v>
      </c>
      <c r="J534" s="8">
        <v>0.04</v>
      </c>
      <c r="K534" s="8">
        <v>0.13639999999999999</v>
      </c>
      <c r="L534" s="8">
        <v>0.49</v>
      </c>
      <c r="M534" s="8">
        <v>0</v>
      </c>
      <c r="N534" s="8">
        <v>6</v>
      </c>
      <c r="O534" s="8">
        <v>171</v>
      </c>
      <c r="P534" s="9">
        <v>177</v>
      </c>
    </row>
    <row r="535" spans="1:16" x14ac:dyDescent="0.25">
      <c r="A535" s="10">
        <v>534</v>
      </c>
      <c r="B535" s="11">
        <v>40567</v>
      </c>
      <c r="C535" s="12">
        <v>9</v>
      </c>
      <c r="D535" s="12" t="b">
        <v>0</v>
      </c>
      <c r="E535" s="12" t="str">
        <f t="shared" si="24"/>
        <v>Working Day</v>
      </c>
      <c r="F535" s="12">
        <v>1</v>
      </c>
      <c r="G535" s="12" t="str">
        <f t="shared" si="25"/>
        <v>Mon</v>
      </c>
      <c r="H535" s="12">
        <v>1</v>
      </c>
      <c r="I535" s="12" t="str">
        <f t="shared" si="26"/>
        <v>mist/cloudy</v>
      </c>
      <c r="J535" s="12">
        <v>0.06</v>
      </c>
      <c r="K535" s="12">
        <v>0.1515</v>
      </c>
      <c r="L535" s="12">
        <v>0.41</v>
      </c>
      <c r="M535" s="12">
        <v>0</v>
      </c>
      <c r="N535" s="12">
        <v>4</v>
      </c>
      <c r="O535" s="12">
        <v>98</v>
      </c>
      <c r="P535" s="13">
        <v>102</v>
      </c>
    </row>
    <row r="536" spans="1:16" x14ac:dyDescent="0.25">
      <c r="A536" s="6">
        <v>535</v>
      </c>
      <c r="B536" s="7">
        <v>40567</v>
      </c>
      <c r="C536" s="8">
        <v>10</v>
      </c>
      <c r="D536" s="8" t="b">
        <v>0</v>
      </c>
      <c r="E536" s="8" t="str">
        <f t="shared" si="24"/>
        <v>Working Day</v>
      </c>
      <c r="F536" s="8">
        <v>1</v>
      </c>
      <c r="G536" s="8" t="str">
        <f t="shared" si="25"/>
        <v>Mon</v>
      </c>
      <c r="H536" s="8">
        <v>1</v>
      </c>
      <c r="I536" s="8" t="str">
        <f t="shared" si="26"/>
        <v>mist/cloudy</v>
      </c>
      <c r="J536" s="8">
        <v>0.1</v>
      </c>
      <c r="K536" s="8">
        <v>0.13639999999999999</v>
      </c>
      <c r="L536" s="8">
        <v>0.42</v>
      </c>
      <c r="M536" s="8">
        <v>0</v>
      </c>
      <c r="N536" s="8">
        <v>6</v>
      </c>
      <c r="O536" s="8">
        <v>34</v>
      </c>
      <c r="P536" s="9">
        <v>40</v>
      </c>
    </row>
    <row r="537" spans="1:16" x14ac:dyDescent="0.25">
      <c r="A537" s="10">
        <v>536</v>
      </c>
      <c r="B537" s="11">
        <v>40567</v>
      </c>
      <c r="C537" s="12">
        <v>11</v>
      </c>
      <c r="D537" s="12" t="b">
        <v>0</v>
      </c>
      <c r="E537" s="12" t="str">
        <f t="shared" si="24"/>
        <v>Working Day</v>
      </c>
      <c r="F537" s="12">
        <v>1</v>
      </c>
      <c r="G537" s="12" t="str">
        <f t="shared" si="25"/>
        <v>Mon</v>
      </c>
      <c r="H537" s="12">
        <v>1</v>
      </c>
      <c r="I537" s="12" t="str">
        <f t="shared" si="26"/>
        <v>mist/cloudy</v>
      </c>
      <c r="J537" s="12">
        <v>0.1</v>
      </c>
      <c r="K537" s="12">
        <v>0.1212</v>
      </c>
      <c r="L537" s="12">
        <v>0.46</v>
      </c>
      <c r="M537" s="12">
        <v>0.1343</v>
      </c>
      <c r="N537" s="12">
        <v>3</v>
      </c>
      <c r="O537" s="12">
        <v>43</v>
      </c>
      <c r="P537" s="13">
        <v>46</v>
      </c>
    </row>
    <row r="538" spans="1:16" x14ac:dyDescent="0.25">
      <c r="A538" s="6">
        <v>537</v>
      </c>
      <c r="B538" s="7">
        <v>40567</v>
      </c>
      <c r="C538" s="8">
        <v>12</v>
      </c>
      <c r="D538" s="8" t="b">
        <v>0</v>
      </c>
      <c r="E538" s="8" t="str">
        <f t="shared" si="24"/>
        <v>Working Day</v>
      </c>
      <c r="F538" s="8">
        <v>1</v>
      </c>
      <c r="G538" s="8" t="str">
        <f t="shared" si="25"/>
        <v>Mon</v>
      </c>
      <c r="H538" s="8">
        <v>2</v>
      </c>
      <c r="I538" s="8" t="str">
        <f t="shared" si="26"/>
        <v>light rain</v>
      </c>
      <c r="J538" s="8">
        <v>0.12</v>
      </c>
      <c r="K538" s="8">
        <v>0.13639999999999999</v>
      </c>
      <c r="L538" s="8">
        <v>0.42</v>
      </c>
      <c r="M538" s="8">
        <v>0.19400000000000001</v>
      </c>
      <c r="N538" s="8">
        <v>11</v>
      </c>
      <c r="O538" s="8">
        <v>52</v>
      </c>
      <c r="P538" s="9">
        <v>63</v>
      </c>
    </row>
    <row r="539" spans="1:16" x14ac:dyDescent="0.25">
      <c r="A539" s="10">
        <v>538</v>
      </c>
      <c r="B539" s="11">
        <v>40567</v>
      </c>
      <c r="C539" s="12">
        <v>13</v>
      </c>
      <c r="D539" s="12" t="b">
        <v>0</v>
      </c>
      <c r="E539" s="12" t="str">
        <f t="shared" si="24"/>
        <v>Working Day</v>
      </c>
      <c r="F539" s="12">
        <v>1</v>
      </c>
      <c r="G539" s="12" t="str">
        <f t="shared" si="25"/>
        <v>Mon</v>
      </c>
      <c r="H539" s="12">
        <v>2</v>
      </c>
      <c r="I539" s="12" t="str">
        <f t="shared" si="26"/>
        <v>light rain</v>
      </c>
      <c r="J539" s="12">
        <v>0.14000000000000001</v>
      </c>
      <c r="K539" s="12">
        <v>0.13639999999999999</v>
      </c>
      <c r="L539" s="12">
        <v>0.43</v>
      </c>
      <c r="M539" s="12">
        <v>0.22389999999999999</v>
      </c>
      <c r="N539" s="12">
        <v>6</v>
      </c>
      <c r="O539" s="12">
        <v>54</v>
      </c>
      <c r="P539" s="13">
        <v>60</v>
      </c>
    </row>
    <row r="540" spans="1:16" x14ac:dyDescent="0.25">
      <c r="A540" s="6">
        <v>539</v>
      </c>
      <c r="B540" s="7">
        <v>40567</v>
      </c>
      <c r="C540" s="8">
        <v>14</v>
      </c>
      <c r="D540" s="8" t="b">
        <v>0</v>
      </c>
      <c r="E540" s="8" t="str">
        <f t="shared" si="24"/>
        <v>Working Day</v>
      </c>
      <c r="F540" s="8">
        <v>1</v>
      </c>
      <c r="G540" s="8" t="str">
        <f t="shared" si="25"/>
        <v>Mon</v>
      </c>
      <c r="H540" s="8">
        <v>2</v>
      </c>
      <c r="I540" s="8" t="str">
        <f t="shared" si="26"/>
        <v>light rain</v>
      </c>
      <c r="J540" s="8">
        <v>0.14000000000000001</v>
      </c>
      <c r="K540" s="8">
        <v>0.13639999999999999</v>
      </c>
      <c r="L540" s="8">
        <v>0.46</v>
      </c>
      <c r="M540" s="8">
        <v>0.22389999999999999</v>
      </c>
      <c r="N540" s="8">
        <v>2</v>
      </c>
      <c r="O540" s="8">
        <v>43</v>
      </c>
      <c r="P540" s="9">
        <v>45</v>
      </c>
    </row>
    <row r="541" spans="1:16" x14ac:dyDescent="0.25">
      <c r="A541" s="10">
        <v>540</v>
      </c>
      <c r="B541" s="11">
        <v>40567</v>
      </c>
      <c r="C541" s="12">
        <v>15</v>
      </c>
      <c r="D541" s="12" t="b">
        <v>0</v>
      </c>
      <c r="E541" s="12" t="str">
        <f t="shared" si="24"/>
        <v>Working Day</v>
      </c>
      <c r="F541" s="12">
        <v>1</v>
      </c>
      <c r="G541" s="12" t="str">
        <f t="shared" si="25"/>
        <v>Mon</v>
      </c>
      <c r="H541" s="12">
        <v>1</v>
      </c>
      <c r="I541" s="12" t="str">
        <f t="shared" si="26"/>
        <v>mist/cloudy</v>
      </c>
      <c r="J541" s="12">
        <v>0.16</v>
      </c>
      <c r="K541" s="12">
        <v>0.16669999999999999</v>
      </c>
      <c r="L541" s="12">
        <v>0.4</v>
      </c>
      <c r="M541" s="12">
        <v>0.16420000000000001</v>
      </c>
      <c r="N541" s="12">
        <v>7</v>
      </c>
      <c r="O541" s="12">
        <v>50</v>
      </c>
      <c r="P541" s="13">
        <v>57</v>
      </c>
    </row>
    <row r="542" spans="1:16" x14ac:dyDescent="0.25">
      <c r="A542" s="6">
        <v>541</v>
      </c>
      <c r="B542" s="7">
        <v>40567</v>
      </c>
      <c r="C542" s="8">
        <v>16</v>
      </c>
      <c r="D542" s="8" t="b">
        <v>0</v>
      </c>
      <c r="E542" s="8" t="str">
        <f t="shared" si="24"/>
        <v>Working Day</v>
      </c>
      <c r="F542" s="8">
        <v>1</v>
      </c>
      <c r="G542" s="8" t="str">
        <f t="shared" si="25"/>
        <v>Mon</v>
      </c>
      <c r="H542" s="8">
        <v>1</v>
      </c>
      <c r="I542" s="8" t="str">
        <f t="shared" si="26"/>
        <v>mist/cloudy</v>
      </c>
      <c r="J542" s="8">
        <v>0.16</v>
      </c>
      <c r="K542" s="8">
        <v>0.1515</v>
      </c>
      <c r="L542" s="8">
        <v>0.47</v>
      </c>
      <c r="M542" s="8">
        <v>0.25369999999999998</v>
      </c>
      <c r="N542" s="8">
        <v>4</v>
      </c>
      <c r="O542" s="8">
        <v>66</v>
      </c>
      <c r="P542" s="9">
        <v>70</v>
      </c>
    </row>
    <row r="543" spans="1:16" x14ac:dyDescent="0.25">
      <c r="A543" s="10">
        <v>542</v>
      </c>
      <c r="B543" s="11">
        <v>40567</v>
      </c>
      <c r="C543" s="12">
        <v>17</v>
      </c>
      <c r="D543" s="12" t="b">
        <v>0</v>
      </c>
      <c r="E543" s="12" t="str">
        <f t="shared" si="24"/>
        <v>Working Day</v>
      </c>
      <c r="F543" s="12">
        <v>1</v>
      </c>
      <c r="G543" s="12" t="str">
        <f t="shared" si="25"/>
        <v>Mon</v>
      </c>
      <c r="H543" s="12">
        <v>1</v>
      </c>
      <c r="I543" s="12" t="str">
        <f t="shared" si="26"/>
        <v>mist/cloudy</v>
      </c>
      <c r="J543" s="12">
        <v>0.14000000000000001</v>
      </c>
      <c r="K543" s="12">
        <v>0.1212</v>
      </c>
      <c r="L543" s="12">
        <v>0.5</v>
      </c>
      <c r="M543" s="12">
        <v>0.25369999999999998</v>
      </c>
      <c r="N543" s="12">
        <v>6</v>
      </c>
      <c r="O543" s="12">
        <v>178</v>
      </c>
      <c r="P543" s="13">
        <v>184</v>
      </c>
    </row>
    <row r="544" spans="1:16" x14ac:dyDescent="0.25">
      <c r="A544" s="6">
        <v>543</v>
      </c>
      <c r="B544" s="7">
        <v>40567</v>
      </c>
      <c r="C544" s="8">
        <v>18</v>
      </c>
      <c r="D544" s="8" t="b">
        <v>0</v>
      </c>
      <c r="E544" s="8" t="str">
        <f t="shared" si="24"/>
        <v>Working Day</v>
      </c>
      <c r="F544" s="8">
        <v>1</v>
      </c>
      <c r="G544" s="8" t="str">
        <f t="shared" si="25"/>
        <v>Mon</v>
      </c>
      <c r="H544" s="8">
        <v>1</v>
      </c>
      <c r="I544" s="8" t="str">
        <f t="shared" si="26"/>
        <v>mist/cloudy</v>
      </c>
      <c r="J544" s="8">
        <v>0.14000000000000001</v>
      </c>
      <c r="K544" s="8">
        <v>0.13639999999999999</v>
      </c>
      <c r="L544" s="8">
        <v>0.59</v>
      </c>
      <c r="M544" s="8">
        <v>0.19400000000000001</v>
      </c>
      <c r="N544" s="8">
        <v>8</v>
      </c>
      <c r="O544" s="8">
        <v>145</v>
      </c>
      <c r="P544" s="9">
        <v>153</v>
      </c>
    </row>
    <row r="545" spans="1:16" x14ac:dyDescent="0.25">
      <c r="A545" s="10">
        <v>544</v>
      </c>
      <c r="B545" s="11">
        <v>40567</v>
      </c>
      <c r="C545" s="12">
        <v>19</v>
      </c>
      <c r="D545" s="12" t="b">
        <v>0</v>
      </c>
      <c r="E545" s="12" t="str">
        <f t="shared" si="24"/>
        <v>Working Day</v>
      </c>
      <c r="F545" s="12">
        <v>1</v>
      </c>
      <c r="G545" s="12" t="str">
        <f t="shared" si="25"/>
        <v>Mon</v>
      </c>
      <c r="H545" s="12">
        <v>1</v>
      </c>
      <c r="I545" s="12" t="str">
        <f t="shared" si="26"/>
        <v>mist/cloudy</v>
      </c>
      <c r="J545" s="12">
        <v>0.14000000000000001</v>
      </c>
      <c r="K545" s="12">
        <v>0.1515</v>
      </c>
      <c r="L545" s="12">
        <v>0.54</v>
      </c>
      <c r="M545" s="12">
        <v>0.16420000000000001</v>
      </c>
      <c r="N545" s="12">
        <v>5</v>
      </c>
      <c r="O545" s="12">
        <v>101</v>
      </c>
      <c r="P545" s="13">
        <v>106</v>
      </c>
    </row>
    <row r="546" spans="1:16" x14ac:dyDescent="0.25">
      <c r="A546" s="6">
        <v>545</v>
      </c>
      <c r="B546" s="7">
        <v>40567</v>
      </c>
      <c r="C546" s="8">
        <v>20</v>
      </c>
      <c r="D546" s="8" t="b">
        <v>0</v>
      </c>
      <c r="E546" s="8" t="str">
        <f t="shared" si="24"/>
        <v>Working Day</v>
      </c>
      <c r="F546" s="8">
        <v>1</v>
      </c>
      <c r="G546" s="8" t="str">
        <f t="shared" si="25"/>
        <v>Mon</v>
      </c>
      <c r="H546" s="8">
        <v>1</v>
      </c>
      <c r="I546" s="8" t="str">
        <f t="shared" si="26"/>
        <v>mist/cloudy</v>
      </c>
      <c r="J546" s="8">
        <v>0.14000000000000001</v>
      </c>
      <c r="K546" s="8">
        <v>0.13639999999999999</v>
      </c>
      <c r="L546" s="8">
        <v>0.59</v>
      </c>
      <c r="M546" s="8">
        <v>0.19400000000000001</v>
      </c>
      <c r="N546" s="8">
        <v>1</v>
      </c>
      <c r="O546" s="8">
        <v>80</v>
      </c>
      <c r="P546" s="9">
        <v>81</v>
      </c>
    </row>
    <row r="547" spans="1:16" x14ac:dyDescent="0.25">
      <c r="A547" s="10">
        <v>546</v>
      </c>
      <c r="B547" s="11">
        <v>40567</v>
      </c>
      <c r="C547" s="12">
        <v>21</v>
      </c>
      <c r="D547" s="12" t="b">
        <v>0</v>
      </c>
      <c r="E547" s="12" t="str">
        <f t="shared" si="24"/>
        <v>Working Day</v>
      </c>
      <c r="F547" s="12">
        <v>1</v>
      </c>
      <c r="G547" s="12" t="str">
        <f t="shared" si="25"/>
        <v>Mon</v>
      </c>
      <c r="H547" s="12">
        <v>1</v>
      </c>
      <c r="I547" s="12" t="str">
        <f t="shared" si="26"/>
        <v>mist/cloudy</v>
      </c>
      <c r="J547" s="12">
        <v>0.14000000000000001</v>
      </c>
      <c r="K547" s="12">
        <v>0.1515</v>
      </c>
      <c r="L547" s="12">
        <v>0.63</v>
      </c>
      <c r="M547" s="12">
        <v>0.16420000000000001</v>
      </c>
      <c r="N547" s="12">
        <v>6</v>
      </c>
      <c r="O547" s="12">
        <v>53</v>
      </c>
      <c r="P547" s="13">
        <v>59</v>
      </c>
    </row>
    <row r="548" spans="1:16" x14ac:dyDescent="0.25">
      <c r="A548" s="6">
        <v>547</v>
      </c>
      <c r="B548" s="7">
        <v>40567</v>
      </c>
      <c r="C548" s="8">
        <v>22</v>
      </c>
      <c r="D548" s="8" t="b">
        <v>0</v>
      </c>
      <c r="E548" s="8" t="str">
        <f t="shared" si="24"/>
        <v>Working Day</v>
      </c>
      <c r="F548" s="8">
        <v>1</v>
      </c>
      <c r="G548" s="8" t="str">
        <f t="shared" si="25"/>
        <v>Mon</v>
      </c>
      <c r="H548" s="8">
        <v>2</v>
      </c>
      <c r="I548" s="8" t="str">
        <f t="shared" si="26"/>
        <v>light rain</v>
      </c>
      <c r="J548" s="8">
        <v>0.14000000000000001</v>
      </c>
      <c r="K548" s="8">
        <v>0.13639999999999999</v>
      </c>
      <c r="L548" s="8">
        <v>0.63</v>
      </c>
      <c r="M548" s="8">
        <v>0.22389999999999999</v>
      </c>
      <c r="N548" s="8">
        <v>3</v>
      </c>
      <c r="O548" s="8">
        <v>32</v>
      </c>
      <c r="P548" s="9">
        <v>35</v>
      </c>
    </row>
    <row r="549" spans="1:16" x14ac:dyDescent="0.25">
      <c r="A549" s="10">
        <v>548</v>
      </c>
      <c r="B549" s="11">
        <v>40567</v>
      </c>
      <c r="C549" s="12">
        <v>23</v>
      </c>
      <c r="D549" s="12" t="b">
        <v>0</v>
      </c>
      <c r="E549" s="12" t="str">
        <f t="shared" si="24"/>
        <v>Working Day</v>
      </c>
      <c r="F549" s="12">
        <v>1</v>
      </c>
      <c r="G549" s="12" t="str">
        <f t="shared" si="25"/>
        <v>Mon</v>
      </c>
      <c r="H549" s="12">
        <v>2</v>
      </c>
      <c r="I549" s="12" t="str">
        <f t="shared" si="26"/>
        <v>light rain</v>
      </c>
      <c r="J549" s="12">
        <v>0.16</v>
      </c>
      <c r="K549" s="12">
        <v>0.1515</v>
      </c>
      <c r="L549" s="12">
        <v>0.64</v>
      </c>
      <c r="M549" s="12">
        <v>0.25369999999999998</v>
      </c>
      <c r="N549" s="12">
        <v>3</v>
      </c>
      <c r="O549" s="12">
        <v>21</v>
      </c>
      <c r="P549" s="13">
        <v>24</v>
      </c>
    </row>
    <row r="550" spans="1:16" x14ac:dyDescent="0.25">
      <c r="A550" s="6">
        <v>549</v>
      </c>
      <c r="B550" s="7">
        <v>40568</v>
      </c>
      <c r="C550" s="8">
        <v>0</v>
      </c>
      <c r="D550" s="8" t="b">
        <v>0</v>
      </c>
      <c r="E550" s="8" t="str">
        <f t="shared" si="24"/>
        <v>Working Day</v>
      </c>
      <c r="F550" s="8">
        <v>2</v>
      </c>
      <c r="G550" s="8" t="str">
        <f t="shared" si="25"/>
        <v>Tue</v>
      </c>
      <c r="H550" s="8">
        <v>2</v>
      </c>
      <c r="I550" s="8" t="str">
        <f t="shared" si="26"/>
        <v>light rain</v>
      </c>
      <c r="J550" s="8">
        <v>0.16</v>
      </c>
      <c r="K550" s="8">
        <v>0.13639999999999999</v>
      </c>
      <c r="L550" s="8">
        <v>0.69</v>
      </c>
      <c r="M550" s="8">
        <v>0.28360000000000002</v>
      </c>
      <c r="N550" s="8">
        <v>3</v>
      </c>
      <c r="O550" s="8">
        <v>6</v>
      </c>
      <c r="P550" s="9">
        <v>9</v>
      </c>
    </row>
    <row r="551" spans="1:16" x14ac:dyDescent="0.25">
      <c r="A551" s="10">
        <v>550</v>
      </c>
      <c r="B551" s="11">
        <v>40568</v>
      </c>
      <c r="C551" s="12">
        <v>1</v>
      </c>
      <c r="D551" s="12" t="b">
        <v>0</v>
      </c>
      <c r="E551" s="12" t="str">
        <f t="shared" si="24"/>
        <v>Working Day</v>
      </c>
      <c r="F551" s="12">
        <v>2</v>
      </c>
      <c r="G551" s="12" t="str">
        <f t="shared" si="25"/>
        <v>Tue</v>
      </c>
      <c r="H551" s="12">
        <v>2</v>
      </c>
      <c r="I551" s="12" t="str">
        <f t="shared" si="26"/>
        <v>light rain</v>
      </c>
      <c r="J551" s="12">
        <v>0.16</v>
      </c>
      <c r="K551" s="12">
        <v>0.16669999999999999</v>
      </c>
      <c r="L551" s="12">
        <v>0.69</v>
      </c>
      <c r="M551" s="12">
        <v>0.16420000000000001</v>
      </c>
      <c r="N551" s="12">
        <v>0</v>
      </c>
      <c r="O551" s="12">
        <v>5</v>
      </c>
      <c r="P551" s="13">
        <v>5</v>
      </c>
    </row>
    <row r="552" spans="1:16" x14ac:dyDescent="0.25">
      <c r="A552" s="6">
        <v>551</v>
      </c>
      <c r="B552" s="7">
        <v>40568</v>
      </c>
      <c r="C552" s="8">
        <v>2</v>
      </c>
      <c r="D552" s="8" t="b">
        <v>0</v>
      </c>
      <c r="E552" s="8" t="str">
        <f t="shared" si="24"/>
        <v>Working Day</v>
      </c>
      <c r="F552" s="8">
        <v>2</v>
      </c>
      <c r="G552" s="8" t="str">
        <f t="shared" si="25"/>
        <v>Tue</v>
      </c>
      <c r="H552" s="8">
        <v>1</v>
      </c>
      <c r="I552" s="8" t="str">
        <f t="shared" si="26"/>
        <v>mist/cloudy</v>
      </c>
      <c r="J552" s="8">
        <v>0.16</v>
      </c>
      <c r="K552" s="8">
        <v>0.1515</v>
      </c>
      <c r="L552" s="8">
        <v>0.69</v>
      </c>
      <c r="M552" s="8">
        <v>0.22389999999999999</v>
      </c>
      <c r="N552" s="8">
        <v>0</v>
      </c>
      <c r="O552" s="8">
        <v>2</v>
      </c>
      <c r="P552" s="9">
        <v>2</v>
      </c>
    </row>
    <row r="553" spans="1:16" x14ac:dyDescent="0.25">
      <c r="A553" s="10">
        <v>552</v>
      </c>
      <c r="B553" s="11">
        <v>40568</v>
      </c>
      <c r="C553" s="12">
        <v>4</v>
      </c>
      <c r="D553" s="12" t="b">
        <v>0</v>
      </c>
      <c r="E553" s="12" t="str">
        <f t="shared" si="24"/>
        <v>Working Day</v>
      </c>
      <c r="F553" s="12">
        <v>2</v>
      </c>
      <c r="G553" s="12" t="str">
        <f t="shared" si="25"/>
        <v>Tue</v>
      </c>
      <c r="H553" s="12">
        <v>1</v>
      </c>
      <c r="I553" s="12" t="str">
        <f t="shared" si="26"/>
        <v>mist/cloudy</v>
      </c>
      <c r="J553" s="12">
        <v>0.14000000000000001</v>
      </c>
      <c r="K553" s="12">
        <v>0.16669999999999999</v>
      </c>
      <c r="L553" s="12">
        <v>0.74</v>
      </c>
      <c r="M553" s="12">
        <v>0.1045</v>
      </c>
      <c r="N553" s="12">
        <v>0</v>
      </c>
      <c r="O553" s="12">
        <v>1</v>
      </c>
      <c r="P553" s="13">
        <v>1</v>
      </c>
    </row>
    <row r="554" spans="1:16" x14ac:dyDescent="0.25">
      <c r="A554" s="6">
        <v>553</v>
      </c>
      <c r="B554" s="7">
        <v>40568</v>
      </c>
      <c r="C554" s="8">
        <v>5</v>
      </c>
      <c r="D554" s="8" t="b">
        <v>0</v>
      </c>
      <c r="E554" s="8" t="str">
        <f t="shared" si="24"/>
        <v>Working Day</v>
      </c>
      <c r="F554" s="8">
        <v>2</v>
      </c>
      <c r="G554" s="8" t="str">
        <f t="shared" si="25"/>
        <v>Tue</v>
      </c>
      <c r="H554" s="8">
        <v>1</v>
      </c>
      <c r="I554" s="8" t="str">
        <f t="shared" si="26"/>
        <v>mist/cloudy</v>
      </c>
      <c r="J554" s="8">
        <v>0.14000000000000001</v>
      </c>
      <c r="K554" s="8">
        <v>0.13639999999999999</v>
      </c>
      <c r="L554" s="8">
        <v>0.74</v>
      </c>
      <c r="M554" s="8">
        <v>0.22389999999999999</v>
      </c>
      <c r="N554" s="8">
        <v>0</v>
      </c>
      <c r="O554" s="8">
        <v>9</v>
      </c>
      <c r="P554" s="9">
        <v>9</v>
      </c>
    </row>
    <row r="555" spans="1:16" x14ac:dyDescent="0.25">
      <c r="A555" s="10">
        <v>554</v>
      </c>
      <c r="B555" s="11">
        <v>40568</v>
      </c>
      <c r="C555" s="12">
        <v>6</v>
      </c>
      <c r="D555" s="12" t="b">
        <v>0</v>
      </c>
      <c r="E555" s="12" t="str">
        <f t="shared" si="24"/>
        <v>Working Day</v>
      </c>
      <c r="F555" s="12">
        <v>2</v>
      </c>
      <c r="G555" s="12" t="str">
        <f t="shared" si="25"/>
        <v>Tue</v>
      </c>
      <c r="H555" s="12">
        <v>1</v>
      </c>
      <c r="I555" s="12" t="str">
        <f t="shared" si="26"/>
        <v>mist/cloudy</v>
      </c>
      <c r="J555" s="12">
        <v>0.16</v>
      </c>
      <c r="K555" s="12">
        <v>0.18179999999999999</v>
      </c>
      <c r="L555" s="12">
        <v>0.74</v>
      </c>
      <c r="M555" s="12">
        <v>0.1045</v>
      </c>
      <c r="N555" s="12">
        <v>1</v>
      </c>
      <c r="O555" s="12">
        <v>35</v>
      </c>
      <c r="P555" s="13">
        <v>36</v>
      </c>
    </row>
    <row r="556" spans="1:16" x14ac:dyDescent="0.25">
      <c r="A556" s="6">
        <v>555</v>
      </c>
      <c r="B556" s="7">
        <v>40568</v>
      </c>
      <c r="C556" s="8">
        <v>7</v>
      </c>
      <c r="D556" s="8" t="b">
        <v>0</v>
      </c>
      <c r="E556" s="8" t="str">
        <f t="shared" si="24"/>
        <v>Working Day</v>
      </c>
      <c r="F556" s="8">
        <v>2</v>
      </c>
      <c r="G556" s="8" t="str">
        <f t="shared" si="25"/>
        <v>Tue</v>
      </c>
      <c r="H556" s="8">
        <v>1</v>
      </c>
      <c r="I556" s="8" t="str">
        <f t="shared" si="26"/>
        <v>mist/cloudy</v>
      </c>
      <c r="J556" s="8">
        <v>0.16</v>
      </c>
      <c r="K556" s="8">
        <v>0.1515</v>
      </c>
      <c r="L556" s="8">
        <v>0.74</v>
      </c>
      <c r="M556" s="8">
        <v>0.22389999999999999</v>
      </c>
      <c r="N556" s="8">
        <v>5</v>
      </c>
      <c r="O556" s="8">
        <v>103</v>
      </c>
      <c r="P556" s="9">
        <v>108</v>
      </c>
    </row>
    <row r="557" spans="1:16" x14ac:dyDescent="0.25">
      <c r="A557" s="10">
        <v>556</v>
      </c>
      <c r="B557" s="11">
        <v>40568</v>
      </c>
      <c r="C557" s="12">
        <v>8</v>
      </c>
      <c r="D557" s="12" t="b">
        <v>0</v>
      </c>
      <c r="E557" s="12" t="str">
        <f t="shared" si="24"/>
        <v>Working Day</v>
      </c>
      <c r="F557" s="12">
        <v>2</v>
      </c>
      <c r="G557" s="12" t="str">
        <f t="shared" si="25"/>
        <v>Tue</v>
      </c>
      <c r="H557" s="12">
        <v>2</v>
      </c>
      <c r="I557" s="12" t="str">
        <f t="shared" si="26"/>
        <v>light rain</v>
      </c>
      <c r="J557" s="12">
        <v>0.16</v>
      </c>
      <c r="K557" s="12">
        <v>0.18179999999999999</v>
      </c>
      <c r="L557" s="12">
        <v>0.74</v>
      </c>
      <c r="M557" s="12">
        <v>0.1343</v>
      </c>
      <c r="N557" s="12">
        <v>5</v>
      </c>
      <c r="O557" s="12">
        <v>233</v>
      </c>
      <c r="P557" s="13">
        <v>238</v>
      </c>
    </row>
    <row r="558" spans="1:16" x14ac:dyDescent="0.25">
      <c r="A558" s="6">
        <v>557</v>
      </c>
      <c r="B558" s="7">
        <v>40568</v>
      </c>
      <c r="C558" s="8">
        <v>9</v>
      </c>
      <c r="D558" s="8" t="b">
        <v>0</v>
      </c>
      <c r="E558" s="8" t="str">
        <f t="shared" si="24"/>
        <v>Working Day</v>
      </c>
      <c r="F558" s="8">
        <v>2</v>
      </c>
      <c r="G558" s="8" t="str">
        <f t="shared" si="25"/>
        <v>Tue</v>
      </c>
      <c r="H558" s="8">
        <v>2</v>
      </c>
      <c r="I558" s="8" t="str">
        <f t="shared" si="26"/>
        <v>light rain</v>
      </c>
      <c r="J558" s="8">
        <v>0.2</v>
      </c>
      <c r="K558" s="8">
        <v>0.2273</v>
      </c>
      <c r="L558" s="8">
        <v>0.64</v>
      </c>
      <c r="M558" s="8">
        <v>8.9599999999999999E-2</v>
      </c>
      <c r="N558" s="8">
        <v>10</v>
      </c>
      <c r="O558" s="8">
        <v>134</v>
      </c>
      <c r="P558" s="9">
        <v>144</v>
      </c>
    </row>
    <row r="559" spans="1:16" x14ac:dyDescent="0.25">
      <c r="A559" s="10">
        <v>558</v>
      </c>
      <c r="B559" s="11">
        <v>40568</v>
      </c>
      <c r="C559" s="12">
        <v>10</v>
      </c>
      <c r="D559" s="12" t="b">
        <v>0</v>
      </c>
      <c r="E559" s="12" t="str">
        <f t="shared" si="24"/>
        <v>Working Day</v>
      </c>
      <c r="F559" s="12">
        <v>2</v>
      </c>
      <c r="G559" s="12" t="str">
        <f t="shared" si="25"/>
        <v>Tue</v>
      </c>
      <c r="H559" s="12">
        <v>2</v>
      </c>
      <c r="I559" s="12" t="str">
        <f t="shared" si="26"/>
        <v>light rain</v>
      </c>
      <c r="J559" s="12">
        <v>0.22</v>
      </c>
      <c r="K559" s="12">
        <v>0.2424</v>
      </c>
      <c r="L559" s="12">
        <v>0.6</v>
      </c>
      <c r="M559" s="12">
        <v>0.1045</v>
      </c>
      <c r="N559" s="12">
        <v>6</v>
      </c>
      <c r="O559" s="12">
        <v>49</v>
      </c>
      <c r="P559" s="13">
        <v>55</v>
      </c>
    </row>
    <row r="560" spans="1:16" x14ac:dyDescent="0.25">
      <c r="A560" s="6">
        <v>559</v>
      </c>
      <c r="B560" s="7">
        <v>40568</v>
      </c>
      <c r="C560" s="8">
        <v>11</v>
      </c>
      <c r="D560" s="8" t="b">
        <v>0</v>
      </c>
      <c r="E560" s="8" t="str">
        <f t="shared" si="24"/>
        <v>Working Day</v>
      </c>
      <c r="F560" s="8">
        <v>2</v>
      </c>
      <c r="G560" s="8" t="str">
        <f t="shared" si="25"/>
        <v>Tue</v>
      </c>
      <c r="H560" s="8">
        <v>2</v>
      </c>
      <c r="I560" s="8" t="str">
        <f t="shared" si="26"/>
        <v>light rain</v>
      </c>
      <c r="J560" s="8">
        <v>0.24</v>
      </c>
      <c r="K560" s="8">
        <v>0.2424</v>
      </c>
      <c r="L560" s="8">
        <v>0.6</v>
      </c>
      <c r="M560" s="8">
        <v>0.1343</v>
      </c>
      <c r="N560" s="8">
        <v>6</v>
      </c>
      <c r="O560" s="8">
        <v>55</v>
      </c>
      <c r="P560" s="9">
        <v>61</v>
      </c>
    </row>
    <row r="561" spans="1:16" x14ac:dyDescent="0.25">
      <c r="A561" s="10">
        <v>560</v>
      </c>
      <c r="B561" s="11">
        <v>40568</v>
      </c>
      <c r="C561" s="12">
        <v>12</v>
      </c>
      <c r="D561" s="12" t="b">
        <v>0</v>
      </c>
      <c r="E561" s="12" t="str">
        <f t="shared" si="24"/>
        <v>Working Day</v>
      </c>
      <c r="F561" s="12">
        <v>2</v>
      </c>
      <c r="G561" s="12" t="str">
        <f t="shared" si="25"/>
        <v>Tue</v>
      </c>
      <c r="H561" s="12">
        <v>2</v>
      </c>
      <c r="I561" s="12" t="str">
        <f t="shared" si="26"/>
        <v>light rain</v>
      </c>
      <c r="J561" s="12">
        <v>0.26</v>
      </c>
      <c r="K561" s="12">
        <v>0.28789999999999999</v>
      </c>
      <c r="L561" s="12">
        <v>0.56000000000000005</v>
      </c>
      <c r="M561" s="12">
        <v>8.9599999999999999E-2</v>
      </c>
      <c r="N561" s="12">
        <v>21</v>
      </c>
      <c r="O561" s="12">
        <v>85</v>
      </c>
      <c r="P561" s="13">
        <v>106</v>
      </c>
    </row>
    <row r="562" spans="1:16" x14ac:dyDescent="0.25">
      <c r="A562" s="6">
        <v>561</v>
      </c>
      <c r="B562" s="7">
        <v>40568</v>
      </c>
      <c r="C562" s="8">
        <v>13</v>
      </c>
      <c r="D562" s="8" t="b">
        <v>0</v>
      </c>
      <c r="E562" s="8" t="str">
        <f t="shared" si="24"/>
        <v>Working Day</v>
      </c>
      <c r="F562" s="8">
        <v>2</v>
      </c>
      <c r="G562" s="8" t="str">
        <f t="shared" si="25"/>
        <v>Tue</v>
      </c>
      <c r="H562" s="8">
        <v>2</v>
      </c>
      <c r="I562" s="8" t="str">
        <f t="shared" si="26"/>
        <v>light rain</v>
      </c>
      <c r="J562" s="8">
        <v>0.26</v>
      </c>
      <c r="K562" s="8">
        <v>0.2727</v>
      </c>
      <c r="L562" s="8">
        <v>0.56000000000000005</v>
      </c>
      <c r="M562" s="8">
        <v>0.1343</v>
      </c>
      <c r="N562" s="8">
        <v>21</v>
      </c>
      <c r="O562" s="8">
        <v>72</v>
      </c>
      <c r="P562" s="9">
        <v>93</v>
      </c>
    </row>
    <row r="563" spans="1:16" x14ac:dyDescent="0.25">
      <c r="A563" s="10">
        <v>562</v>
      </c>
      <c r="B563" s="11">
        <v>40568</v>
      </c>
      <c r="C563" s="12">
        <v>14</v>
      </c>
      <c r="D563" s="12" t="b">
        <v>0</v>
      </c>
      <c r="E563" s="12" t="str">
        <f t="shared" si="24"/>
        <v>Working Day</v>
      </c>
      <c r="F563" s="12">
        <v>2</v>
      </c>
      <c r="G563" s="12" t="str">
        <f t="shared" si="25"/>
        <v>Tue</v>
      </c>
      <c r="H563" s="12">
        <v>2</v>
      </c>
      <c r="I563" s="12" t="str">
        <f t="shared" si="26"/>
        <v>light rain</v>
      </c>
      <c r="J563" s="12">
        <v>0.3</v>
      </c>
      <c r="K563" s="12">
        <v>0.33329999999999999</v>
      </c>
      <c r="L563" s="12">
        <v>0.45</v>
      </c>
      <c r="M563" s="12">
        <v>0</v>
      </c>
      <c r="N563" s="12">
        <v>11</v>
      </c>
      <c r="O563" s="12">
        <v>57</v>
      </c>
      <c r="P563" s="13">
        <v>68</v>
      </c>
    </row>
    <row r="564" spans="1:16" x14ac:dyDescent="0.25">
      <c r="A564" s="6">
        <v>563</v>
      </c>
      <c r="B564" s="7">
        <v>40568</v>
      </c>
      <c r="C564" s="8">
        <v>15</v>
      </c>
      <c r="D564" s="8" t="b">
        <v>0</v>
      </c>
      <c r="E564" s="8" t="str">
        <f t="shared" si="24"/>
        <v>Working Day</v>
      </c>
      <c r="F564" s="8">
        <v>2</v>
      </c>
      <c r="G564" s="8" t="str">
        <f t="shared" si="25"/>
        <v>Tue</v>
      </c>
      <c r="H564" s="8">
        <v>2</v>
      </c>
      <c r="I564" s="8" t="str">
        <f t="shared" si="26"/>
        <v>light rain</v>
      </c>
      <c r="J564" s="8">
        <v>0.32</v>
      </c>
      <c r="K564" s="8">
        <v>0.34849999999999998</v>
      </c>
      <c r="L564" s="8">
        <v>0.42</v>
      </c>
      <c r="M564" s="8">
        <v>0</v>
      </c>
      <c r="N564" s="8">
        <v>21</v>
      </c>
      <c r="O564" s="8">
        <v>63</v>
      </c>
      <c r="P564" s="9">
        <v>84</v>
      </c>
    </row>
    <row r="565" spans="1:16" x14ac:dyDescent="0.25">
      <c r="A565" s="10">
        <v>564</v>
      </c>
      <c r="B565" s="11">
        <v>40568</v>
      </c>
      <c r="C565" s="12">
        <v>16</v>
      </c>
      <c r="D565" s="12" t="b">
        <v>0</v>
      </c>
      <c r="E565" s="12" t="str">
        <f t="shared" si="24"/>
        <v>Working Day</v>
      </c>
      <c r="F565" s="12">
        <v>2</v>
      </c>
      <c r="G565" s="12" t="str">
        <f t="shared" si="25"/>
        <v>Tue</v>
      </c>
      <c r="H565" s="12">
        <v>2</v>
      </c>
      <c r="I565" s="12" t="str">
        <f t="shared" si="26"/>
        <v>light rain</v>
      </c>
      <c r="J565" s="12">
        <v>0.32</v>
      </c>
      <c r="K565" s="12">
        <v>0.34849999999999998</v>
      </c>
      <c r="L565" s="12">
        <v>0.42</v>
      </c>
      <c r="M565" s="12">
        <v>0</v>
      </c>
      <c r="N565" s="12">
        <v>14</v>
      </c>
      <c r="O565" s="12">
        <v>102</v>
      </c>
      <c r="P565" s="13">
        <v>116</v>
      </c>
    </row>
    <row r="566" spans="1:16" x14ac:dyDescent="0.25">
      <c r="A566" s="6">
        <v>565</v>
      </c>
      <c r="B566" s="7">
        <v>40568</v>
      </c>
      <c r="C566" s="8">
        <v>17</v>
      </c>
      <c r="D566" s="8" t="b">
        <v>0</v>
      </c>
      <c r="E566" s="8" t="str">
        <f t="shared" si="24"/>
        <v>Working Day</v>
      </c>
      <c r="F566" s="8">
        <v>2</v>
      </c>
      <c r="G566" s="8" t="str">
        <f t="shared" si="25"/>
        <v>Tue</v>
      </c>
      <c r="H566" s="8">
        <v>1</v>
      </c>
      <c r="I566" s="8" t="str">
        <f t="shared" si="26"/>
        <v>mist/cloudy</v>
      </c>
      <c r="J566" s="8">
        <v>0.3</v>
      </c>
      <c r="K566" s="8">
        <v>0.33329999999999999</v>
      </c>
      <c r="L566" s="8">
        <v>0.45</v>
      </c>
      <c r="M566" s="8">
        <v>0</v>
      </c>
      <c r="N566" s="8">
        <v>14</v>
      </c>
      <c r="O566" s="8">
        <v>208</v>
      </c>
      <c r="P566" s="9">
        <v>222</v>
      </c>
    </row>
    <row r="567" spans="1:16" x14ac:dyDescent="0.25">
      <c r="A567" s="10">
        <v>566</v>
      </c>
      <c r="B567" s="11">
        <v>40568</v>
      </c>
      <c r="C567" s="12">
        <v>18</v>
      </c>
      <c r="D567" s="12" t="b">
        <v>0</v>
      </c>
      <c r="E567" s="12" t="str">
        <f t="shared" si="24"/>
        <v>Working Day</v>
      </c>
      <c r="F567" s="12">
        <v>2</v>
      </c>
      <c r="G567" s="12" t="str">
        <f t="shared" si="25"/>
        <v>Tue</v>
      </c>
      <c r="H567" s="12">
        <v>2</v>
      </c>
      <c r="I567" s="12" t="str">
        <f t="shared" si="26"/>
        <v>light rain</v>
      </c>
      <c r="J567" s="12">
        <v>0.3</v>
      </c>
      <c r="K567" s="12">
        <v>0.31819999999999998</v>
      </c>
      <c r="L567" s="12">
        <v>0.49</v>
      </c>
      <c r="M567" s="12">
        <v>8.9599999999999999E-2</v>
      </c>
      <c r="N567" s="12">
        <v>7</v>
      </c>
      <c r="O567" s="12">
        <v>218</v>
      </c>
      <c r="P567" s="13">
        <v>225</v>
      </c>
    </row>
    <row r="568" spans="1:16" x14ac:dyDescent="0.25">
      <c r="A568" s="6">
        <v>567</v>
      </c>
      <c r="B568" s="7">
        <v>40568</v>
      </c>
      <c r="C568" s="8">
        <v>19</v>
      </c>
      <c r="D568" s="8" t="b">
        <v>0</v>
      </c>
      <c r="E568" s="8" t="str">
        <f t="shared" si="24"/>
        <v>Working Day</v>
      </c>
      <c r="F568" s="8">
        <v>2</v>
      </c>
      <c r="G568" s="8" t="str">
        <f t="shared" si="25"/>
        <v>Tue</v>
      </c>
      <c r="H568" s="8">
        <v>2</v>
      </c>
      <c r="I568" s="8" t="str">
        <f t="shared" si="26"/>
        <v>light rain</v>
      </c>
      <c r="J568" s="8">
        <v>0.26</v>
      </c>
      <c r="K568" s="8">
        <v>0.2576</v>
      </c>
      <c r="L568" s="8">
        <v>0.65</v>
      </c>
      <c r="M568" s="8">
        <v>0.16420000000000001</v>
      </c>
      <c r="N568" s="8">
        <v>13</v>
      </c>
      <c r="O568" s="8">
        <v>133</v>
      </c>
      <c r="P568" s="9">
        <v>146</v>
      </c>
    </row>
    <row r="569" spans="1:16" x14ac:dyDescent="0.25">
      <c r="A569" s="10">
        <v>568</v>
      </c>
      <c r="B569" s="11">
        <v>40568</v>
      </c>
      <c r="C569" s="12">
        <v>20</v>
      </c>
      <c r="D569" s="12" t="b">
        <v>0</v>
      </c>
      <c r="E569" s="12" t="str">
        <f t="shared" si="24"/>
        <v>Working Day</v>
      </c>
      <c r="F569" s="12">
        <v>2</v>
      </c>
      <c r="G569" s="12" t="str">
        <f t="shared" si="25"/>
        <v>Tue</v>
      </c>
      <c r="H569" s="12">
        <v>1</v>
      </c>
      <c r="I569" s="12" t="str">
        <f t="shared" si="26"/>
        <v>mist/cloudy</v>
      </c>
      <c r="J569" s="12">
        <v>0.24</v>
      </c>
      <c r="K569" s="12">
        <v>0.2273</v>
      </c>
      <c r="L569" s="12">
        <v>0.65</v>
      </c>
      <c r="M569" s="12">
        <v>0.19400000000000001</v>
      </c>
      <c r="N569" s="12">
        <v>16</v>
      </c>
      <c r="O569" s="12">
        <v>103</v>
      </c>
      <c r="P569" s="13">
        <v>119</v>
      </c>
    </row>
    <row r="570" spans="1:16" x14ac:dyDescent="0.25">
      <c r="A570" s="6">
        <v>569</v>
      </c>
      <c r="B570" s="7">
        <v>40568</v>
      </c>
      <c r="C570" s="8">
        <v>21</v>
      </c>
      <c r="D570" s="8" t="b">
        <v>0</v>
      </c>
      <c r="E570" s="8" t="str">
        <f t="shared" si="24"/>
        <v>Working Day</v>
      </c>
      <c r="F570" s="8">
        <v>2</v>
      </c>
      <c r="G570" s="8" t="str">
        <f t="shared" si="25"/>
        <v>Tue</v>
      </c>
      <c r="H570" s="8">
        <v>1</v>
      </c>
      <c r="I570" s="8" t="str">
        <f t="shared" si="26"/>
        <v>mist/cloudy</v>
      </c>
      <c r="J570" s="8">
        <v>0.24</v>
      </c>
      <c r="K570" s="8">
        <v>0.2273</v>
      </c>
      <c r="L570" s="8">
        <v>0.65</v>
      </c>
      <c r="M570" s="8">
        <v>0.19400000000000001</v>
      </c>
      <c r="N570" s="8">
        <v>5</v>
      </c>
      <c r="O570" s="8">
        <v>40</v>
      </c>
      <c r="P570" s="9">
        <v>45</v>
      </c>
    </row>
    <row r="571" spans="1:16" x14ac:dyDescent="0.25">
      <c r="A571" s="10">
        <v>570</v>
      </c>
      <c r="B571" s="11">
        <v>40568</v>
      </c>
      <c r="C571" s="12">
        <v>22</v>
      </c>
      <c r="D571" s="12" t="b">
        <v>0</v>
      </c>
      <c r="E571" s="12" t="str">
        <f t="shared" si="24"/>
        <v>Working Day</v>
      </c>
      <c r="F571" s="12">
        <v>2</v>
      </c>
      <c r="G571" s="12" t="str">
        <f t="shared" si="25"/>
        <v>Tue</v>
      </c>
      <c r="H571" s="12">
        <v>1</v>
      </c>
      <c r="I571" s="12" t="str">
        <f t="shared" si="26"/>
        <v>mist/cloudy</v>
      </c>
      <c r="J571" s="12">
        <v>0.22</v>
      </c>
      <c r="K571" s="12">
        <v>0.2273</v>
      </c>
      <c r="L571" s="12">
        <v>0.64</v>
      </c>
      <c r="M571" s="12">
        <v>0.16420000000000001</v>
      </c>
      <c r="N571" s="12">
        <v>4</v>
      </c>
      <c r="O571" s="12">
        <v>49</v>
      </c>
      <c r="P571" s="13">
        <v>53</v>
      </c>
    </row>
    <row r="572" spans="1:16" x14ac:dyDescent="0.25">
      <c r="A572" s="6">
        <v>571</v>
      </c>
      <c r="B572" s="7">
        <v>40568</v>
      </c>
      <c r="C572" s="8">
        <v>23</v>
      </c>
      <c r="D572" s="8" t="b">
        <v>0</v>
      </c>
      <c r="E572" s="8" t="str">
        <f t="shared" si="24"/>
        <v>Working Day</v>
      </c>
      <c r="F572" s="8">
        <v>2</v>
      </c>
      <c r="G572" s="8" t="str">
        <f t="shared" si="25"/>
        <v>Tue</v>
      </c>
      <c r="H572" s="8">
        <v>2</v>
      </c>
      <c r="I572" s="8" t="str">
        <f t="shared" si="26"/>
        <v>light rain</v>
      </c>
      <c r="J572" s="8">
        <v>0.22</v>
      </c>
      <c r="K572" s="8">
        <v>0.2273</v>
      </c>
      <c r="L572" s="8">
        <v>0.64</v>
      </c>
      <c r="M572" s="8">
        <v>0.16420000000000001</v>
      </c>
      <c r="N572" s="8">
        <v>3</v>
      </c>
      <c r="O572" s="8">
        <v>37</v>
      </c>
      <c r="P572" s="9">
        <v>40</v>
      </c>
    </row>
    <row r="573" spans="1:16" x14ac:dyDescent="0.25">
      <c r="A573" s="10">
        <v>572</v>
      </c>
      <c r="B573" s="11">
        <v>40569</v>
      </c>
      <c r="C573" s="12">
        <v>0</v>
      </c>
      <c r="D573" s="12" t="b">
        <v>0</v>
      </c>
      <c r="E573" s="12" t="str">
        <f t="shared" si="24"/>
        <v>Working Day</v>
      </c>
      <c r="F573" s="12">
        <v>3</v>
      </c>
      <c r="G573" s="12" t="str">
        <f t="shared" si="25"/>
        <v>Wed</v>
      </c>
      <c r="H573" s="12">
        <v>2</v>
      </c>
      <c r="I573" s="12" t="str">
        <f t="shared" si="26"/>
        <v>light rain</v>
      </c>
      <c r="J573" s="12">
        <v>0.22</v>
      </c>
      <c r="K573" s="12">
        <v>0.2273</v>
      </c>
      <c r="L573" s="12">
        <v>0.69</v>
      </c>
      <c r="M573" s="12">
        <v>0.1343</v>
      </c>
      <c r="N573" s="12">
        <v>3</v>
      </c>
      <c r="O573" s="12">
        <v>14</v>
      </c>
      <c r="P573" s="13">
        <v>17</v>
      </c>
    </row>
    <row r="574" spans="1:16" x14ac:dyDescent="0.25">
      <c r="A574" s="6">
        <v>573</v>
      </c>
      <c r="B574" s="7">
        <v>40569</v>
      </c>
      <c r="C574" s="8">
        <v>1</v>
      </c>
      <c r="D574" s="8" t="b">
        <v>0</v>
      </c>
      <c r="E574" s="8" t="str">
        <f t="shared" si="24"/>
        <v>Working Day</v>
      </c>
      <c r="F574" s="8">
        <v>3</v>
      </c>
      <c r="G574" s="8" t="str">
        <f t="shared" si="25"/>
        <v>Wed</v>
      </c>
      <c r="H574" s="8">
        <v>2</v>
      </c>
      <c r="I574" s="8" t="str">
        <f t="shared" si="26"/>
        <v>light rain</v>
      </c>
      <c r="J574" s="8">
        <v>0.24</v>
      </c>
      <c r="K574" s="8">
        <v>0.2424</v>
      </c>
      <c r="L574" s="8">
        <v>0.65</v>
      </c>
      <c r="M574" s="8">
        <v>0.1343</v>
      </c>
      <c r="N574" s="8">
        <v>0</v>
      </c>
      <c r="O574" s="8">
        <v>5</v>
      </c>
      <c r="P574" s="9">
        <v>5</v>
      </c>
    </row>
    <row r="575" spans="1:16" x14ac:dyDescent="0.25">
      <c r="A575" s="10">
        <v>574</v>
      </c>
      <c r="B575" s="11">
        <v>40569</v>
      </c>
      <c r="C575" s="12">
        <v>2</v>
      </c>
      <c r="D575" s="12" t="b">
        <v>0</v>
      </c>
      <c r="E575" s="12" t="str">
        <f t="shared" si="24"/>
        <v>Working Day</v>
      </c>
      <c r="F575" s="12">
        <v>3</v>
      </c>
      <c r="G575" s="12" t="str">
        <f t="shared" si="25"/>
        <v>Wed</v>
      </c>
      <c r="H575" s="12">
        <v>3</v>
      </c>
      <c r="I575" s="12" t="str">
        <f t="shared" si="26"/>
        <v>heavy rain</v>
      </c>
      <c r="J575" s="12">
        <v>0.22</v>
      </c>
      <c r="K575" s="12">
        <v>0.2273</v>
      </c>
      <c r="L575" s="12">
        <v>0.69</v>
      </c>
      <c r="M575" s="12">
        <v>0.19400000000000001</v>
      </c>
      <c r="N575" s="12">
        <v>3</v>
      </c>
      <c r="O575" s="12">
        <v>7</v>
      </c>
      <c r="P575" s="13">
        <v>10</v>
      </c>
    </row>
    <row r="576" spans="1:16" x14ac:dyDescent="0.25">
      <c r="A576" s="6">
        <v>575</v>
      </c>
      <c r="B576" s="7">
        <v>40569</v>
      </c>
      <c r="C576" s="8">
        <v>5</v>
      </c>
      <c r="D576" s="8" t="b">
        <v>0</v>
      </c>
      <c r="E576" s="8" t="str">
        <f t="shared" si="24"/>
        <v>Working Day</v>
      </c>
      <c r="F576" s="8">
        <v>3</v>
      </c>
      <c r="G576" s="8" t="str">
        <f t="shared" si="25"/>
        <v>Wed</v>
      </c>
      <c r="H576" s="8">
        <v>3</v>
      </c>
      <c r="I576" s="8" t="str">
        <f t="shared" si="26"/>
        <v>heavy rain</v>
      </c>
      <c r="J576" s="8">
        <v>0.2</v>
      </c>
      <c r="K576" s="8">
        <v>0.18179999999999999</v>
      </c>
      <c r="L576" s="8">
        <v>0.86</v>
      </c>
      <c r="M576" s="8">
        <v>0.28360000000000002</v>
      </c>
      <c r="N576" s="8">
        <v>0</v>
      </c>
      <c r="O576" s="8">
        <v>1</v>
      </c>
      <c r="P576" s="9">
        <v>1</v>
      </c>
    </row>
    <row r="577" spans="1:16" x14ac:dyDescent="0.25">
      <c r="A577" s="10">
        <v>576</v>
      </c>
      <c r="B577" s="11">
        <v>40569</v>
      </c>
      <c r="C577" s="12">
        <v>6</v>
      </c>
      <c r="D577" s="12" t="b">
        <v>0</v>
      </c>
      <c r="E577" s="12" t="str">
        <f t="shared" si="24"/>
        <v>Working Day</v>
      </c>
      <c r="F577" s="12">
        <v>3</v>
      </c>
      <c r="G577" s="12" t="str">
        <f t="shared" si="25"/>
        <v>Wed</v>
      </c>
      <c r="H577" s="12">
        <v>3</v>
      </c>
      <c r="I577" s="12" t="str">
        <f t="shared" si="26"/>
        <v>heavy rain</v>
      </c>
      <c r="J577" s="12">
        <v>0.2</v>
      </c>
      <c r="K577" s="12">
        <v>0.18179999999999999</v>
      </c>
      <c r="L577" s="12">
        <v>0.86</v>
      </c>
      <c r="M577" s="12">
        <v>0.28360000000000002</v>
      </c>
      <c r="N577" s="12">
        <v>0</v>
      </c>
      <c r="O577" s="12">
        <v>8</v>
      </c>
      <c r="P577" s="13">
        <v>8</v>
      </c>
    </row>
    <row r="578" spans="1:16" x14ac:dyDescent="0.25">
      <c r="A578" s="6">
        <v>577</v>
      </c>
      <c r="B578" s="7">
        <v>40569</v>
      </c>
      <c r="C578" s="8">
        <v>7</v>
      </c>
      <c r="D578" s="8" t="b">
        <v>0</v>
      </c>
      <c r="E578" s="8" t="str">
        <f t="shared" ref="E578:E641" si="27">IF(D578=FALSE,"Working Day","Holiday")</f>
        <v>Working Day</v>
      </c>
      <c r="F578" s="8">
        <v>3</v>
      </c>
      <c r="G578" s="8" t="str">
        <f t="shared" ref="G578:G641" si="28">TEXT(F578+1, "ddd")</f>
        <v>Wed</v>
      </c>
      <c r="H578" s="8">
        <v>3</v>
      </c>
      <c r="I578" s="8" t="str">
        <f t="shared" si="26"/>
        <v>heavy rain</v>
      </c>
      <c r="J578" s="8">
        <v>0.22</v>
      </c>
      <c r="K578" s="8">
        <v>0.21210000000000001</v>
      </c>
      <c r="L578" s="8">
        <v>0.87</v>
      </c>
      <c r="M578" s="8">
        <v>0.29849999999999999</v>
      </c>
      <c r="N578" s="8">
        <v>1</v>
      </c>
      <c r="O578" s="8">
        <v>29</v>
      </c>
      <c r="P578" s="9">
        <v>30</v>
      </c>
    </row>
    <row r="579" spans="1:16" x14ac:dyDescent="0.25">
      <c r="A579" s="10">
        <v>578</v>
      </c>
      <c r="B579" s="11">
        <v>40569</v>
      </c>
      <c r="C579" s="12">
        <v>8</v>
      </c>
      <c r="D579" s="12" t="b">
        <v>0</v>
      </c>
      <c r="E579" s="12" t="str">
        <f t="shared" si="27"/>
        <v>Working Day</v>
      </c>
      <c r="F579" s="12">
        <v>3</v>
      </c>
      <c r="G579" s="12" t="str">
        <f t="shared" si="28"/>
        <v>Wed</v>
      </c>
      <c r="H579" s="12">
        <v>3</v>
      </c>
      <c r="I579" s="12" t="str">
        <f t="shared" ref="I579:I642" si="29">IF(H579=0, "clear", IF(H579=1, "mist/cloudy", IF(H579=2, "light rain", IF(H579=3, "heavy rain", IF(H579=4, "extreme weather condition", "Unknown")))))</f>
        <v>heavy rain</v>
      </c>
      <c r="J579" s="12">
        <v>0.22</v>
      </c>
      <c r="K579" s="12">
        <v>0.21210000000000001</v>
      </c>
      <c r="L579" s="12">
        <v>0.87</v>
      </c>
      <c r="M579" s="12">
        <v>0.29849999999999999</v>
      </c>
      <c r="N579" s="12">
        <v>3</v>
      </c>
      <c r="O579" s="12">
        <v>69</v>
      </c>
      <c r="P579" s="13">
        <v>72</v>
      </c>
    </row>
    <row r="580" spans="1:16" x14ac:dyDescent="0.25">
      <c r="A580" s="6">
        <v>579</v>
      </c>
      <c r="B580" s="7">
        <v>40569</v>
      </c>
      <c r="C580" s="8">
        <v>9</v>
      </c>
      <c r="D580" s="8" t="b">
        <v>0</v>
      </c>
      <c r="E580" s="8" t="str">
        <f t="shared" si="27"/>
        <v>Working Day</v>
      </c>
      <c r="F580" s="8">
        <v>3</v>
      </c>
      <c r="G580" s="8" t="str">
        <f t="shared" si="28"/>
        <v>Wed</v>
      </c>
      <c r="H580" s="8">
        <v>3</v>
      </c>
      <c r="I580" s="8" t="str">
        <f t="shared" si="29"/>
        <v>heavy rain</v>
      </c>
      <c r="J580" s="8">
        <v>0.22</v>
      </c>
      <c r="K580" s="8">
        <v>0.21210000000000001</v>
      </c>
      <c r="L580" s="8">
        <v>0.87</v>
      </c>
      <c r="M580" s="8">
        <v>0.29849999999999999</v>
      </c>
      <c r="N580" s="8">
        <v>3</v>
      </c>
      <c r="O580" s="8">
        <v>55</v>
      </c>
      <c r="P580" s="9">
        <v>58</v>
      </c>
    </row>
    <row r="581" spans="1:16" x14ac:dyDescent="0.25">
      <c r="A581" s="10">
        <v>580</v>
      </c>
      <c r="B581" s="11">
        <v>40569</v>
      </c>
      <c r="C581" s="12">
        <v>10</v>
      </c>
      <c r="D581" s="12" t="b">
        <v>0</v>
      </c>
      <c r="E581" s="12" t="str">
        <f t="shared" si="27"/>
        <v>Working Day</v>
      </c>
      <c r="F581" s="12">
        <v>3</v>
      </c>
      <c r="G581" s="12" t="str">
        <f t="shared" si="28"/>
        <v>Wed</v>
      </c>
      <c r="H581" s="12">
        <v>3</v>
      </c>
      <c r="I581" s="12" t="str">
        <f t="shared" si="29"/>
        <v>heavy rain</v>
      </c>
      <c r="J581" s="12">
        <v>0.22</v>
      </c>
      <c r="K581" s="12">
        <v>0.21210000000000001</v>
      </c>
      <c r="L581" s="12">
        <v>0.93</v>
      </c>
      <c r="M581" s="12">
        <v>0.28360000000000002</v>
      </c>
      <c r="N581" s="12">
        <v>2</v>
      </c>
      <c r="O581" s="12">
        <v>26</v>
      </c>
      <c r="P581" s="13">
        <v>28</v>
      </c>
    </row>
    <row r="582" spans="1:16" x14ac:dyDescent="0.25">
      <c r="A582" s="6">
        <v>581</v>
      </c>
      <c r="B582" s="7">
        <v>40569</v>
      </c>
      <c r="C582" s="8">
        <v>11</v>
      </c>
      <c r="D582" s="8" t="b">
        <v>0</v>
      </c>
      <c r="E582" s="8" t="str">
        <f t="shared" si="27"/>
        <v>Working Day</v>
      </c>
      <c r="F582" s="8">
        <v>3</v>
      </c>
      <c r="G582" s="8" t="str">
        <f t="shared" si="28"/>
        <v>Wed</v>
      </c>
      <c r="H582" s="8">
        <v>3</v>
      </c>
      <c r="I582" s="8" t="str">
        <f t="shared" si="29"/>
        <v>heavy rain</v>
      </c>
      <c r="J582" s="8">
        <v>0.22</v>
      </c>
      <c r="K582" s="8">
        <v>0.19700000000000001</v>
      </c>
      <c r="L582" s="8">
        <v>0.93</v>
      </c>
      <c r="M582" s="8">
        <v>0.32840000000000003</v>
      </c>
      <c r="N582" s="8">
        <v>6</v>
      </c>
      <c r="O582" s="8">
        <v>35</v>
      </c>
      <c r="P582" s="9">
        <v>41</v>
      </c>
    </row>
    <row r="583" spans="1:16" x14ac:dyDescent="0.25">
      <c r="A583" s="10">
        <v>582</v>
      </c>
      <c r="B583" s="11">
        <v>40569</v>
      </c>
      <c r="C583" s="12">
        <v>12</v>
      </c>
      <c r="D583" s="12" t="b">
        <v>0</v>
      </c>
      <c r="E583" s="12" t="str">
        <f t="shared" si="27"/>
        <v>Working Day</v>
      </c>
      <c r="F583" s="12">
        <v>3</v>
      </c>
      <c r="G583" s="12" t="str">
        <f t="shared" si="28"/>
        <v>Wed</v>
      </c>
      <c r="H583" s="12">
        <v>3</v>
      </c>
      <c r="I583" s="12" t="str">
        <f t="shared" si="29"/>
        <v>heavy rain</v>
      </c>
      <c r="J583" s="12">
        <v>0.22</v>
      </c>
      <c r="K583" s="12">
        <v>0.19700000000000001</v>
      </c>
      <c r="L583" s="12">
        <v>0.93</v>
      </c>
      <c r="M583" s="12">
        <v>0.32840000000000003</v>
      </c>
      <c r="N583" s="12">
        <v>7</v>
      </c>
      <c r="O583" s="12">
        <v>41</v>
      </c>
      <c r="P583" s="13">
        <v>48</v>
      </c>
    </row>
    <row r="584" spans="1:16" x14ac:dyDescent="0.25">
      <c r="A584" s="6">
        <v>583</v>
      </c>
      <c r="B584" s="7">
        <v>40569</v>
      </c>
      <c r="C584" s="8">
        <v>13</v>
      </c>
      <c r="D584" s="8" t="b">
        <v>0</v>
      </c>
      <c r="E584" s="8" t="str">
        <f t="shared" si="27"/>
        <v>Working Day</v>
      </c>
      <c r="F584" s="8">
        <v>3</v>
      </c>
      <c r="G584" s="8" t="str">
        <f t="shared" si="28"/>
        <v>Wed</v>
      </c>
      <c r="H584" s="8">
        <v>3</v>
      </c>
      <c r="I584" s="8" t="str">
        <f t="shared" si="29"/>
        <v>heavy rain</v>
      </c>
      <c r="J584" s="8">
        <v>0.22</v>
      </c>
      <c r="K584" s="8">
        <v>0.19700000000000001</v>
      </c>
      <c r="L584" s="8">
        <v>0.93</v>
      </c>
      <c r="M584" s="8">
        <v>0.32840000000000003</v>
      </c>
      <c r="N584" s="8">
        <v>4</v>
      </c>
      <c r="O584" s="8">
        <v>43</v>
      </c>
      <c r="P584" s="9">
        <v>47</v>
      </c>
    </row>
    <row r="585" spans="1:16" x14ac:dyDescent="0.25">
      <c r="A585" s="10">
        <v>584</v>
      </c>
      <c r="B585" s="11">
        <v>40569</v>
      </c>
      <c r="C585" s="12">
        <v>14</v>
      </c>
      <c r="D585" s="12" t="b">
        <v>0</v>
      </c>
      <c r="E585" s="12" t="str">
        <f t="shared" si="27"/>
        <v>Working Day</v>
      </c>
      <c r="F585" s="12">
        <v>3</v>
      </c>
      <c r="G585" s="12" t="str">
        <f t="shared" si="28"/>
        <v>Wed</v>
      </c>
      <c r="H585" s="12">
        <v>3</v>
      </c>
      <c r="I585" s="12" t="str">
        <f t="shared" si="29"/>
        <v>heavy rain</v>
      </c>
      <c r="J585" s="12">
        <v>0.22</v>
      </c>
      <c r="K585" s="12">
        <v>0.19700000000000001</v>
      </c>
      <c r="L585" s="12">
        <v>0.93</v>
      </c>
      <c r="M585" s="12">
        <v>0.35820000000000002</v>
      </c>
      <c r="N585" s="12">
        <v>0</v>
      </c>
      <c r="O585" s="12">
        <v>36</v>
      </c>
      <c r="P585" s="13">
        <v>36</v>
      </c>
    </row>
    <row r="586" spans="1:16" x14ac:dyDescent="0.25">
      <c r="A586" s="6">
        <v>585</v>
      </c>
      <c r="B586" s="7">
        <v>40569</v>
      </c>
      <c r="C586" s="8">
        <v>15</v>
      </c>
      <c r="D586" s="8" t="b">
        <v>0</v>
      </c>
      <c r="E586" s="8" t="str">
        <f t="shared" si="27"/>
        <v>Working Day</v>
      </c>
      <c r="F586" s="8">
        <v>3</v>
      </c>
      <c r="G586" s="8" t="str">
        <f t="shared" si="28"/>
        <v>Wed</v>
      </c>
      <c r="H586" s="8">
        <v>3</v>
      </c>
      <c r="I586" s="8" t="str">
        <f t="shared" si="29"/>
        <v>heavy rain</v>
      </c>
      <c r="J586" s="8">
        <v>0.22</v>
      </c>
      <c r="K586" s="8">
        <v>0.18179999999999999</v>
      </c>
      <c r="L586" s="8">
        <v>0.93</v>
      </c>
      <c r="M586" s="8">
        <v>0.4627</v>
      </c>
      <c r="N586" s="8">
        <v>1</v>
      </c>
      <c r="O586" s="8">
        <v>42</v>
      </c>
      <c r="P586" s="9">
        <v>43</v>
      </c>
    </row>
    <row r="587" spans="1:16" x14ac:dyDescent="0.25">
      <c r="A587" s="10">
        <v>586</v>
      </c>
      <c r="B587" s="11">
        <v>40569</v>
      </c>
      <c r="C587" s="12">
        <v>16</v>
      </c>
      <c r="D587" s="12" t="b">
        <v>0</v>
      </c>
      <c r="E587" s="12" t="str">
        <f t="shared" si="27"/>
        <v>Working Day</v>
      </c>
      <c r="F587" s="12">
        <v>3</v>
      </c>
      <c r="G587" s="12" t="str">
        <f t="shared" si="28"/>
        <v>Wed</v>
      </c>
      <c r="H587" s="12">
        <v>4</v>
      </c>
      <c r="I587" s="12" t="str">
        <f t="shared" si="29"/>
        <v>extreme weather condition</v>
      </c>
      <c r="J587" s="12">
        <v>0.22</v>
      </c>
      <c r="K587" s="12">
        <v>0.19700000000000001</v>
      </c>
      <c r="L587" s="12">
        <v>0.93</v>
      </c>
      <c r="M587" s="12">
        <v>0.32840000000000003</v>
      </c>
      <c r="N587" s="12">
        <v>1</v>
      </c>
      <c r="O587" s="12">
        <v>35</v>
      </c>
      <c r="P587" s="13">
        <v>36</v>
      </c>
    </row>
    <row r="588" spans="1:16" x14ac:dyDescent="0.25">
      <c r="A588" s="6">
        <v>587</v>
      </c>
      <c r="B588" s="7">
        <v>40569</v>
      </c>
      <c r="C588" s="8">
        <v>17</v>
      </c>
      <c r="D588" s="8" t="b">
        <v>0</v>
      </c>
      <c r="E588" s="8" t="str">
        <f t="shared" si="27"/>
        <v>Working Day</v>
      </c>
      <c r="F588" s="8">
        <v>3</v>
      </c>
      <c r="G588" s="8" t="str">
        <f t="shared" si="28"/>
        <v>Wed</v>
      </c>
      <c r="H588" s="8">
        <v>3</v>
      </c>
      <c r="I588" s="8" t="str">
        <f t="shared" si="29"/>
        <v>heavy rain</v>
      </c>
      <c r="J588" s="8">
        <v>0.2</v>
      </c>
      <c r="K588" s="8">
        <v>0.18179999999999999</v>
      </c>
      <c r="L588" s="8">
        <v>0.93</v>
      </c>
      <c r="M588" s="8">
        <v>0.35820000000000002</v>
      </c>
      <c r="N588" s="8">
        <v>0</v>
      </c>
      <c r="O588" s="8">
        <v>26</v>
      </c>
      <c r="P588" s="9">
        <v>26</v>
      </c>
    </row>
    <row r="589" spans="1:16" x14ac:dyDescent="0.25">
      <c r="A589" s="10">
        <v>588</v>
      </c>
      <c r="B589" s="11">
        <v>40570</v>
      </c>
      <c r="C589" s="12">
        <v>16</v>
      </c>
      <c r="D589" s="12" t="b">
        <v>0</v>
      </c>
      <c r="E589" s="12" t="str">
        <f t="shared" si="27"/>
        <v>Working Day</v>
      </c>
      <c r="F589" s="12">
        <v>4</v>
      </c>
      <c r="G589" s="12" t="str">
        <f t="shared" si="28"/>
        <v>Thu</v>
      </c>
      <c r="H589" s="12">
        <v>1</v>
      </c>
      <c r="I589" s="12" t="str">
        <f t="shared" si="29"/>
        <v>mist/cloudy</v>
      </c>
      <c r="J589" s="12">
        <v>0.22</v>
      </c>
      <c r="K589" s="12">
        <v>0.2273</v>
      </c>
      <c r="L589" s="12">
        <v>0.55000000000000004</v>
      </c>
      <c r="M589" s="12">
        <v>0.19400000000000001</v>
      </c>
      <c r="N589" s="12">
        <v>1</v>
      </c>
      <c r="O589" s="12">
        <v>23</v>
      </c>
      <c r="P589" s="13">
        <v>24</v>
      </c>
    </row>
    <row r="590" spans="1:16" x14ac:dyDescent="0.25">
      <c r="A590" s="6">
        <v>589</v>
      </c>
      <c r="B590" s="7">
        <v>40570</v>
      </c>
      <c r="C590" s="8">
        <v>17</v>
      </c>
      <c r="D590" s="8" t="b">
        <v>0</v>
      </c>
      <c r="E590" s="8" t="str">
        <f t="shared" si="27"/>
        <v>Working Day</v>
      </c>
      <c r="F590" s="8">
        <v>4</v>
      </c>
      <c r="G590" s="8" t="str">
        <f t="shared" si="28"/>
        <v>Thu</v>
      </c>
      <c r="H590" s="8">
        <v>1</v>
      </c>
      <c r="I590" s="8" t="str">
        <f t="shared" si="29"/>
        <v>mist/cloudy</v>
      </c>
      <c r="J590" s="8">
        <v>0.22</v>
      </c>
      <c r="K590" s="8">
        <v>0.2424</v>
      </c>
      <c r="L590" s="8">
        <v>0.55000000000000004</v>
      </c>
      <c r="M590" s="8">
        <v>0.1045</v>
      </c>
      <c r="N590" s="8">
        <v>2</v>
      </c>
      <c r="O590" s="8">
        <v>82</v>
      </c>
      <c r="P590" s="9">
        <v>84</v>
      </c>
    </row>
    <row r="591" spans="1:16" x14ac:dyDescent="0.25">
      <c r="A591" s="10">
        <v>590</v>
      </c>
      <c r="B591" s="11">
        <v>40570</v>
      </c>
      <c r="C591" s="12">
        <v>18</v>
      </c>
      <c r="D591" s="12" t="b">
        <v>0</v>
      </c>
      <c r="E591" s="12" t="str">
        <f t="shared" si="27"/>
        <v>Working Day</v>
      </c>
      <c r="F591" s="12">
        <v>4</v>
      </c>
      <c r="G591" s="12" t="str">
        <f t="shared" si="28"/>
        <v>Thu</v>
      </c>
      <c r="H591" s="12">
        <v>1</v>
      </c>
      <c r="I591" s="12" t="str">
        <f t="shared" si="29"/>
        <v>mist/cloudy</v>
      </c>
      <c r="J591" s="12">
        <v>0.2</v>
      </c>
      <c r="K591" s="12">
        <v>0.2273</v>
      </c>
      <c r="L591" s="12">
        <v>0.69</v>
      </c>
      <c r="M591" s="12">
        <v>8.9599999999999999E-2</v>
      </c>
      <c r="N591" s="12">
        <v>3</v>
      </c>
      <c r="O591" s="12">
        <v>101</v>
      </c>
      <c r="P591" s="13">
        <v>104</v>
      </c>
    </row>
    <row r="592" spans="1:16" x14ac:dyDescent="0.25">
      <c r="A592" s="6">
        <v>591</v>
      </c>
      <c r="B592" s="7">
        <v>40570</v>
      </c>
      <c r="C592" s="8">
        <v>19</v>
      </c>
      <c r="D592" s="8" t="b">
        <v>0</v>
      </c>
      <c r="E592" s="8" t="str">
        <f t="shared" si="27"/>
        <v>Working Day</v>
      </c>
      <c r="F592" s="8">
        <v>4</v>
      </c>
      <c r="G592" s="8" t="str">
        <f t="shared" si="28"/>
        <v>Thu</v>
      </c>
      <c r="H592" s="8">
        <v>1</v>
      </c>
      <c r="I592" s="8" t="str">
        <f t="shared" si="29"/>
        <v>mist/cloudy</v>
      </c>
      <c r="J592" s="8">
        <v>0.2</v>
      </c>
      <c r="K592" s="8">
        <v>0.2273</v>
      </c>
      <c r="L592" s="8">
        <v>0.69</v>
      </c>
      <c r="M592" s="8">
        <v>8.9599999999999999E-2</v>
      </c>
      <c r="N592" s="8">
        <v>3</v>
      </c>
      <c r="O592" s="8">
        <v>76</v>
      </c>
      <c r="P592" s="9">
        <v>79</v>
      </c>
    </row>
    <row r="593" spans="1:16" x14ac:dyDescent="0.25">
      <c r="A593" s="10">
        <v>592</v>
      </c>
      <c r="B593" s="11">
        <v>40570</v>
      </c>
      <c r="C593" s="12">
        <v>20</v>
      </c>
      <c r="D593" s="12" t="b">
        <v>0</v>
      </c>
      <c r="E593" s="12" t="str">
        <f t="shared" si="27"/>
        <v>Working Day</v>
      </c>
      <c r="F593" s="12">
        <v>4</v>
      </c>
      <c r="G593" s="12" t="str">
        <f t="shared" si="28"/>
        <v>Thu</v>
      </c>
      <c r="H593" s="12">
        <v>1</v>
      </c>
      <c r="I593" s="12" t="str">
        <f t="shared" si="29"/>
        <v>mist/cloudy</v>
      </c>
      <c r="J593" s="12">
        <v>0.18</v>
      </c>
      <c r="K593" s="12">
        <v>0.21210000000000001</v>
      </c>
      <c r="L593" s="12">
        <v>0.74</v>
      </c>
      <c r="M593" s="12">
        <v>8.9599999999999999E-2</v>
      </c>
      <c r="N593" s="12">
        <v>4</v>
      </c>
      <c r="O593" s="12">
        <v>55</v>
      </c>
      <c r="P593" s="13">
        <v>59</v>
      </c>
    </row>
    <row r="594" spans="1:16" x14ac:dyDescent="0.25">
      <c r="A594" s="6">
        <v>593</v>
      </c>
      <c r="B594" s="7">
        <v>40570</v>
      </c>
      <c r="C594" s="8">
        <v>21</v>
      </c>
      <c r="D594" s="8" t="b">
        <v>0</v>
      </c>
      <c r="E594" s="8" t="str">
        <f t="shared" si="27"/>
        <v>Working Day</v>
      </c>
      <c r="F594" s="8">
        <v>4</v>
      </c>
      <c r="G594" s="8" t="str">
        <f t="shared" si="28"/>
        <v>Thu</v>
      </c>
      <c r="H594" s="8">
        <v>1</v>
      </c>
      <c r="I594" s="8" t="str">
        <f t="shared" si="29"/>
        <v>mist/cloudy</v>
      </c>
      <c r="J594" s="8">
        <v>0.18</v>
      </c>
      <c r="K594" s="8">
        <v>0.21210000000000001</v>
      </c>
      <c r="L594" s="8">
        <v>0.74</v>
      </c>
      <c r="M594" s="8">
        <v>8.9599999999999999E-2</v>
      </c>
      <c r="N594" s="8">
        <v>2</v>
      </c>
      <c r="O594" s="8">
        <v>36</v>
      </c>
      <c r="P594" s="9">
        <v>38</v>
      </c>
    </row>
    <row r="595" spans="1:16" x14ac:dyDescent="0.25">
      <c r="A595" s="10">
        <v>594</v>
      </c>
      <c r="B595" s="11">
        <v>40570</v>
      </c>
      <c r="C595" s="12">
        <v>22</v>
      </c>
      <c r="D595" s="12" t="b">
        <v>0</v>
      </c>
      <c r="E595" s="12" t="str">
        <f t="shared" si="27"/>
        <v>Working Day</v>
      </c>
      <c r="F595" s="12">
        <v>4</v>
      </c>
      <c r="G595" s="12" t="str">
        <f t="shared" si="28"/>
        <v>Thu</v>
      </c>
      <c r="H595" s="12">
        <v>1</v>
      </c>
      <c r="I595" s="12" t="str">
        <f t="shared" si="29"/>
        <v>mist/cloudy</v>
      </c>
      <c r="J595" s="12">
        <v>0.18</v>
      </c>
      <c r="K595" s="12">
        <v>0.21210000000000001</v>
      </c>
      <c r="L595" s="12">
        <v>0.74</v>
      </c>
      <c r="M595" s="12">
        <v>8.9599999999999999E-2</v>
      </c>
      <c r="N595" s="12">
        <v>0</v>
      </c>
      <c r="O595" s="12">
        <v>27</v>
      </c>
      <c r="P595" s="13">
        <v>27</v>
      </c>
    </row>
    <row r="596" spans="1:16" x14ac:dyDescent="0.25">
      <c r="A596" s="6">
        <v>595</v>
      </c>
      <c r="B596" s="7">
        <v>40570</v>
      </c>
      <c r="C596" s="8">
        <v>23</v>
      </c>
      <c r="D596" s="8" t="b">
        <v>0</v>
      </c>
      <c r="E596" s="8" t="str">
        <f t="shared" si="27"/>
        <v>Working Day</v>
      </c>
      <c r="F596" s="8">
        <v>4</v>
      </c>
      <c r="G596" s="8" t="str">
        <f t="shared" si="28"/>
        <v>Thu</v>
      </c>
      <c r="H596" s="8">
        <v>1</v>
      </c>
      <c r="I596" s="8" t="str">
        <f t="shared" si="29"/>
        <v>mist/cloudy</v>
      </c>
      <c r="J596" s="8">
        <v>0.18</v>
      </c>
      <c r="K596" s="8">
        <v>0.19700000000000001</v>
      </c>
      <c r="L596" s="8">
        <v>0.8</v>
      </c>
      <c r="M596" s="8">
        <v>0.16420000000000001</v>
      </c>
      <c r="N596" s="8">
        <v>0</v>
      </c>
      <c r="O596" s="8">
        <v>16</v>
      </c>
      <c r="P596" s="9">
        <v>16</v>
      </c>
    </row>
    <row r="597" spans="1:16" x14ac:dyDescent="0.25">
      <c r="A597" s="10">
        <v>596</v>
      </c>
      <c r="B597" s="11">
        <v>40571</v>
      </c>
      <c r="C597" s="12">
        <v>0</v>
      </c>
      <c r="D597" s="12" t="b">
        <v>0</v>
      </c>
      <c r="E597" s="12" t="str">
        <f t="shared" si="27"/>
        <v>Working Day</v>
      </c>
      <c r="F597" s="12">
        <v>5</v>
      </c>
      <c r="G597" s="12" t="str">
        <f t="shared" si="28"/>
        <v>Fri</v>
      </c>
      <c r="H597" s="12">
        <v>2</v>
      </c>
      <c r="I597" s="12" t="str">
        <f t="shared" si="29"/>
        <v>light rain</v>
      </c>
      <c r="J597" s="12">
        <v>0.2</v>
      </c>
      <c r="K597" s="12">
        <v>0.21210000000000001</v>
      </c>
      <c r="L597" s="12">
        <v>0.75</v>
      </c>
      <c r="M597" s="12">
        <v>0.1343</v>
      </c>
      <c r="N597" s="12">
        <v>0</v>
      </c>
      <c r="O597" s="12">
        <v>9</v>
      </c>
      <c r="P597" s="13">
        <v>9</v>
      </c>
    </row>
    <row r="598" spans="1:16" x14ac:dyDescent="0.25">
      <c r="A598" s="6">
        <v>597</v>
      </c>
      <c r="B598" s="7">
        <v>40571</v>
      </c>
      <c r="C598" s="8">
        <v>1</v>
      </c>
      <c r="D598" s="8" t="b">
        <v>0</v>
      </c>
      <c r="E598" s="8" t="str">
        <f t="shared" si="27"/>
        <v>Working Day</v>
      </c>
      <c r="F598" s="8">
        <v>5</v>
      </c>
      <c r="G598" s="8" t="str">
        <f t="shared" si="28"/>
        <v>Fri</v>
      </c>
      <c r="H598" s="8">
        <v>2</v>
      </c>
      <c r="I598" s="8" t="str">
        <f t="shared" si="29"/>
        <v>light rain</v>
      </c>
      <c r="J598" s="8">
        <v>0.2</v>
      </c>
      <c r="K598" s="8">
        <v>0.21210000000000001</v>
      </c>
      <c r="L598" s="8">
        <v>0.75</v>
      </c>
      <c r="M598" s="8">
        <v>0.1343</v>
      </c>
      <c r="N598" s="8">
        <v>1</v>
      </c>
      <c r="O598" s="8">
        <v>2</v>
      </c>
      <c r="P598" s="9">
        <v>3</v>
      </c>
    </row>
    <row r="599" spans="1:16" x14ac:dyDescent="0.25">
      <c r="A599" s="10">
        <v>598</v>
      </c>
      <c r="B599" s="11">
        <v>40571</v>
      </c>
      <c r="C599" s="12">
        <v>2</v>
      </c>
      <c r="D599" s="12" t="b">
        <v>0</v>
      </c>
      <c r="E599" s="12" t="str">
        <f t="shared" si="27"/>
        <v>Working Day</v>
      </c>
      <c r="F599" s="12">
        <v>5</v>
      </c>
      <c r="G599" s="12" t="str">
        <f t="shared" si="28"/>
        <v>Fri</v>
      </c>
      <c r="H599" s="12">
        <v>2</v>
      </c>
      <c r="I599" s="12" t="str">
        <f t="shared" si="29"/>
        <v>light rain</v>
      </c>
      <c r="J599" s="12">
        <v>0.2</v>
      </c>
      <c r="K599" s="12">
        <v>0.21210000000000001</v>
      </c>
      <c r="L599" s="12">
        <v>0.75</v>
      </c>
      <c r="M599" s="12">
        <v>0.16420000000000001</v>
      </c>
      <c r="N599" s="12">
        <v>0</v>
      </c>
      <c r="O599" s="12">
        <v>2</v>
      </c>
      <c r="P599" s="13">
        <v>2</v>
      </c>
    </row>
    <row r="600" spans="1:16" x14ac:dyDescent="0.25">
      <c r="A600" s="6">
        <v>599</v>
      </c>
      <c r="B600" s="7">
        <v>40571</v>
      </c>
      <c r="C600" s="8">
        <v>3</v>
      </c>
      <c r="D600" s="8" t="b">
        <v>0</v>
      </c>
      <c r="E600" s="8" t="str">
        <f t="shared" si="27"/>
        <v>Working Day</v>
      </c>
      <c r="F600" s="8">
        <v>5</v>
      </c>
      <c r="G600" s="8" t="str">
        <f t="shared" si="28"/>
        <v>Fri</v>
      </c>
      <c r="H600" s="8">
        <v>2</v>
      </c>
      <c r="I600" s="8" t="str">
        <f t="shared" si="29"/>
        <v>light rain</v>
      </c>
      <c r="J600" s="8">
        <v>0.2</v>
      </c>
      <c r="K600" s="8">
        <v>0.2273</v>
      </c>
      <c r="L600" s="8">
        <v>0.75</v>
      </c>
      <c r="M600" s="8">
        <v>0.1045</v>
      </c>
      <c r="N600" s="8">
        <v>1</v>
      </c>
      <c r="O600" s="8">
        <v>0</v>
      </c>
      <c r="P600" s="9">
        <v>1</v>
      </c>
    </row>
    <row r="601" spans="1:16" x14ac:dyDescent="0.25">
      <c r="A601" s="10">
        <v>600</v>
      </c>
      <c r="B601" s="11">
        <v>40571</v>
      </c>
      <c r="C601" s="12">
        <v>5</v>
      </c>
      <c r="D601" s="12" t="b">
        <v>0</v>
      </c>
      <c r="E601" s="12" t="str">
        <f t="shared" si="27"/>
        <v>Working Day</v>
      </c>
      <c r="F601" s="12">
        <v>5</v>
      </c>
      <c r="G601" s="12" t="str">
        <f t="shared" si="28"/>
        <v>Fri</v>
      </c>
      <c r="H601" s="12">
        <v>2</v>
      </c>
      <c r="I601" s="12" t="str">
        <f t="shared" si="29"/>
        <v>light rain</v>
      </c>
      <c r="J601" s="12">
        <v>0.18</v>
      </c>
      <c r="K601" s="12">
        <v>0.21210000000000001</v>
      </c>
      <c r="L601" s="12">
        <v>0.8</v>
      </c>
      <c r="M601" s="12">
        <v>0.1045</v>
      </c>
      <c r="N601" s="12">
        <v>0</v>
      </c>
      <c r="O601" s="12">
        <v>4</v>
      </c>
      <c r="P601" s="13">
        <v>4</v>
      </c>
    </row>
    <row r="602" spans="1:16" x14ac:dyDescent="0.25">
      <c r="A602" s="6">
        <v>601</v>
      </c>
      <c r="B602" s="7">
        <v>40571</v>
      </c>
      <c r="C602" s="8">
        <v>6</v>
      </c>
      <c r="D602" s="8" t="b">
        <v>0</v>
      </c>
      <c r="E602" s="8" t="str">
        <f t="shared" si="27"/>
        <v>Working Day</v>
      </c>
      <c r="F602" s="8">
        <v>5</v>
      </c>
      <c r="G602" s="8" t="str">
        <f t="shared" si="28"/>
        <v>Fri</v>
      </c>
      <c r="H602" s="8">
        <v>2</v>
      </c>
      <c r="I602" s="8" t="str">
        <f t="shared" si="29"/>
        <v>light rain</v>
      </c>
      <c r="J602" s="8">
        <v>0.18</v>
      </c>
      <c r="K602" s="8">
        <v>0.19700000000000001</v>
      </c>
      <c r="L602" s="8">
        <v>0.8</v>
      </c>
      <c r="M602" s="8">
        <v>0.1343</v>
      </c>
      <c r="N602" s="8">
        <v>0</v>
      </c>
      <c r="O602" s="8">
        <v>16</v>
      </c>
      <c r="P602" s="9">
        <v>16</v>
      </c>
    </row>
    <row r="603" spans="1:16" x14ac:dyDescent="0.25">
      <c r="A603" s="10">
        <v>602</v>
      </c>
      <c r="B603" s="11">
        <v>40571</v>
      </c>
      <c r="C603" s="12">
        <v>7</v>
      </c>
      <c r="D603" s="12" t="b">
        <v>0</v>
      </c>
      <c r="E603" s="12" t="str">
        <f t="shared" si="27"/>
        <v>Working Day</v>
      </c>
      <c r="F603" s="12">
        <v>5</v>
      </c>
      <c r="G603" s="12" t="str">
        <f t="shared" si="28"/>
        <v>Fri</v>
      </c>
      <c r="H603" s="12">
        <v>2</v>
      </c>
      <c r="I603" s="12" t="str">
        <f t="shared" si="29"/>
        <v>light rain</v>
      </c>
      <c r="J603" s="12">
        <v>0.16</v>
      </c>
      <c r="K603" s="12">
        <v>0.19700000000000001</v>
      </c>
      <c r="L603" s="12">
        <v>0.86</v>
      </c>
      <c r="M603" s="12">
        <v>8.9599999999999999E-2</v>
      </c>
      <c r="N603" s="12">
        <v>2</v>
      </c>
      <c r="O603" s="12">
        <v>58</v>
      </c>
      <c r="P603" s="13">
        <v>60</v>
      </c>
    </row>
    <row r="604" spans="1:16" x14ac:dyDescent="0.25">
      <c r="A604" s="6">
        <v>603</v>
      </c>
      <c r="B604" s="7">
        <v>40571</v>
      </c>
      <c r="C604" s="8">
        <v>8</v>
      </c>
      <c r="D604" s="8" t="b">
        <v>0</v>
      </c>
      <c r="E604" s="8" t="str">
        <f t="shared" si="27"/>
        <v>Working Day</v>
      </c>
      <c r="F604" s="8">
        <v>5</v>
      </c>
      <c r="G604" s="8" t="str">
        <f t="shared" si="28"/>
        <v>Fri</v>
      </c>
      <c r="H604" s="8">
        <v>2</v>
      </c>
      <c r="I604" s="8" t="str">
        <f t="shared" si="29"/>
        <v>light rain</v>
      </c>
      <c r="J604" s="8">
        <v>0.16</v>
      </c>
      <c r="K604" s="8">
        <v>0.19700000000000001</v>
      </c>
      <c r="L604" s="8">
        <v>0.86</v>
      </c>
      <c r="M604" s="8">
        <v>8.9599999999999999E-2</v>
      </c>
      <c r="N604" s="8">
        <v>2</v>
      </c>
      <c r="O604" s="8">
        <v>155</v>
      </c>
      <c r="P604" s="9">
        <v>157</v>
      </c>
    </row>
    <row r="605" spans="1:16" x14ac:dyDescent="0.25">
      <c r="A605" s="10">
        <v>604</v>
      </c>
      <c r="B605" s="11">
        <v>40571</v>
      </c>
      <c r="C605" s="12">
        <v>9</v>
      </c>
      <c r="D605" s="12" t="b">
        <v>0</v>
      </c>
      <c r="E605" s="12" t="str">
        <f t="shared" si="27"/>
        <v>Working Day</v>
      </c>
      <c r="F605" s="12">
        <v>5</v>
      </c>
      <c r="G605" s="12" t="str">
        <f t="shared" si="28"/>
        <v>Fri</v>
      </c>
      <c r="H605" s="12">
        <v>3</v>
      </c>
      <c r="I605" s="12" t="str">
        <f t="shared" si="29"/>
        <v>heavy rain</v>
      </c>
      <c r="J605" s="12">
        <v>0.18</v>
      </c>
      <c r="K605" s="12">
        <v>0.21210000000000001</v>
      </c>
      <c r="L605" s="12">
        <v>0.86</v>
      </c>
      <c r="M605" s="12">
        <v>8.9599999999999999E-2</v>
      </c>
      <c r="N605" s="12">
        <v>6</v>
      </c>
      <c r="O605" s="12">
        <v>95</v>
      </c>
      <c r="P605" s="13">
        <v>101</v>
      </c>
    </row>
    <row r="606" spans="1:16" x14ac:dyDescent="0.25">
      <c r="A606" s="6">
        <v>605</v>
      </c>
      <c r="B606" s="7">
        <v>40571</v>
      </c>
      <c r="C606" s="8">
        <v>10</v>
      </c>
      <c r="D606" s="8" t="b">
        <v>0</v>
      </c>
      <c r="E606" s="8" t="str">
        <f t="shared" si="27"/>
        <v>Working Day</v>
      </c>
      <c r="F606" s="8">
        <v>5</v>
      </c>
      <c r="G606" s="8" t="str">
        <f t="shared" si="28"/>
        <v>Fri</v>
      </c>
      <c r="H606" s="8">
        <v>3</v>
      </c>
      <c r="I606" s="8" t="str">
        <f t="shared" si="29"/>
        <v>heavy rain</v>
      </c>
      <c r="J606" s="8">
        <v>0.18</v>
      </c>
      <c r="K606" s="8">
        <v>0.21210000000000001</v>
      </c>
      <c r="L606" s="8">
        <v>0.86</v>
      </c>
      <c r="M606" s="8">
        <v>0.1045</v>
      </c>
      <c r="N606" s="8">
        <v>0</v>
      </c>
      <c r="O606" s="8">
        <v>49</v>
      </c>
      <c r="P606" s="9">
        <v>49</v>
      </c>
    </row>
    <row r="607" spans="1:16" x14ac:dyDescent="0.25">
      <c r="A607" s="10">
        <v>606</v>
      </c>
      <c r="B607" s="11">
        <v>40571</v>
      </c>
      <c r="C607" s="12">
        <v>11</v>
      </c>
      <c r="D607" s="12" t="b">
        <v>0</v>
      </c>
      <c r="E607" s="12" t="str">
        <f t="shared" si="27"/>
        <v>Working Day</v>
      </c>
      <c r="F607" s="12">
        <v>5</v>
      </c>
      <c r="G607" s="12" t="str">
        <f t="shared" si="28"/>
        <v>Fri</v>
      </c>
      <c r="H607" s="12">
        <v>3</v>
      </c>
      <c r="I607" s="12" t="str">
        <f t="shared" si="29"/>
        <v>heavy rain</v>
      </c>
      <c r="J607" s="12">
        <v>0.18</v>
      </c>
      <c r="K607" s="12">
        <v>0.21210000000000001</v>
      </c>
      <c r="L607" s="12">
        <v>0.93</v>
      </c>
      <c r="M607" s="12">
        <v>0.1045</v>
      </c>
      <c r="N607" s="12">
        <v>0</v>
      </c>
      <c r="O607" s="12">
        <v>30</v>
      </c>
      <c r="P607" s="13">
        <v>30</v>
      </c>
    </row>
    <row r="608" spans="1:16" x14ac:dyDescent="0.25">
      <c r="A608" s="6">
        <v>607</v>
      </c>
      <c r="B608" s="7">
        <v>40571</v>
      </c>
      <c r="C608" s="8">
        <v>12</v>
      </c>
      <c r="D608" s="8" t="b">
        <v>0</v>
      </c>
      <c r="E608" s="8" t="str">
        <f t="shared" si="27"/>
        <v>Working Day</v>
      </c>
      <c r="F608" s="8">
        <v>5</v>
      </c>
      <c r="G608" s="8" t="str">
        <f t="shared" si="28"/>
        <v>Fri</v>
      </c>
      <c r="H608" s="8">
        <v>3</v>
      </c>
      <c r="I608" s="8" t="str">
        <f t="shared" si="29"/>
        <v>heavy rain</v>
      </c>
      <c r="J608" s="8">
        <v>0.18</v>
      </c>
      <c r="K608" s="8">
        <v>0.21210000000000001</v>
      </c>
      <c r="L608" s="8">
        <v>0.93</v>
      </c>
      <c r="M608" s="8">
        <v>0.1045</v>
      </c>
      <c r="N608" s="8">
        <v>1</v>
      </c>
      <c r="O608" s="8">
        <v>28</v>
      </c>
      <c r="P608" s="9">
        <v>29</v>
      </c>
    </row>
    <row r="609" spans="1:16" x14ac:dyDescent="0.25">
      <c r="A609" s="10">
        <v>608</v>
      </c>
      <c r="B609" s="11">
        <v>40571</v>
      </c>
      <c r="C609" s="12">
        <v>13</v>
      </c>
      <c r="D609" s="12" t="b">
        <v>0</v>
      </c>
      <c r="E609" s="12" t="str">
        <f t="shared" si="27"/>
        <v>Working Day</v>
      </c>
      <c r="F609" s="12">
        <v>5</v>
      </c>
      <c r="G609" s="12" t="str">
        <f t="shared" si="28"/>
        <v>Fri</v>
      </c>
      <c r="H609" s="12">
        <v>3</v>
      </c>
      <c r="I609" s="12" t="str">
        <f t="shared" si="29"/>
        <v>heavy rain</v>
      </c>
      <c r="J609" s="12">
        <v>0.18</v>
      </c>
      <c r="K609" s="12">
        <v>0.21210000000000001</v>
      </c>
      <c r="L609" s="12">
        <v>0.93</v>
      </c>
      <c r="M609" s="12">
        <v>0.1045</v>
      </c>
      <c r="N609" s="12">
        <v>0</v>
      </c>
      <c r="O609" s="12">
        <v>31</v>
      </c>
      <c r="P609" s="13">
        <v>31</v>
      </c>
    </row>
    <row r="610" spans="1:16" x14ac:dyDescent="0.25">
      <c r="A610" s="6">
        <v>609</v>
      </c>
      <c r="B610" s="7">
        <v>40571</v>
      </c>
      <c r="C610" s="8">
        <v>14</v>
      </c>
      <c r="D610" s="8" t="b">
        <v>0</v>
      </c>
      <c r="E610" s="8" t="str">
        <f t="shared" si="27"/>
        <v>Working Day</v>
      </c>
      <c r="F610" s="8">
        <v>5</v>
      </c>
      <c r="G610" s="8" t="str">
        <f t="shared" si="28"/>
        <v>Fri</v>
      </c>
      <c r="H610" s="8">
        <v>3</v>
      </c>
      <c r="I610" s="8" t="str">
        <f t="shared" si="29"/>
        <v>heavy rain</v>
      </c>
      <c r="J610" s="8">
        <v>0.22</v>
      </c>
      <c r="K610" s="8">
        <v>0.2727</v>
      </c>
      <c r="L610" s="8">
        <v>0.8</v>
      </c>
      <c r="M610" s="8">
        <v>0</v>
      </c>
      <c r="N610" s="8">
        <v>2</v>
      </c>
      <c r="O610" s="8">
        <v>36</v>
      </c>
      <c r="P610" s="9">
        <v>38</v>
      </c>
    </row>
    <row r="611" spans="1:16" x14ac:dyDescent="0.25">
      <c r="A611" s="10">
        <v>610</v>
      </c>
      <c r="B611" s="11">
        <v>40571</v>
      </c>
      <c r="C611" s="12">
        <v>15</v>
      </c>
      <c r="D611" s="12" t="b">
        <v>0</v>
      </c>
      <c r="E611" s="12" t="str">
        <f t="shared" si="27"/>
        <v>Working Day</v>
      </c>
      <c r="F611" s="12">
        <v>5</v>
      </c>
      <c r="G611" s="12" t="str">
        <f t="shared" si="28"/>
        <v>Fri</v>
      </c>
      <c r="H611" s="12">
        <v>2</v>
      </c>
      <c r="I611" s="12" t="str">
        <f t="shared" si="29"/>
        <v>light rain</v>
      </c>
      <c r="J611" s="12">
        <v>0.2</v>
      </c>
      <c r="K611" s="12">
        <v>0.2576</v>
      </c>
      <c r="L611" s="12">
        <v>0.86</v>
      </c>
      <c r="M611" s="12">
        <v>0</v>
      </c>
      <c r="N611" s="12">
        <v>1</v>
      </c>
      <c r="O611" s="12">
        <v>40</v>
      </c>
      <c r="P611" s="13">
        <v>41</v>
      </c>
    </row>
    <row r="612" spans="1:16" x14ac:dyDescent="0.25">
      <c r="A612" s="10">
        <v>611</v>
      </c>
      <c r="B612" s="11">
        <v>40571</v>
      </c>
      <c r="C612" s="12">
        <v>16</v>
      </c>
      <c r="D612" s="12" t="b">
        <v>0</v>
      </c>
      <c r="E612" s="12" t="str">
        <f t="shared" si="27"/>
        <v>Working Day</v>
      </c>
      <c r="F612" s="12">
        <v>5</v>
      </c>
      <c r="G612" s="12" t="str">
        <f t="shared" si="28"/>
        <v>Fri</v>
      </c>
      <c r="H612" s="12">
        <v>1</v>
      </c>
      <c r="I612" s="12" t="str">
        <f t="shared" si="29"/>
        <v>mist/cloudy</v>
      </c>
      <c r="J612" s="12">
        <v>0.22</v>
      </c>
      <c r="K612" s="12">
        <v>0.2727</v>
      </c>
      <c r="L612" s="12">
        <v>0.8</v>
      </c>
      <c r="M612" s="12">
        <v>0</v>
      </c>
      <c r="N612" s="12">
        <v>10</v>
      </c>
      <c r="O612" s="12">
        <v>70</v>
      </c>
      <c r="P612" s="13">
        <v>80</v>
      </c>
    </row>
    <row r="613" spans="1:16" x14ac:dyDescent="0.25">
      <c r="A613" s="6">
        <v>612</v>
      </c>
      <c r="B613" s="7">
        <v>40571</v>
      </c>
      <c r="C613" s="8">
        <v>17</v>
      </c>
      <c r="D613" s="8" t="b">
        <v>0</v>
      </c>
      <c r="E613" s="8" t="str">
        <f t="shared" si="27"/>
        <v>Working Day</v>
      </c>
      <c r="F613" s="8">
        <v>5</v>
      </c>
      <c r="G613" s="8" t="str">
        <f t="shared" si="28"/>
        <v>Fri</v>
      </c>
      <c r="H613" s="8">
        <v>1</v>
      </c>
      <c r="I613" s="8" t="str">
        <f t="shared" si="29"/>
        <v>mist/cloudy</v>
      </c>
      <c r="J613" s="8">
        <v>0.24</v>
      </c>
      <c r="K613" s="8">
        <v>0.2424</v>
      </c>
      <c r="L613" s="8">
        <v>0.75</v>
      </c>
      <c r="M613" s="8">
        <v>0.1343</v>
      </c>
      <c r="N613" s="8">
        <v>2</v>
      </c>
      <c r="O613" s="8">
        <v>147</v>
      </c>
      <c r="P613" s="9">
        <v>149</v>
      </c>
    </row>
    <row r="614" spans="1:16" x14ac:dyDescent="0.25">
      <c r="A614" s="10">
        <v>613</v>
      </c>
      <c r="B614" s="11">
        <v>40571</v>
      </c>
      <c r="C614" s="12">
        <v>18</v>
      </c>
      <c r="D614" s="12" t="b">
        <v>0</v>
      </c>
      <c r="E614" s="12" t="str">
        <f t="shared" si="27"/>
        <v>Working Day</v>
      </c>
      <c r="F614" s="12">
        <v>5</v>
      </c>
      <c r="G614" s="12" t="str">
        <f t="shared" si="28"/>
        <v>Fri</v>
      </c>
      <c r="H614" s="12">
        <v>1</v>
      </c>
      <c r="I614" s="12" t="str">
        <f t="shared" si="29"/>
        <v>mist/cloudy</v>
      </c>
      <c r="J614" s="12">
        <v>0.24</v>
      </c>
      <c r="K614" s="12">
        <v>0.2273</v>
      </c>
      <c r="L614" s="12">
        <v>0.75</v>
      </c>
      <c r="M614" s="12">
        <v>0.19400000000000001</v>
      </c>
      <c r="N614" s="12">
        <v>2</v>
      </c>
      <c r="O614" s="12">
        <v>107</v>
      </c>
      <c r="P614" s="13">
        <v>109</v>
      </c>
    </row>
    <row r="615" spans="1:16" x14ac:dyDescent="0.25">
      <c r="A615" s="6">
        <v>614</v>
      </c>
      <c r="B615" s="7">
        <v>40571</v>
      </c>
      <c r="C615" s="8">
        <v>19</v>
      </c>
      <c r="D615" s="8" t="b">
        <v>0</v>
      </c>
      <c r="E615" s="8" t="str">
        <f t="shared" si="27"/>
        <v>Working Day</v>
      </c>
      <c r="F615" s="8">
        <v>5</v>
      </c>
      <c r="G615" s="8" t="str">
        <f t="shared" si="28"/>
        <v>Fri</v>
      </c>
      <c r="H615" s="8">
        <v>2</v>
      </c>
      <c r="I615" s="8" t="str">
        <f t="shared" si="29"/>
        <v>light rain</v>
      </c>
      <c r="J615" s="8">
        <v>0.24</v>
      </c>
      <c r="K615" s="8">
        <v>0.2424</v>
      </c>
      <c r="L615" s="8">
        <v>0.75</v>
      </c>
      <c r="M615" s="8">
        <v>0.1343</v>
      </c>
      <c r="N615" s="8">
        <v>5</v>
      </c>
      <c r="O615" s="8">
        <v>84</v>
      </c>
      <c r="P615" s="9">
        <v>89</v>
      </c>
    </row>
    <row r="616" spans="1:16" x14ac:dyDescent="0.25">
      <c r="A616" s="10">
        <v>615</v>
      </c>
      <c r="B616" s="11">
        <v>40571</v>
      </c>
      <c r="C616" s="12">
        <v>20</v>
      </c>
      <c r="D616" s="12" t="b">
        <v>0</v>
      </c>
      <c r="E616" s="12" t="str">
        <f t="shared" si="27"/>
        <v>Working Day</v>
      </c>
      <c r="F616" s="12">
        <v>5</v>
      </c>
      <c r="G616" s="12" t="str">
        <f t="shared" si="28"/>
        <v>Fri</v>
      </c>
      <c r="H616" s="12">
        <v>2</v>
      </c>
      <c r="I616" s="12" t="str">
        <f t="shared" si="29"/>
        <v>light rain</v>
      </c>
      <c r="J616" s="12">
        <v>0.24</v>
      </c>
      <c r="K616" s="12">
        <v>0.2273</v>
      </c>
      <c r="L616" s="12">
        <v>0.7</v>
      </c>
      <c r="M616" s="12">
        <v>0.19400000000000001</v>
      </c>
      <c r="N616" s="12">
        <v>1</v>
      </c>
      <c r="O616" s="12">
        <v>61</v>
      </c>
      <c r="P616" s="13">
        <v>62</v>
      </c>
    </row>
    <row r="617" spans="1:16" x14ac:dyDescent="0.25">
      <c r="A617" s="6">
        <v>616</v>
      </c>
      <c r="B617" s="7">
        <v>40571</v>
      </c>
      <c r="C617" s="8">
        <v>21</v>
      </c>
      <c r="D617" s="8" t="b">
        <v>0</v>
      </c>
      <c r="E617" s="8" t="str">
        <f t="shared" si="27"/>
        <v>Working Day</v>
      </c>
      <c r="F617" s="8">
        <v>5</v>
      </c>
      <c r="G617" s="8" t="str">
        <f t="shared" si="28"/>
        <v>Fri</v>
      </c>
      <c r="H617" s="8">
        <v>2</v>
      </c>
      <c r="I617" s="8" t="str">
        <f t="shared" si="29"/>
        <v>light rain</v>
      </c>
      <c r="J617" s="8">
        <v>0.22</v>
      </c>
      <c r="K617" s="8">
        <v>0.2273</v>
      </c>
      <c r="L617" s="8">
        <v>0.75</v>
      </c>
      <c r="M617" s="8">
        <v>0.1343</v>
      </c>
      <c r="N617" s="8">
        <v>1</v>
      </c>
      <c r="O617" s="8">
        <v>57</v>
      </c>
      <c r="P617" s="9">
        <v>58</v>
      </c>
    </row>
    <row r="618" spans="1:16" x14ac:dyDescent="0.25">
      <c r="A618" s="10">
        <v>617</v>
      </c>
      <c r="B618" s="11">
        <v>40571</v>
      </c>
      <c r="C618" s="12">
        <v>22</v>
      </c>
      <c r="D618" s="12" t="b">
        <v>0</v>
      </c>
      <c r="E618" s="12" t="str">
        <f t="shared" si="27"/>
        <v>Working Day</v>
      </c>
      <c r="F618" s="12">
        <v>5</v>
      </c>
      <c r="G618" s="12" t="str">
        <f t="shared" si="28"/>
        <v>Fri</v>
      </c>
      <c r="H618" s="12">
        <v>1</v>
      </c>
      <c r="I618" s="12" t="str">
        <f t="shared" si="29"/>
        <v>mist/cloudy</v>
      </c>
      <c r="J618" s="12">
        <v>0.24</v>
      </c>
      <c r="K618" s="12">
        <v>0.21210000000000001</v>
      </c>
      <c r="L618" s="12">
        <v>0.65</v>
      </c>
      <c r="M618" s="12">
        <v>0.35820000000000002</v>
      </c>
      <c r="N618" s="12">
        <v>0</v>
      </c>
      <c r="O618" s="12">
        <v>26</v>
      </c>
      <c r="P618" s="13">
        <v>26</v>
      </c>
    </row>
    <row r="619" spans="1:16" x14ac:dyDescent="0.25">
      <c r="A619" s="6">
        <v>618</v>
      </c>
      <c r="B619" s="7">
        <v>40571</v>
      </c>
      <c r="C619" s="8">
        <v>23</v>
      </c>
      <c r="D619" s="8" t="b">
        <v>0</v>
      </c>
      <c r="E619" s="8" t="str">
        <f t="shared" si="27"/>
        <v>Working Day</v>
      </c>
      <c r="F619" s="8">
        <v>5</v>
      </c>
      <c r="G619" s="8" t="str">
        <f t="shared" si="28"/>
        <v>Fri</v>
      </c>
      <c r="H619" s="8">
        <v>1</v>
      </c>
      <c r="I619" s="8" t="str">
        <f t="shared" si="29"/>
        <v>mist/cloudy</v>
      </c>
      <c r="J619" s="8">
        <v>0.24</v>
      </c>
      <c r="K619" s="8">
        <v>0.2273</v>
      </c>
      <c r="L619" s="8">
        <v>0.6</v>
      </c>
      <c r="M619" s="8">
        <v>0.22389999999999999</v>
      </c>
      <c r="N619" s="8">
        <v>1</v>
      </c>
      <c r="O619" s="8">
        <v>22</v>
      </c>
      <c r="P619" s="9">
        <v>23</v>
      </c>
    </row>
    <row r="620" spans="1:16" x14ac:dyDescent="0.25">
      <c r="A620" s="10">
        <v>619</v>
      </c>
      <c r="B620" s="11">
        <v>40572</v>
      </c>
      <c r="C620" s="12">
        <v>0</v>
      </c>
      <c r="D620" s="12" t="b">
        <v>0</v>
      </c>
      <c r="E620" s="12" t="str">
        <f t="shared" si="27"/>
        <v>Working Day</v>
      </c>
      <c r="F620" s="12">
        <v>6</v>
      </c>
      <c r="G620" s="12" t="str">
        <f t="shared" si="28"/>
        <v>Sat</v>
      </c>
      <c r="H620" s="12">
        <v>1</v>
      </c>
      <c r="I620" s="12" t="str">
        <f t="shared" si="29"/>
        <v>mist/cloudy</v>
      </c>
      <c r="J620" s="12">
        <v>0.22</v>
      </c>
      <c r="K620" s="12">
        <v>0.19700000000000001</v>
      </c>
      <c r="L620" s="12">
        <v>0.64</v>
      </c>
      <c r="M620" s="12">
        <v>0.35820000000000002</v>
      </c>
      <c r="N620" s="12">
        <v>2</v>
      </c>
      <c r="O620" s="12">
        <v>26</v>
      </c>
      <c r="P620" s="13">
        <v>28</v>
      </c>
    </row>
    <row r="621" spans="1:16" x14ac:dyDescent="0.25">
      <c r="A621" s="6">
        <v>620</v>
      </c>
      <c r="B621" s="7">
        <v>40572</v>
      </c>
      <c r="C621" s="8">
        <v>1</v>
      </c>
      <c r="D621" s="8" t="b">
        <v>0</v>
      </c>
      <c r="E621" s="8" t="str">
        <f t="shared" si="27"/>
        <v>Working Day</v>
      </c>
      <c r="F621" s="8">
        <v>6</v>
      </c>
      <c r="G621" s="8" t="str">
        <f t="shared" si="28"/>
        <v>Sat</v>
      </c>
      <c r="H621" s="8">
        <v>1</v>
      </c>
      <c r="I621" s="8" t="str">
        <f t="shared" si="29"/>
        <v>mist/cloudy</v>
      </c>
      <c r="J621" s="8">
        <v>0.22</v>
      </c>
      <c r="K621" s="8">
        <v>0.2273</v>
      </c>
      <c r="L621" s="8">
        <v>0.64</v>
      </c>
      <c r="M621" s="8">
        <v>0.19400000000000001</v>
      </c>
      <c r="N621" s="8">
        <v>0</v>
      </c>
      <c r="O621" s="8">
        <v>20</v>
      </c>
      <c r="P621" s="9">
        <v>20</v>
      </c>
    </row>
    <row r="622" spans="1:16" x14ac:dyDescent="0.25">
      <c r="A622" s="10">
        <v>621</v>
      </c>
      <c r="B622" s="11">
        <v>40572</v>
      </c>
      <c r="C622" s="12">
        <v>2</v>
      </c>
      <c r="D622" s="12" t="b">
        <v>0</v>
      </c>
      <c r="E622" s="12" t="str">
        <f t="shared" si="27"/>
        <v>Working Day</v>
      </c>
      <c r="F622" s="12">
        <v>6</v>
      </c>
      <c r="G622" s="12" t="str">
        <f t="shared" si="28"/>
        <v>Sat</v>
      </c>
      <c r="H622" s="12">
        <v>1</v>
      </c>
      <c r="I622" s="12" t="str">
        <f t="shared" si="29"/>
        <v>mist/cloudy</v>
      </c>
      <c r="J622" s="12">
        <v>0.22</v>
      </c>
      <c r="K622" s="12">
        <v>0.2273</v>
      </c>
      <c r="L622" s="12">
        <v>0.64</v>
      </c>
      <c r="M622" s="12">
        <v>0.16420000000000001</v>
      </c>
      <c r="N622" s="12">
        <v>0</v>
      </c>
      <c r="O622" s="12">
        <v>15</v>
      </c>
      <c r="P622" s="13">
        <v>15</v>
      </c>
    </row>
    <row r="623" spans="1:16" x14ac:dyDescent="0.25">
      <c r="A623" s="6">
        <v>622</v>
      </c>
      <c r="B623" s="7">
        <v>40572</v>
      </c>
      <c r="C623" s="8">
        <v>3</v>
      </c>
      <c r="D623" s="8" t="b">
        <v>0</v>
      </c>
      <c r="E623" s="8" t="str">
        <f t="shared" si="27"/>
        <v>Working Day</v>
      </c>
      <c r="F623" s="8">
        <v>6</v>
      </c>
      <c r="G623" s="8" t="str">
        <f t="shared" si="28"/>
        <v>Sat</v>
      </c>
      <c r="H623" s="8">
        <v>1</v>
      </c>
      <c r="I623" s="8" t="str">
        <f t="shared" si="29"/>
        <v>mist/cloudy</v>
      </c>
      <c r="J623" s="8">
        <v>0.2</v>
      </c>
      <c r="K623" s="8">
        <v>0.21210000000000001</v>
      </c>
      <c r="L623" s="8">
        <v>0.64</v>
      </c>
      <c r="M623" s="8">
        <v>0.1343</v>
      </c>
      <c r="N623" s="8">
        <v>3</v>
      </c>
      <c r="O623" s="8">
        <v>5</v>
      </c>
      <c r="P623" s="9">
        <v>8</v>
      </c>
    </row>
    <row r="624" spans="1:16" x14ac:dyDescent="0.25">
      <c r="A624" s="10">
        <v>623</v>
      </c>
      <c r="B624" s="11">
        <v>40572</v>
      </c>
      <c r="C624" s="12">
        <v>4</v>
      </c>
      <c r="D624" s="12" t="b">
        <v>0</v>
      </c>
      <c r="E624" s="12" t="str">
        <f t="shared" si="27"/>
        <v>Working Day</v>
      </c>
      <c r="F624" s="12">
        <v>6</v>
      </c>
      <c r="G624" s="12" t="str">
        <f t="shared" si="28"/>
        <v>Sat</v>
      </c>
      <c r="H624" s="12">
        <v>1</v>
      </c>
      <c r="I624" s="12" t="str">
        <f t="shared" si="29"/>
        <v>mist/cloudy</v>
      </c>
      <c r="J624" s="12">
        <v>0.16</v>
      </c>
      <c r="K624" s="12">
        <v>0.18179999999999999</v>
      </c>
      <c r="L624" s="12">
        <v>0.69</v>
      </c>
      <c r="M624" s="12">
        <v>0.1045</v>
      </c>
      <c r="N624" s="12">
        <v>1</v>
      </c>
      <c r="O624" s="12">
        <v>2</v>
      </c>
      <c r="P624" s="13">
        <v>3</v>
      </c>
    </row>
    <row r="625" spans="1:16" x14ac:dyDescent="0.25">
      <c r="A625" s="6">
        <v>624</v>
      </c>
      <c r="B625" s="7">
        <v>40572</v>
      </c>
      <c r="C625" s="8">
        <v>6</v>
      </c>
      <c r="D625" s="8" t="b">
        <v>0</v>
      </c>
      <c r="E625" s="8" t="str">
        <f t="shared" si="27"/>
        <v>Working Day</v>
      </c>
      <c r="F625" s="8">
        <v>6</v>
      </c>
      <c r="G625" s="8" t="str">
        <f t="shared" si="28"/>
        <v>Sat</v>
      </c>
      <c r="H625" s="8">
        <v>1</v>
      </c>
      <c r="I625" s="8" t="str">
        <f t="shared" si="29"/>
        <v>mist/cloudy</v>
      </c>
      <c r="J625" s="8">
        <v>0.16</v>
      </c>
      <c r="K625" s="8">
        <v>0.18179999999999999</v>
      </c>
      <c r="L625" s="8">
        <v>0.64</v>
      </c>
      <c r="M625" s="8">
        <v>0.1343</v>
      </c>
      <c r="N625" s="8">
        <v>0</v>
      </c>
      <c r="O625" s="8">
        <v>2</v>
      </c>
      <c r="P625" s="9">
        <v>2</v>
      </c>
    </row>
    <row r="626" spans="1:16" x14ac:dyDescent="0.25">
      <c r="A626" s="10">
        <v>625</v>
      </c>
      <c r="B626" s="11">
        <v>40572</v>
      </c>
      <c r="C626" s="12">
        <v>7</v>
      </c>
      <c r="D626" s="12" t="b">
        <v>0</v>
      </c>
      <c r="E626" s="12" t="str">
        <f t="shared" si="27"/>
        <v>Working Day</v>
      </c>
      <c r="F626" s="12">
        <v>6</v>
      </c>
      <c r="G626" s="12" t="str">
        <f t="shared" si="28"/>
        <v>Sat</v>
      </c>
      <c r="H626" s="12">
        <v>1</v>
      </c>
      <c r="I626" s="12" t="str">
        <f t="shared" si="29"/>
        <v>mist/cloudy</v>
      </c>
      <c r="J626" s="12">
        <v>0.16</v>
      </c>
      <c r="K626" s="12">
        <v>0.18179999999999999</v>
      </c>
      <c r="L626" s="12">
        <v>0.59</v>
      </c>
      <c r="M626" s="12">
        <v>0.1045</v>
      </c>
      <c r="N626" s="12">
        <v>1</v>
      </c>
      <c r="O626" s="12">
        <v>4</v>
      </c>
      <c r="P626" s="13">
        <v>5</v>
      </c>
    </row>
    <row r="627" spans="1:16" x14ac:dyDescent="0.25">
      <c r="A627" s="6">
        <v>626</v>
      </c>
      <c r="B627" s="7">
        <v>40572</v>
      </c>
      <c r="C627" s="8">
        <v>8</v>
      </c>
      <c r="D627" s="8" t="b">
        <v>0</v>
      </c>
      <c r="E627" s="8" t="str">
        <f t="shared" si="27"/>
        <v>Working Day</v>
      </c>
      <c r="F627" s="8">
        <v>6</v>
      </c>
      <c r="G627" s="8" t="str">
        <f t="shared" si="28"/>
        <v>Sat</v>
      </c>
      <c r="H627" s="8">
        <v>1</v>
      </c>
      <c r="I627" s="8" t="str">
        <f t="shared" si="29"/>
        <v>mist/cloudy</v>
      </c>
      <c r="J627" s="8">
        <v>0.18</v>
      </c>
      <c r="K627" s="8">
        <v>0.19700000000000001</v>
      </c>
      <c r="L627" s="8">
        <v>0.55000000000000004</v>
      </c>
      <c r="M627" s="8">
        <v>0.16420000000000001</v>
      </c>
      <c r="N627" s="8">
        <v>3</v>
      </c>
      <c r="O627" s="8">
        <v>31</v>
      </c>
      <c r="P627" s="9">
        <v>34</v>
      </c>
    </row>
    <row r="628" spans="1:16" x14ac:dyDescent="0.25">
      <c r="A628" s="10">
        <v>627</v>
      </c>
      <c r="B628" s="11">
        <v>40572</v>
      </c>
      <c r="C628" s="12">
        <v>9</v>
      </c>
      <c r="D628" s="12" t="b">
        <v>0</v>
      </c>
      <c r="E628" s="12" t="str">
        <f t="shared" si="27"/>
        <v>Working Day</v>
      </c>
      <c r="F628" s="12">
        <v>6</v>
      </c>
      <c r="G628" s="12" t="str">
        <f t="shared" si="28"/>
        <v>Sat</v>
      </c>
      <c r="H628" s="12">
        <v>1</v>
      </c>
      <c r="I628" s="12" t="str">
        <f t="shared" si="29"/>
        <v>mist/cloudy</v>
      </c>
      <c r="J628" s="12">
        <v>0.18</v>
      </c>
      <c r="K628" s="12">
        <v>0.21210000000000001</v>
      </c>
      <c r="L628" s="12">
        <v>0.59</v>
      </c>
      <c r="M628" s="12">
        <v>8.9599999999999999E-2</v>
      </c>
      <c r="N628" s="12">
        <v>0</v>
      </c>
      <c r="O628" s="12">
        <v>34</v>
      </c>
      <c r="P628" s="13">
        <v>34</v>
      </c>
    </row>
    <row r="629" spans="1:16" x14ac:dyDescent="0.25">
      <c r="A629" s="6">
        <v>628</v>
      </c>
      <c r="B629" s="7">
        <v>40572</v>
      </c>
      <c r="C629" s="8">
        <v>10</v>
      </c>
      <c r="D629" s="8" t="b">
        <v>0</v>
      </c>
      <c r="E629" s="8" t="str">
        <f t="shared" si="27"/>
        <v>Working Day</v>
      </c>
      <c r="F629" s="8">
        <v>6</v>
      </c>
      <c r="G629" s="8" t="str">
        <f t="shared" si="28"/>
        <v>Sat</v>
      </c>
      <c r="H629" s="8">
        <v>2</v>
      </c>
      <c r="I629" s="8" t="str">
        <f t="shared" si="29"/>
        <v>light rain</v>
      </c>
      <c r="J629" s="8">
        <v>0.18</v>
      </c>
      <c r="K629" s="8">
        <v>0.21210000000000001</v>
      </c>
      <c r="L629" s="8">
        <v>0.64</v>
      </c>
      <c r="M629" s="8">
        <v>0.1045</v>
      </c>
      <c r="N629" s="8">
        <v>4</v>
      </c>
      <c r="O629" s="8">
        <v>51</v>
      </c>
      <c r="P629" s="9">
        <v>55</v>
      </c>
    </row>
    <row r="630" spans="1:16" x14ac:dyDescent="0.25">
      <c r="A630" s="10">
        <v>629</v>
      </c>
      <c r="B630" s="11">
        <v>40572</v>
      </c>
      <c r="C630" s="12">
        <v>11</v>
      </c>
      <c r="D630" s="12" t="b">
        <v>0</v>
      </c>
      <c r="E630" s="12" t="str">
        <f t="shared" si="27"/>
        <v>Working Day</v>
      </c>
      <c r="F630" s="12">
        <v>6</v>
      </c>
      <c r="G630" s="12" t="str">
        <f t="shared" si="28"/>
        <v>Sat</v>
      </c>
      <c r="H630" s="12">
        <v>2</v>
      </c>
      <c r="I630" s="12" t="str">
        <f t="shared" si="29"/>
        <v>light rain</v>
      </c>
      <c r="J630" s="12">
        <v>0.18</v>
      </c>
      <c r="K630" s="12">
        <v>0.19700000000000001</v>
      </c>
      <c r="L630" s="12">
        <v>0.64</v>
      </c>
      <c r="M630" s="12">
        <v>0.1343</v>
      </c>
      <c r="N630" s="12">
        <v>4</v>
      </c>
      <c r="O630" s="12">
        <v>60</v>
      </c>
      <c r="P630" s="13">
        <v>64</v>
      </c>
    </row>
    <row r="631" spans="1:16" x14ac:dyDescent="0.25">
      <c r="A631" s="6">
        <v>630</v>
      </c>
      <c r="B631" s="7">
        <v>40572</v>
      </c>
      <c r="C631" s="8">
        <v>12</v>
      </c>
      <c r="D631" s="8" t="b">
        <v>0</v>
      </c>
      <c r="E631" s="8" t="str">
        <f t="shared" si="27"/>
        <v>Working Day</v>
      </c>
      <c r="F631" s="8">
        <v>6</v>
      </c>
      <c r="G631" s="8" t="str">
        <f t="shared" si="28"/>
        <v>Sat</v>
      </c>
      <c r="H631" s="8">
        <v>2</v>
      </c>
      <c r="I631" s="8" t="str">
        <f t="shared" si="29"/>
        <v>light rain</v>
      </c>
      <c r="J631" s="8">
        <v>0.2</v>
      </c>
      <c r="K631" s="8">
        <v>0.19700000000000001</v>
      </c>
      <c r="L631" s="8">
        <v>0.59</v>
      </c>
      <c r="M631" s="8">
        <v>0.19400000000000001</v>
      </c>
      <c r="N631" s="8">
        <v>12</v>
      </c>
      <c r="O631" s="8">
        <v>66</v>
      </c>
      <c r="P631" s="9">
        <v>78</v>
      </c>
    </row>
    <row r="632" spans="1:16" x14ac:dyDescent="0.25">
      <c r="A632" s="10">
        <v>631</v>
      </c>
      <c r="B632" s="11">
        <v>40572</v>
      </c>
      <c r="C632" s="12">
        <v>13</v>
      </c>
      <c r="D632" s="12" t="b">
        <v>0</v>
      </c>
      <c r="E632" s="12" t="str">
        <f t="shared" si="27"/>
        <v>Working Day</v>
      </c>
      <c r="F632" s="12">
        <v>6</v>
      </c>
      <c r="G632" s="12" t="str">
        <f t="shared" si="28"/>
        <v>Sat</v>
      </c>
      <c r="H632" s="12">
        <v>2</v>
      </c>
      <c r="I632" s="12" t="str">
        <f t="shared" si="29"/>
        <v>light rain</v>
      </c>
      <c r="J632" s="12">
        <v>0.22</v>
      </c>
      <c r="K632" s="12">
        <v>0.2273</v>
      </c>
      <c r="L632" s="12">
        <v>0.55000000000000004</v>
      </c>
      <c r="M632" s="12">
        <v>0.16420000000000001</v>
      </c>
      <c r="N632" s="12">
        <v>9</v>
      </c>
      <c r="O632" s="12">
        <v>56</v>
      </c>
      <c r="P632" s="13">
        <v>65</v>
      </c>
    </row>
    <row r="633" spans="1:16" x14ac:dyDescent="0.25">
      <c r="A633" s="6">
        <v>632</v>
      </c>
      <c r="B633" s="7">
        <v>40572</v>
      </c>
      <c r="C633" s="8">
        <v>14</v>
      </c>
      <c r="D633" s="8" t="b">
        <v>0</v>
      </c>
      <c r="E633" s="8" t="str">
        <f t="shared" si="27"/>
        <v>Working Day</v>
      </c>
      <c r="F633" s="8">
        <v>6</v>
      </c>
      <c r="G633" s="8" t="str">
        <f t="shared" si="28"/>
        <v>Sat</v>
      </c>
      <c r="H633" s="8">
        <v>2</v>
      </c>
      <c r="I633" s="8" t="str">
        <f t="shared" si="29"/>
        <v>light rain</v>
      </c>
      <c r="J633" s="8">
        <v>0.22</v>
      </c>
      <c r="K633" s="8">
        <v>0.2273</v>
      </c>
      <c r="L633" s="8">
        <v>0.6</v>
      </c>
      <c r="M633" s="8">
        <v>0.1343</v>
      </c>
      <c r="N633" s="8">
        <v>10</v>
      </c>
      <c r="O633" s="8">
        <v>89</v>
      </c>
      <c r="P633" s="9">
        <v>99</v>
      </c>
    </row>
    <row r="634" spans="1:16" x14ac:dyDescent="0.25">
      <c r="A634" s="10">
        <v>633</v>
      </c>
      <c r="B634" s="11">
        <v>40572</v>
      </c>
      <c r="C634" s="12">
        <v>15</v>
      </c>
      <c r="D634" s="12" t="b">
        <v>0</v>
      </c>
      <c r="E634" s="12" t="str">
        <f t="shared" si="27"/>
        <v>Working Day</v>
      </c>
      <c r="F634" s="12">
        <v>6</v>
      </c>
      <c r="G634" s="12" t="str">
        <f t="shared" si="28"/>
        <v>Sat</v>
      </c>
      <c r="H634" s="12">
        <v>1</v>
      </c>
      <c r="I634" s="12" t="str">
        <f t="shared" si="29"/>
        <v>mist/cloudy</v>
      </c>
      <c r="J634" s="12">
        <v>0.22</v>
      </c>
      <c r="K634" s="12">
        <v>0.21210000000000001</v>
      </c>
      <c r="L634" s="12">
        <v>0.69</v>
      </c>
      <c r="M634" s="12">
        <v>0.25369999999999998</v>
      </c>
      <c r="N634" s="12">
        <v>22</v>
      </c>
      <c r="O634" s="12">
        <v>98</v>
      </c>
      <c r="P634" s="13">
        <v>120</v>
      </c>
    </row>
    <row r="635" spans="1:16" x14ac:dyDescent="0.25">
      <c r="A635" s="6">
        <v>634</v>
      </c>
      <c r="B635" s="7">
        <v>40572</v>
      </c>
      <c r="C635" s="8">
        <v>16</v>
      </c>
      <c r="D635" s="8" t="b">
        <v>0</v>
      </c>
      <c r="E635" s="8" t="str">
        <f t="shared" si="27"/>
        <v>Working Day</v>
      </c>
      <c r="F635" s="8">
        <v>6</v>
      </c>
      <c r="G635" s="8" t="str">
        <f t="shared" si="28"/>
        <v>Sat</v>
      </c>
      <c r="H635" s="8">
        <v>1</v>
      </c>
      <c r="I635" s="8" t="str">
        <f t="shared" si="29"/>
        <v>mist/cloudy</v>
      </c>
      <c r="J635" s="8">
        <v>0.24</v>
      </c>
      <c r="K635" s="8">
        <v>0.2424</v>
      </c>
      <c r="L635" s="8">
        <v>0.6</v>
      </c>
      <c r="M635" s="8">
        <v>0.16420000000000001</v>
      </c>
      <c r="N635" s="8">
        <v>19</v>
      </c>
      <c r="O635" s="8">
        <v>88</v>
      </c>
      <c r="P635" s="9">
        <v>107</v>
      </c>
    </row>
    <row r="636" spans="1:16" x14ac:dyDescent="0.25">
      <c r="A636" s="10">
        <v>635</v>
      </c>
      <c r="B636" s="11">
        <v>40572</v>
      </c>
      <c r="C636" s="12">
        <v>17</v>
      </c>
      <c r="D636" s="12" t="b">
        <v>0</v>
      </c>
      <c r="E636" s="12" t="str">
        <f t="shared" si="27"/>
        <v>Working Day</v>
      </c>
      <c r="F636" s="12">
        <v>6</v>
      </c>
      <c r="G636" s="12" t="str">
        <f t="shared" si="28"/>
        <v>Sat</v>
      </c>
      <c r="H636" s="12">
        <v>1</v>
      </c>
      <c r="I636" s="12" t="str">
        <f t="shared" si="29"/>
        <v>mist/cloudy</v>
      </c>
      <c r="J636" s="12">
        <v>0.24</v>
      </c>
      <c r="K636" s="12">
        <v>0.28789999999999999</v>
      </c>
      <c r="L636" s="12">
        <v>0.6</v>
      </c>
      <c r="M636" s="12">
        <v>0</v>
      </c>
      <c r="N636" s="12">
        <v>9</v>
      </c>
      <c r="O636" s="12">
        <v>82</v>
      </c>
      <c r="P636" s="13">
        <v>91</v>
      </c>
    </row>
    <row r="637" spans="1:16" x14ac:dyDescent="0.25">
      <c r="A637" s="6">
        <v>636</v>
      </c>
      <c r="B637" s="7">
        <v>40572</v>
      </c>
      <c r="C637" s="8">
        <v>18</v>
      </c>
      <c r="D637" s="8" t="b">
        <v>0</v>
      </c>
      <c r="E637" s="8" t="str">
        <f t="shared" si="27"/>
        <v>Working Day</v>
      </c>
      <c r="F637" s="8">
        <v>6</v>
      </c>
      <c r="G637" s="8" t="str">
        <f t="shared" si="28"/>
        <v>Sat</v>
      </c>
      <c r="H637" s="8">
        <v>1</v>
      </c>
      <c r="I637" s="8" t="str">
        <f t="shared" si="29"/>
        <v>mist/cloudy</v>
      </c>
      <c r="J637" s="8">
        <v>0.22</v>
      </c>
      <c r="K637" s="8">
        <v>0.2273</v>
      </c>
      <c r="L637" s="8">
        <v>0.69</v>
      </c>
      <c r="M637" s="8">
        <v>0.1343</v>
      </c>
      <c r="N637" s="8">
        <v>9</v>
      </c>
      <c r="O637" s="8">
        <v>59</v>
      </c>
      <c r="P637" s="9">
        <v>68</v>
      </c>
    </row>
    <row r="638" spans="1:16" x14ac:dyDescent="0.25">
      <c r="A638" s="10">
        <v>637</v>
      </c>
      <c r="B638" s="11">
        <v>40572</v>
      </c>
      <c r="C638" s="12">
        <v>19</v>
      </c>
      <c r="D638" s="12" t="b">
        <v>0</v>
      </c>
      <c r="E638" s="12" t="str">
        <f t="shared" si="27"/>
        <v>Working Day</v>
      </c>
      <c r="F638" s="12">
        <v>6</v>
      </c>
      <c r="G638" s="12" t="str">
        <f t="shared" si="28"/>
        <v>Sat</v>
      </c>
      <c r="H638" s="12">
        <v>2</v>
      </c>
      <c r="I638" s="12" t="str">
        <f t="shared" si="29"/>
        <v>light rain</v>
      </c>
      <c r="J638" s="12">
        <v>0.22</v>
      </c>
      <c r="K638" s="12">
        <v>0.21210000000000001</v>
      </c>
      <c r="L638" s="12">
        <v>0.69</v>
      </c>
      <c r="M638" s="12">
        <v>0.25369999999999998</v>
      </c>
      <c r="N638" s="12">
        <v>6</v>
      </c>
      <c r="O638" s="12">
        <v>52</v>
      </c>
      <c r="P638" s="13">
        <v>58</v>
      </c>
    </row>
    <row r="639" spans="1:16" x14ac:dyDescent="0.25">
      <c r="A639" s="6">
        <v>638</v>
      </c>
      <c r="B639" s="7">
        <v>40572</v>
      </c>
      <c r="C639" s="8">
        <v>20</v>
      </c>
      <c r="D639" s="8" t="b">
        <v>0</v>
      </c>
      <c r="E639" s="8" t="str">
        <f t="shared" si="27"/>
        <v>Working Day</v>
      </c>
      <c r="F639" s="8">
        <v>6</v>
      </c>
      <c r="G639" s="8" t="str">
        <f t="shared" si="28"/>
        <v>Sat</v>
      </c>
      <c r="H639" s="8">
        <v>1</v>
      </c>
      <c r="I639" s="8" t="str">
        <f t="shared" si="29"/>
        <v>mist/cloudy</v>
      </c>
      <c r="J639" s="8">
        <v>0.18</v>
      </c>
      <c r="K639" s="8">
        <v>0.21210000000000001</v>
      </c>
      <c r="L639" s="8">
        <v>0.74</v>
      </c>
      <c r="M639" s="8">
        <v>8.9599999999999999E-2</v>
      </c>
      <c r="N639" s="8">
        <v>1</v>
      </c>
      <c r="O639" s="8">
        <v>42</v>
      </c>
      <c r="P639" s="9">
        <v>43</v>
      </c>
    </row>
    <row r="640" spans="1:16" x14ac:dyDescent="0.25">
      <c r="A640" s="10">
        <v>639</v>
      </c>
      <c r="B640" s="11">
        <v>40572</v>
      </c>
      <c r="C640" s="12">
        <v>21</v>
      </c>
      <c r="D640" s="12" t="b">
        <v>0</v>
      </c>
      <c r="E640" s="12" t="str">
        <f t="shared" si="27"/>
        <v>Working Day</v>
      </c>
      <c r="F640" s="12">
        <v>6</v>
      </c>
      <c r="G640" s="12" t="str">
        <f t="shared" si="28"/>
        <v>Sat</v>
      </c>
      <c r="H640" s="12">
        <v>1</v>
      </c>
      <c r="I640" s="12" t="str">
        <f t="shared" si="29"/>
        <v>mist/cloudy</v>
      </c>
      <c r="J640" s="12">
        <v>0.18</v>
      </c>
      <c r="K640" s="12">
        <v>0.21210000000000001</v>
      </c>
      <c r="L640" s="12">
        <v>0.74</v>
      </c>
      <c r="M640" s="12">
        <v>8.9599999999999999E-2</v>
      </c>
      <c r="N640" s="12">
        <v>1</v>
      </c>
      <c r="O640" s="12">
        <v>35</v>
      </c>
      <c r="P640" s="13">
        <v>36</v>
      </c>
    </row>
    <row r="641" spans="1:16" x14ac:dyDescent="0.25">
      <c r="A641" s="6">
        <v>640</v>
      </c>
      <c r="B641" s="7">
        <v>40572</v>
      </c>
      <c r="C641" s="8">
        <v>22</v>
      </c>
      <c r="D641" s="8" t="b">
        <v>0</v>
      </c>
      <c r="E641" s="8" t="str">
        <f t="shared" si="27"/>
        <v>Working Day</v>
      </c>
      <c r="F641" s="8">
        <v>6</v>
      </c>
      <c r="G641" s="8" t="str">
        <f t="shared" si="28"/>
        <v>Sat</v>
      </c>
      <c r="H641" s="8">
        <v>1</v>
      </c>
      <c r="I641" s="8" t="str">
        <f t="shared" si="29"/>
        <v>mist/cloudy</v>
      </c>
      <c r="J641" s="8">
        <v>0.16</v>
      </c>
      <c r="K641" s="8">
        <v>0.19700000000000001</v>
      </c>
      <c r="L641" s="8">
        <v>0.8</v>
      </c>
      <c r="M641" s="8">
        <v>8.9599999999999999E-2</v>
      </c>
      <c r="N641" s="8">
        <v>4</v>
      </c>
      <c r="O641" s="8">
        <v>28</v>
      </c>
      <c r="P641" s="9">
        <v>32</v>
      </c>
    </row>
    <row r="642" spans="1:16" x14ac:dyDescent="0.25">
      <c r="A642" s="10">
        <v>641</v>
      </c>
      <c r="B642" s="11">
        <v>40572</v>
      </c>
      <c r="C642" s="12">
        <v>23</v>
      </c>
      <c r="D642" s="12" t="b">
        <v>0</v>
      </c>
      <c r="E642" s="12" t="str">
        <f t="shared" ref="E642:E705" si="30">IF(D642=FALSE,"Working Day","Holiday")</f>
        <v>Working Day</v>
      </c>
      <c r="F642" s="12">
        <v>6</v>
      </c>
      <c r="G642" s="12" t="str">
        <f t="shared" ref="G642:G705" si="31">TEXT(F642+1, "ddd")</f>
        <v>Sat</v>
      </c>
      <c r="H642" s="12">
        <v>1</v>
      </c>
      <c r="I642" s="12" t="str">
        <f t="shared" si="29"/>
        <v>mist/cloudy</v>
      </c>
      <c r="J642" s="12">
        <v>0.16</v>
      </c>
      <c r="K642" s="12">
        <v>0.19700000000000001</v>
      </c>
      <c r="L642" s="12">
        <v>0.8</v>
      </c>
      <c r="M642" s="12">
        <v>8.9599999999999999E-2</v>
      </c>
      <c r="N642" s="12">
        <v>3</v>
      </c>
      <c r="O642" s="12">
        <v>30</v>
      </c>
      <c r="P642" s="13">
        <v>33</v>
      </c>
    </row>
    <row r="643" spans="1:16" x14ac:dyDescent="0.25">
      <c r="A643" s="6">
        <v>642</v>
      </c>
      <c r="B643" s="7">
        <v>40573</v>
      </c>
      <c r="C643" s="8">
        <v>0</v>
      </c>
      <c r="D643" s="8" t="b">
        <v>0</v>
      </c>
      <c r="E643" s="8" t="str">
        <f t="shared" si="30"/>
        <v>Working Day</v>
      </c>
      <c r="F643" s="8">
        <v>0</v>
      </c>
      <c r="G643" s="8" t="str">
        <f t="shared" si="31"/>
        <v>Sun</v>
      </c>
      <c r="H643" s="8">
        <v>1</v>
      </c>
      <c r="I643" s="8" t="str">
        <f t="shared" ref="I643:I706" si="32">IF(H643=0, "clear", IF(H643=1, "mist/cloudy", IF(H643=2, "light rain", IF(H643=3, "heavy rain", IF(H643=4, "extreme weather condition", "Unknown")))))</f>
        <v>mist/cloudy</v>
      </c>
      <c r="J643" s="8">
        <v>0.16</v>
      </c>
      <c r="K643" s="8">
        <v>0.18179999999999999</v>
      </c>
      <c r="L643" s="8">
        <v>0.8</v>
      </c>
      <c r="M643" s="8">
        <v>0.1045</v>
      </c>
      <c r="N643" s="8">
        <v>0</v>
      </c>
      <c r="O643" s="8">
        <v>33</v>
      </c>
      <c r="P643" s="9">
        <v>33</v>
      </c>
    </row>
    <row r="644" spans="1:16" x14ac:dyDescent="0.25">
      <c r="A644" s="10">
        <v>643</v>
      </c>
      <c r="B644" s="11">
        <v>40573</v>
      </c>
      <c r="C644" s="12">
        <v>1</v>
      </c>
      <c r="D644" s="12" t="b">
        <v>0</v>
      </c>
      <c r="E644" s="12" t="str">
        <f t="shared" si="30"/>
        <v>Working Day</v>
      </c>
      <c r="F644" s="12">
        <v>0</v>
      </c>
      <c r="G644" s="12" t="str">
        <f t="shared" si="31"/>
        <v>Sun</v>
      </c>
      <c r="H644" s="12">
        <v>1</v>
      </c>
      <c r="I644" s="12" t="str">
        <f t="shared" si="32"/>
        <v>mist/cloudy</v>
      </c>
      <c r="J644" s="12">
        <v>0.14000000000000001</v>
      </c>
      <c r="K644" s="12">
        <v>0.21210000000000001</v>
      </c>
      <c r="L644" s="12">
        <v>0.8</v>
      </c>
      <c r="M644" s="12">
        <v>0</v>
      </c>
      <c r="N644" s="12">
        <v>7</v>
      </c>
      <c r="O644" s="12">
        <v>22</v>
      </c>
      <c r="P644" s="13">
        <v>29</v>
      </c>
    </row>
    <row r="645" spans="1:16" x14ac:dyDescent="0.25">
      <c r="A645" s="6">
        <v>644</v>
      </c>
      <c r="B645" s="7">
        <v>40573</v>
      </c>
      <c r="C645" s="8">
        <v>2</v>
      </c>
      <c r="D645" s="8" t="b">
        <v>0</v>
      </c>
      <c r="E645" s="8" t="str">
        <f t="shared" si="30"/>
        <v>Working Day</v>
      </c>
      <c r="F645" s="8">
        <v>0</v>
      </c>
      <c r="G645" s="8" t="str">
        <f t="shared" si="31"/>
        <v>Sun</v>
      </c>
      <c r="H645" s="8">
        <v>1</v>
      </c>
      <c r="I645" s="8" t="str">
        <f t="shared" si="32"/>
        <v>mist/cloudy</v>
      </c>
      <c r="J645" s="8">
        <v>0.16</v>
      </c>
      <c r="K645" s="8">
        <v>0.2273</v>
      </c>
      <c r="L645" s="8">
        <v>0.8</v>
      </c>
      <c r="M645" s="8">
        <v>0</v>
      </c>
      <c r="N645" s="8">
        <v>1</v>
      </c>
      <c r="O645" s="8">
        <v>10</v>
      </c>
      <c r="P645" s="9">
        <v>11</v>
      </c>
    </row>
    <row r="646" spans="1:16" x14ac:dyDescent="0.25">
      <c r="A646" s="10">
        <v>645</v>
      </c>
      <c r="B646" s="11">
        <v>40573</v>
      </c>
      <c r="C646" s="12">
        <v>3</v>
      </c>
      <c r="D646" s="12" t="b">
        <v>0</v>
      </c>
      <c r="E646" s="12" t="str">
        <f t="shared" si="30"/>
        <v>Working Day</v>
      </c>
      <c r="F646" s="12">
        <v>0</v>
      </c>
      <c r="G646" s="12" t="str">
        <f t="shared" si="31"/>
        <v>Sun</v>
      </c>
      <c r="H646" s="12">
        <v>1</v>
      </c>
      <c r="I646" s="12" t="str">
        <f t="shared" si="32"/>
        <v>mist/cloudy</v>
      </c>
      <c r="J646" s="12">
        <v>0.14000000000000001</v>
      </c>
      <c r="K646" s="12">
        <v>0.21210000000000001</v>
      </c>
      <c r="L646" s="12">
        <v>0.93</v>
      </c>
      <c r="M646" s="12">
        <v>0</v>
      </c>
      <c r="N646" s="12">
        <v>1</v>
      </c>
      <c r="O646" s="12">
        <v>7</v>
      </c>
      <c r="P646" s="13">
        <v>8</v>
      </c>
    </row>
    <row r="647" spans="1:16" x14ac:dyDescent="0.25">
      <c r="A647" s="6">
        <v>646</v>
      </c>
      <c r="B647" s="7">
        <v>40573</v>
      </c>
      <c r="C647" s="8">
        <v>4</v>
      </c>
      <c r="D647" s="8" t="b">
        <v>0</v>
      </c>
      <c r="E647" s="8" t="str">
        <f t="shared" si="30"/>
        <v>Working Day</v>
      </c>
      <c r="F647" s="8">
        <v>0</v>
      </c>
      <c r="G647" s="8" t="str">
        <f t="shared" si="31"/>
        <v>Sun</v>
      </c>
      <c r="H647" s="8">
        <v>1</v>
      </c>
      <c r="I647" s="8" t="str">
        <f t="shared" si="32"/>
        <v>mist/cloudy</v>
      </c>
      <c r="J647" s="8">
        <v>0.14000000000000001</v>
      </c>
      <c r="K647" s="8">
        <v>0.21210000000000001</v>
      </c>
      <c r="L647" s="8">
        <v>0.93</v>
      </c>
      <c r="M647" s="8">
        <v>0</v>
      </c>
      <c r="N647" s="8">
        <v>0</v>
      </c>
      <c r="O647" s="8">
        <v>1</v>
      </c>
      <c r="P647" s="9">
        <v>1</v>
      </c>
    </row>
    <row r="648" spans="1:16" x14ac:dyDescent="0.25">
      <c r="A648" s="10">
        <v>647</v>
      </c>
      <c r="B648" s="11">
        <v>40573</v>
      </c>
      <c r="C648" s="12">
        <v>5</v>
      </c>
      <c r="D648" s="12" t="b">
        <v>0</v>
      </c>
      <c r="E648" s="12" t="str">
        <f t="shared" si="30"/>
        <v>Working Day</v>
      </c>
      <c r="F648" s="12">
        <v>0</v>
      </c>
      <c r="G648" s="12" t="str">
        <f t="shared" si="31"/>
        <v>Sun</v>
      </c>
      <c r="H648" s="12">
        <v>1</v>
      </c>
      <c r="I648" s="12" t="str">
        <f t="shared" si="32"/>
        <v>mist/cloudy</v>
      </c>
      <c r="J648" s="12">
        <v>0.14000000000000001</v>
      </c>
      <c r="K648" s="12">
        <v>0.21210000000000001</v>
      </c>
      <c r="L648" s="12">
        <v>0.86</v>
      </c>
      <c r="M648" s="12">
        <v>0</v>
      </c>
      <c r="N648" s="12">
        <v>0</v>
      </c>
      <c r="O648" s="12">
        <v>3</v>
      </c>
      <c r="P648" s="13">
        <v>3</v>
      </c>
    </row>
    <row r="649" spans="1:16" x14ac:dyDescent="0.25">
      <c r="A649" s="6">
        <v>648</v>
      </c>
      <c r="B649" s="7">
        <v>40573</v>
      </c>
      <c r="C649" s="8">
        <v>7</v>
      </c>
      <c r="D649" s="8" t="b">
        <v>0</v>
      </c>
      <c r="E649" s="8" t="str">
        <f t="shared" si="30"/>
        <v>Working Day</v>
      </c>
      <c r="F649" s="8">
        <v>0</v>
      </c>
      <c r="G649" s="8" t="str">
        <f t="shared" si="31"/>
        <v>Sun</v>
      </c>
      <c r="H649" s="8">
        <v>1</v>
      </c>
      <c r="I649" s="8" t="str">
        <f t="shared" si="32"/>
        <v>mist/cloudy</v>
      </c>
      <c r="J649" s="8">
        <v>0.14000000000000001</v>
      </c>
      <c r="K649" s="8">
        <v>0.21210000000000001</v>
      </c>
      <c r="L649" s="8">
        <v>0.86</v>
      </c>
      <c r="M649" s="8">
        <v>0</v>
      </c>
      <c r="N649" s="8">
        <v>0</v>
      </c>
      <c r="O649" s="8">
        <v>3</v>
      </c>
      <c r="P649" s="9">
        <v>3</v>
      </c>
    </row>
    <row r="650" spans="1:16" x14ac:dyDescent="0.25">
      <c r="A650" s="10">
        <v>649</v>
      </c>
      <c r="B650" s="11">
        <v>40573</v>
      </c>
      <c r="C650" s="12">
        <v>8</v>
      </c>
      <c r="D650" s="12" t="b">
        <v>0</v>
      </c>
      <c r="E650" s="12" t="str">
        <f t="shared" si="30"/>
        <v>Working Day</v>
      </c>
      <c r="F650" s="12">
        <v>0</v>
      </c>
      <c r="G650" s="12" t="str">
        <f t="shared" si="31"/>
        <v>Sun</v>
      </c>
      <c r="H650" s="12">
        <v>2</v>
      </c>
      <c r="I650" s="12" t="str">
        <f t="shared" si="32"/>
        <v>light rain</v>
      </c>
      <c r="J650" s="12">
        <v>0.14000000000000001</v>
      </c>
      <c r="K650" s="12">
        <v>0.21210000000000001</v>
      </c>
      <c r="L650" s="12">
        <v>0.86</v>
      </c>
      <c r="M650" s="12">
        <v>0</v>
      </c>
      <c r="N650" s="12">
        <v>1</v>
      </c>
      <c r="O650" s="12">
        <v>11</v>
      </c>
      <c r="P650" s="13">
        <v>12</v>
      </c>
    </row>
    <row r="651" spans="1:16" x14ac:dyDescent="0.25">
      <c r="A651" s="6">
        <v>650</v>
      </c>
      <c r="B651" s="7">
        <v>40573</v>
      </c>
      <c r="C651" s="8">
        <v>9</v>
      </c>
      <c r="D651" s="8" t="b">
        <v>0</v>
      </c>
      <c r="E651" s="8" t="str">
        <f t="shared" si="30"/>
        <v>Working Day</v>
      </c>
      <c r="F651" s="8">
        <v>0</v>
      </c>
      <c r="G651" s="8" t="str">
        <f t="shared" si="31"/>
        <v>Sun</v>
      </c>
      <c r="H651" s="8">
        <v>2</v>
      </c>
      <c r="I651" s="8" t="str">
        <f t="shared" si="32"/>
        <v>light rain</v>
      </c>
      <c r="J651" s="8">
        <v>0.16</v>
      </c>
      <c r="K651" s="8">
        <v>0.2273</v>
      </c>
      <c r="L651" s="8">
        <v>0.8</v>
      </c>
      <c r="M651" s="8">
        <v>0</v>
      </c>
      <c r="N651" s="8">
        <v>4</v>
      </c>
      <c r="O651" s="8">
        <v>34</v>
      </c>
      <c r="P651" s="9">
        <v>38</v>
      </c>
    </row>
    <row r="652" spans="1:16" x14ac:dyDescent="0.25">
      <c r="A652" s="10">
        <v>651</v>
      </c>
      <c r="B652" s="11">
        <v>40573</v>
      </c>
      <c r="C652" s="12">
        <v>10</v>
      </c>
      <c r="D652" s="12" t="b">
        <v>0</v>
      </c>
      <c r="E652" s="12" t="str">
        <f t="shared" si="30"/>
        <v>Working Day</v>
      </c>
      <c r="F652" s="12">
        <v>0</v>
      </c>
      <c r="G652" s="12" t="str">
        <f t="shared" si="31"/>
        <v>Sun</v>
      </c>
      <c r="H652" s="12">
        <v>2</v>
      </c>
      <c r="I652" s="12" t="str">
        <f t="shared" si="32"/>
        <v>light rain</v>
      </c>
      <c r="J652" s="12">
        <v>0.18</v>
      </c>
      <c r="K652" s="12">
        <v>0.2424</v>
      </c>
      <c r="L652" s="12">
        <v>0.8</v>
      </c>
      <c r="M652" s="12">
        <v>0</v>
      </c>
      <c r="N652" s="12">
        <v>7</v>
      </c>
      <c r="O652" s="12">
        <v>57</v>
      </c>
      <c r="P652" s="13">
        <v>64</v>
      </c>
    </row>
    <row r="653" spans="1:16" x14ac:dyDescent="0.25">
      <c r="A653" s="6">
        <v>652</v>
      </c>
      <c r="B653" s="7">
        <v>40573</v>
      </c>
      <c r="C653" s="8">
        <v>11</v>
      </c>
      <c r="D653" s="8" t="b">
        <v>0</v>
      </c>
      <c r="E653" s="8" t="str">
        <f t="shared" si="30"/>
        <v>Working Day</v>
      </c>
      <c r="F653" s="8">
        <v>0</v>
      </c>
      <c r="G653" s="8" t="str">
        <f t="shared" si="31"/>
        <v>Sun</v>
      </c>
      <c r="H653" s="8">
        <v>1</v>
      </c>
      <c r="I653" s="8" t="str">
        <f t="shared" si="32"/>
        <v>mist/cloudy</v>
      </c>
      <c r="J653" s="8">
        <v>0.22</v>
      </c>
      <c r="K653" s="8">
        <v>0.2727</v>
      </c>
      <c r="L653" s="8">
        <v>0.75</v>
      </c>
      <c r="M653" s="8">
        <v>0</v>
      </c>
      <c r="N653" s="8">
        <v>9</v>
      </c>
      <c r="O653" s="8">
        <v>50</v>
      </c>
      <c r="P653" s="9">
        <v>59</v>
      </c>
    </row>
    <row r="654" spans="1:16" x14ac:dyDescent="0.25">
      <c r="A654" s="10">
        <v>653</v>
      </c>
      <c r="B654" s="11">
        <v>40573</v>
      </c>
      <c r="C654" s="12">
        <v>12</v>
      </c>
      <c r="D654" s="12" t="b">
        <v>0</v>
      </c>
      <c r="E654" s="12" t="str">
        <f t="shared" si="30"/>
        <v>Working Day</v>
      </c>
      <c r="F654" s="12">
        <v>0</v>
      </c>
      <c r="G654" s="12" t="str">
        <f t="shared" si="31"/>
        <v>Sun</v>
      </c>
      <c r="H654" s="12">
        <v>1</v>
      </c>
      <c r="I654" s="12" t="str">
        <f t="shared" si="32"/>
        <v>mist/cloudy</v>
      </c>
      <c r="J654" s="12">
        <v>0.3</v>
      </c>
      <c r="K654" s="12">
        <v>0.31819999999999998</v>
      </c>
      <c r="L654" s="12">
        <v>0.52</v>
      </c>
      <c r="M654" s="12">
        <v>0.1045</v>
      </c>
      <c r="N654" s="12">
        <v>10</v>
      </c>
      <c r="O654" s="12">
        <v>87</v>
      </c>
      <c r="P654" s="13">
        <v>97</v>
      </c>
    </row>
    <row r="655" spans="1:16" x14ac:dyDescent="0.25">
      <c r="A655" s="6">
        <v>654</v>
      </c>
      <c r="B655" s="7">
        <v>40573</v>
      </c>
      <c r="C655" s="8">
        <v>13</v>
      </c>
      <c r="D655" s="8" t="b">
        <v>0</v>
      </c>
      <c r="E655" s="8" t="str">
        <f t="shared" si="30"/>
        <v>Working Day</v>
      </c>
      <c r="F655" s="8">
        <v>0</v>
      </c>
      <c r="G655" s="8" t="str">
        <f t="shared" si="31"/>
        <v>Sun</v>
      </c>
      <c r="H655" s="8">
        <v>1</v>
      </c>
      <c r="I655" s="8" t="str">
        <f t="shared" si="32"/>
        <v>mist/cloudy</v>
      </c>
      <c r="J655" s="8">
        <v>0.28000000000000003</v>
      </c>
      <c r="K655" s="8">
        <v>0.28789999999999999</v>
      </c>
      <c r="L655" s="8">
        <v>0.61</v>
      </c>
      <c r="M655" s="8">
        <v>0.1045</v>
      </c>
      <c r="N655" s="8">
        <v>13</v>
      </c>
      <c r="O655" s="8">
        <v>71</v>
      </c>
      <c r="P655" s="9">
        <v>84</v>
      </c>
    </row>
    <row r="656" spans="1:16" x14ac:dyDescent="0.25">
      <c r="A656" s="10">
        <v>655</v>
      </c>
      <c r="B656" s="11">
        <v>40573</v>
      </c>
      <c r="C656" s="12">
        <v>14</v>
      </c>
      <c r="D656" s="12" t="b">
        <v>0</v>
      </c>
      <c r="E656" s="12" t="str">
        <f t="shared" si="30"/>
        <v>Working Day</v>
      </c>
      <c r="F656" s="12">
        <v>0</v>
      </c>
      <c r="G656" s="12" t="str">
        <f t="shared" si="31"/>
        <v>Sun</v>
      </c>
      <c r="H656" s="12">
        <v>1</v>
      </c>
      <c r="I656" s="12" t="str">
        <f t="shared" si="32"/>
        <v>mist/cloudy</v>
      </c>
      <c r="J656" s="12">
        <v>0.28000000000000003</v>
      </c>
      <c r="K656" s="12">
        <v>0.30299999999999999</v>
      </c>
      <c r="L656" s="12">
        <v>0.61</v>
      </c>
      <c r="M656" s="12">
        <v>8.9599999999999999E-2</v>
      </c>
      <c r="N656" s="12">
        <v>18</v>
      </c>
      <c r="O656" s="12">
        <v>104</v>
      </c>
      <c r="P656" s="13">
        <v>122</v>
      </c>
    </row>
    <row r="657" spans="1:16" x14ac:dyDescent="0.25">
      <c r="A657" s="6">
        <v>656</v>
      </c>
      <c r="B657" s="7">
        <v>40573</v>
      </c>
      <c r="C657" s="8">
        <v>15</v>
      </c>
      <c r="D657" s="8" t="b">
        <v>0</v>
      </c>
      <c r="E657" s="8" t="str">
        <f t="shared" si="30"/>
        <v>Working Day</v>
      </c>
      <c r="F657" s="8">
        <v>0</v>
      </c>
      <c r="G657" s="8" t="str">
        <f t="shared" si="31"/>
        <v>Sun</v>
      </c>
      <c r="H657" s="8">
        <v>1</v>
      </c>
      <c r="I657" s="8" t="str">
        <f t="shared" si="32"/>
        <v>mist/cloudy</v>
      </c>
      <c r="J657" s="8">
        <v>0.3</v>
      </c>
      <c r="K657" s="8">
        <v>0.33329999999999999</v>
      </c>
      <c r="L657" s="8">
        <v>0.56000000000000005</v>
      </c>
      <c r="M657" s="8">
        <v>0</v>
      </c>
      <c r="N657" s="8">
        <v>14</v>
      </c>
      <c r="O657" s="8">
        <v>95</v>
      </c>
      <c r="P657" s="9">
        <v>109</v>
      </c>
    </row>
    <row r="658" spans="1:16" x14ac:dyDescent="0.25">
      <c r="A658" s="10">
        <v>657</v>
      </c>
      <c r="B658" s="11">
        <v>40573</v>
      </c>
      <c r="C658" s="12">
        <v>16</v>
      </c>
      <c r="D658" s="12" t="b">
        <v>0</v>
      </c>
      <c r="E658" s="12" t="str">
        <f t="shared" si="30"/>
        <v>Working Day</v>
      </c>
      <c r="F658" s="12">
        <v>0</v>
      </c>
      <c r="G658" s="12" t="str">
        <f t="shared" si="31"/>
        <v>Sun</v>
      </c>
      <c r="H658" s="12">
        <v>1</v>
      </c>
      <c r="I658" s="12" t="str">
        <f t="shared" si="32"/>
        <v>mist/cloudy</v>
      </c>
      <c r="J658" s="12">
        <v>0.3</v>
      </c>
      <c r="K658" s="12">
        <v>0.33329999999999999</v>
      </c>
      <c r="L658" s="12">
        <v>0.56000000000000005</v>
      </c>
      <c r="M658" s="12">
        <v>0</v>
      </c>
      <c r="N658" s="12">
        <v>19</v>
      </c>
      <c r="O658" s="12">
        <v>104</v>
      </c>
      <c r="P658" s="13">
        <v>123</v>
      </c>
    </row>
    <row r="659" spans="1:16" x14ac:dyDescent="0.25">
      <c r="A659" s="6">
        <v>658</v>
      </c>
      <c r="B659" s="7">
        <v>40573</v>
      </c>
      <c r="C659" s="8">
        <v>17</v>
      </c>
      <c r="D659" s="8" t="b">
        <v>0</v>
      </c>
      <c r="E659" s="8" t="str">
        <f t="shared" si="30"/>
        <v>Working Day</v>
      </c>
      <c r="F659" s="8">
        <v>0</v>
      </c>
      <c r="G659" s="8" t="str">
        <f t="shared" si="31"/>
        <v>Sun</v>
      </c>
      <c r="H659" s="8">
        <v>1</v>
      </c>
      <c r="I659" s="8" t="str">
        <f t="shared" si="32"/>
        <v>mist/cloudy</v>
      </c>
      <c r="J659" s="8">
        <v>0.3</v>
      </c>
      <c r="K659" s="8">
        <v>0.28789999999999999</v>
      </c>
      <c r="L659" s="8">
        <v>0.56000000000000005</v>
      </c>
      <c r="M659" s="8">
        <v>0.19400000000000001</v>
      </c>
      <c r="N659" s="8">
        <v>6</v>
      </c>
      <c r="O659" s="8">
        <v>71</v>
      </c>
      <c r="P659" s="9">
        <v>77</v>
      </c>
    </row>
    <row r="660" spans="1:16" x14ac:dyDescent="0.25">
      <c r="A660" s="10">
        <v>659</v>
      </c>
      <c r="B660" s="11">
        <v>40573</v>
      </c>
      <c r="C660" s="12">
        <v>18</v>
      </c>
      <c r="D660" s="12" t="b">
        <v>0</v>
      </c>
      <c r="E660" s="12" t="str">
        <f t="shared" si="30"/>
        <v>Working Day</v>
      </c>
      <c r="F660" s="12">
        <v>0</v>
      </c>
      <c r="G660" s="12" t="str">
        <f t="shared" si="31"/>
        <v>Sun</v>
      </c>
      <c r="H660" s="12">
        <v>1</v>
      </c>
      <c r="I660" s="12" t="str">
        <f t="shared" si="32"/>
        <v>mist/cloudy</v>
      </c>
      <c r="J660" s="12">
        <v>0.26</v>
      </c>
      <c r="K660" s="12">
        <v>0.2576</v>
      </c>
      <c r="L660" s="12">
        <v>0.65</v>
      </c>
      <c r="M660" s="12">
        <v>0.16420000000000001</v>
      </c>
      <c r="N660" s="12">
        <v>8</v>
      </c>
      <c r="O660" s="12">
        <v>57</v>
      </c>
      <c r="P660" s="13">
        <v>65</v>
      </c>
    </row>
    <row r="661" spans="1:16" x14ac:dyDescent="0.25">
      <c r="A661" s="6">
        <v>660</v>
      </c>
      <c r="B661" s="7">
        <v>40573</v>
      </c>
      <c r="C661" s="8">
        <v>19</v>
      </c>
      <c r="D661" s="8" t="b">
        <v>0</v>
      </c>
      <c r="E661" s="8" t="str">
        <f t="shared" si="30"/>
        <v>Working Day</v>
      </c>
      <c r="F661" s="8">
        <v>0</v>
      </c>
      <c r="G661" s="8" t="str">
        <f t="shared" si="31"/>
        <v>Sun</v>
      </c>
      <c r="H661" s="8">
        <v>1</v>
      </c>
      <c r="I661" s="8" t="str">
        <f t="shared" si="32"/>
        <v>mist/cloudy</v>
      </c>
      <c r="J661" s="8">
        <v>0.26</v>
      </c>
      <c r="K661" s="8">
        <v>0.2576</v>
      </c>
      <c r="L661" s="8">
        <v>0.65</v>
      </c>
      <c r="M661" s="8">
        <v>0.19400000000000001</v>
      </c>
      <c r="N661" s="8">
        <v>9</v>
      </c>
      <c r="O661" s="8">
        <v>46</v>
      </c>
      <c r="P661" s="9">
        <v>55</v>
      </c>
    </row>
    <row r="662" spans="1:16" x14ac:dyDescent="0.25">
      <c r="A662" s="10">
        <v>661</v>
      </c>
      <c r="B662" s="11">
        <v>40573</v>
      </c>
      <c r="C662" s="12">
        <v>20</v>
      </c>
      <c r="D662" s="12" t="b">
        <v>0</v>
      </c>
      <c r="E662" s="12" t="str">
        <f t="shared" si="30"/>
        <v>Working Day</v>
      </c>
      <c r="F662" s="12">
        <v>0</v>
      </c>
      <c r="G662" s="12" t="str">
        <f t="shared" si="31"/>
        <v>Sun</v>
      </c>
      <c r="H662" s="12">
        <v>2</v>
      </c>
      <c r="I662" s="12" t="str">
        <f t="shared" si="32"/>
        <v>light rain</v>
      </c>
      <c r="J662" s="12">
        <v>0.26</v>
      </c>
      <c r="K662" s="12">
        <v>0.2727</v>
      </c>
      <c r="L662" s="12">
        <v>0.65</v>
      </c>
      <c r="M662" s="12">
        <v>0.1045</v>
      </c>
      <c r="N662" s="12">
        <v>3</v>
      </c>
      <c r="O662" s="12">
        <v>30</v>
      </c>
      <c r="P662" s="13">
        <v>33</v>
      </c>
    </row>
    <row r="663" spans="1:16" x14ac:dyDescent="0.25">
      <c r="A663" s="6">
        <v>662</v>
      </c>
      <c r="B663" s="7">
        <v>40573</v>
      </c>
      <c r="C663" s="8">
        <v>21</v>
      </c>
      <c r="D663" s="8" t="b">
        <v>0</v>
      </c>
      <c r="E663" s="8" t="str">
        <f t="shared" si="30"/>
        <v>Working Day</v>
      </c>
      <c r="F663" s="8">
        <v>0</v>
      </c>
      <c r="G663" s="8" t="str">
        <f t="shared" si="31"/>
        <v>Sun</v>
      </c>
      <c r="H663" s="8">
        <v>2</v>
      </c>
      <c r="I663" s="8" t="str">
        <f t="shared" si="32"/>
        <v>light rain</v>
      </c>
      <c r="J663" s="8">
        <v>0.24</v>
      </c>
      <c r="K663" s="8">
        <v>0.2424</v>
      </c>
      <c r="L663" s="8">
        <v>0.7</v>
      </c>
      <c r="M663" s="8">
        <v>0.16420000000000001</v>
      </c>
      <c r="N663" s="8">
        <v>3</v>
      </c>
      <c r="O663" s="8">
        <v>25</v>
      </c>
      <c r="P663" s="9">
        <v>28</v>
      </c>
    </row>
    <row r="664" spans="1:16" x14ac:dyDescent="0.25">
      <c r="A664" s="10">
        <v>663</v>
      </c>
      <c r="B664" s="11">
        <v>40573</v>
      </c>
      <c r="C664" s="12">
        <v>22</v>
      </c>
      <c r="D664" s="12" t="b">
        <v>0</v>
      </c>
      <c r="E664" s="12" t="str">
        <f t="shared" si="30"/>
        <v>Working Day</v>
      </c>
      <c r="F664" s="12">
        <v>0</v>
      </c>
      <c r="G664" s="12" t="str">
        <f t="shared" si="31"/>
        <v>Sun</v>
      </c>
      <c r="H664" s="12">
        <v>2</v>
      </c>
      <c r="I664" s="12" t="str">
        <f t="shared" si="32"/>
        <v>light rain</v>
      </c>
      <c r="J664" s="12">
        <v>0.24</v>
      </c>
      <c r="K664" s="12">
        <v>0.2273</v>
      </c>
      <c r="L664" s="12">
        <v>0.7</v>
      </c>
      <c r="M664" s="12">
        <v>0.19400000000000001</v>
      </c>
      <c r="N664" s="12">
        <v>2</v>
      </c>
      <c r="O664" s="12">
        <v>19</v>
      </c>
      <c r="P664" s="13">
        <v>21</v>
      </c>
    </row>
    <row r="665" spans="1:16" x14ac:dyDescent="0.25">
      <c r="A665" s="6">
        <v>664</v>
      </c>
      <c r="B665" s="7">
        <v>40573</v>
      </c>
      <c r="C665" s="8">
        <v>23</v>
      </c>
      <c r="D665" s="8" t="b">
        <v>0</v>
      </c>
      <c r="E665" s="8" t="str">
        <f t="shared" si="30"/>
        <v>Working Day</v>
      </c>
      <c r="F665" s="8">
        <v>0</v>
      </c>
      <c r="G665" s="8" t="str">
        <f t="shared" si="31"/>
        <v>Sun</v>
      </c>
      <c r="H665" s="8">
        <v>2</v>
      </c>
      <c r="I665" s="8" t="str">
        <f t="shared" si="32"/>
        <v>light rain</v>
      </c>
      <c r="J665" s="8">
        <v>0.24</v>
      </c>
      <c r="K665" s="8">
        <v>0.21210000000000001</v>
      </c>
      <c r="L665" s="8">
        <v>0.65</v>
      </c>
      <c r="M665" s="8">
        <v>0.28360000000000002</v>
      </c>
      <c r="N665" s="8">
        <v>5</v>
      </c>
      <c r="O665" s="8">
        <v>16</v>
      </c>
      <c r="P665" s="9">
        <v>21</v>
      </c>
    </row>
    <row r="666" spans="1:16" x14ac:dyDescent="0.25">
      <c r="A666" s="10">
        <v>665</v>
      </c>
      <c r="B666" s="11">
        <v>40574</v>
      </c>
      <c r="C666" s="12">
        <v>0</v>
      </c>
      <c r="D666" s="12" t="b">
        <v>0</v>
      </c>
      <c r="E666" s="12" t="str">
        <f t="shared" si="30"/>
        <v>Working Day</v>
      </c>
      <c r="F666" s="12">
        <v>1</v>
      </c>
      <c r="G666" s="12" t="str">
        <f t="shared" si="31"/>
        <v>Mon</v>
      </c>
      <c r="H666" s="12">
        <v>2</v>
      </c>
      <c r="I666" s="12" t="str">
        <f t="shared" si="32"/>
        <v>light rain</v>
      </c>
      <c r="J666" s="12">
        <v>0.24</v>
      </c>
      <c r="K666" s="12">
        <v>0.2273</v>
      </c>
      <c r="L666" s="12">
        <v>0.65</v>
      </c>
      <c r="M666" s="12">
        <v>0.22389999999999999</v>
      </c>
      <c r="N666" s="12">
        <v>1</v>
      </c>
      <c r="O666" s="12">
        <v>6</v>
      </c>
      <c r="P666" s="13">
        <v>7</v>
      </c>
    </row>
    <row r="667" spans="1:16" x14ac:dyDescent="0.25">
      <c r="A667" s="6">
        <v>666</v>
      </c>
      <c r="B667" s="7">
        <v>40574</v>
      </c>
      <c r="C667" s="8">
        <v>1</v>
      </c>
      <c r="D667" s="8" t="b">
        <v>0</v>
      </c>
      <c r="E667" s="8" t="str">
        <f t="shared" si="30"/>
        <v>Working Day</v>
      </c>
      <c r="F667" s="8">
        <v>1</v>
      </c>
      <c r="G667" s="8" t="str">
        <f t="shared" si="31"/>
        <v>Mon</v>
      </c>
      <c r="H667" s="8">
        <v>1</v>
      </c>
      <c r="I667" s="8" t="str">
        <f t="shared" si="32"/>
        <v>mist/cloudy</v>
      </c>
      <c r="J667" s="8">
        <v>0.22</v>
      </c>
      <c r="K667" s="8">
        <v>0.21210000000000001</v>
      </c>
      <c r="L667" s="8">
        <v>0.64</v>
      </c>
      <c r="M667" s="8">
        <v>0.25369999999999998</v>
      </c>
      <c r="N667" s="8">
        <v>2</v>
      </c>
      <c r="O667" s="8">
        <v>5</v>
      </c>
      <c r="P667" s="9">
        <v>7</v>
      </c>
    </row>
    <row r="668" spans="1:16" x14ac:dyDescent="0.25">
      <c r="A668" s="10">
        <v>667</v>
      </c>
      <c r="B668" s="11">
        <v>40574</v>
      </c>
      <c r="C668" s="12">
        <v>2</v>
      </c>
      <c r="D668" s="12" t="b">
        <v>0</v>
      </c>
      <c r="E668" s="12" t="str">
        <f t="shared" si="30"/>
        <v>Working Day</v>
      </c>
      <c r="F668" s="12">
        <v>1</v>
      </c>
      <c r="G668" s="12" t="str">
        <f t="shared" si="31"/>
        <v>Mon</v>
      </c>
      <c r="H668" s="12">
        <v>1</v>
      </c>
      <c r="I668" s="12" t="str">
        <f t="shared" si="32"/>
        <v>mist/cloudy</v>
      </c>
      <c r="J668" s="12">
        <v>0.22</v>
      </c>
      <c r="K668" s="12">
        <v>0.2273</v>
      </c>
      <c r="L668" s="12">
        <v>0.64</v>
      </c>
      <c r="M668" s="12">
        <v>0.19400000000000001</v>
      </c>
      <c r="N668" s="12">
        <v>0</v>
      </c>
      <c r="O668" s="12">
        <v>1</v>
      </c>
      <c r="P668" s="13">
        <v>1</v>
      </c>
    </row>
    <row r="669" spans="1:16" x14ac:dyDescent="0.25">
      <c r="A669" s="6">
        <v>668</v>
      </c>
      <c r="B669" s="7">
        <v>40574</v>
      </c>
      <c r="C669" s="8">
        <v>3</v>
      </c>
      <c r="D669" s="8" t="b">
        <v>0</v>
      </c>
      <c r="E669" s="8" t="str">
        <f t="shared" si="30"/>
        <v>Working Day</v>
      </c>
      <c r="F669" s="8">
        <v>1</v>
      </c>
      <c r="G669" s="8" t="str">
        <f t="shared" si="31"/>
        <v>Mon</v>
      </c>
      <c r="H669" s="8">
        <v>1</v>
      </c>
      <c r="I669" s="8" t="str">
        <f t="shared" si="32"/>
        <v>mist/cloudy</v>
      </c>
      <c r="J669" s="8">
        <v>0.22</v>
      </c>
      <c r="K669" s="8">
        <v>0.2273</v>
      </c>
      <c r="L669" s="8">
        <v>0.64</v>
      </c>
      <c r="M669" s="8">
        <v>0.19400000000000001</v>
      </c>
      <c r="N669" s="8">
        <v>0</v>
      </c>
      <c r="O669" s="8">
        <v>2</v>
      </c>
      <c r="P669" s="9">
        <v>2</v>
      </c>
    </row>
    <row r="670" spans="1:16" x14ac:dyDescent="0.25">
      <c r="A670" s="10">
        <v>669</v>
      </c>
      <c r="B670" s="11">
        <v>40574</v>
      </c>
      <c r="C670" s="12">
        <v>4</v>
      </c>
      <c r="D670" s="12" t="b">
        <v>0</v>
      </c>
      <c r="E670" s="12" t="str">
        <f t="shared" si="30"/>
        <v>Working Day</v>
      </c>
      <c r="F670" s="12">
        <v>1</v>
      </c>
      <c r="G670" s="12" t="str">
        <f t="shared" si="31"/>
        <v>Mon</v>
      </c>
      <c r="H670" s="12">
        <v>1</v>
      </c>
      <c r="I670" s="12" t="str">
        <f t="shared" si="32"/>
        <v>mist/cloudy</v>
      </c>
      <c r="J670" s="12">
        <v>0.2</v>
      </c>
      <c r="K670" s="12">
        <v>0.19700000000000001</v>
      </c>
      <c r="L670" s="12">
        <v>0.59</v>
      </c>
      <c r="M670" s="12">
        <v>0.22389999999999999</v>
      </c>
      <c r="N670" s="12">
        <v>0</v>
      </c>
      <c r="O670" s="12">
        <v>2</v>
      </c>
      <c r="P670" s="13">
        <v>2</v>
      </c>
    </row>
    <row r="671" spans="1:16" x14ac:dyDescent="0.25">
      <c r="A671" s="6">
        <v>670</v>
      </c>
      <c r="B671" s="7">
        <v>40574</v>
      </c>
      <c r="C671" s="8">
        <v>5</v>
      </c>
      <c r="D671" s="8" t="b">
        <v>0</v>
      </c>
      <c r="E671" s="8" t="str">
        <f t="shared" si="30"/>
        <v>Working Day</v>
      </c>
      <c r="F671" s="8">
        <v>1</v>
      </c>
      <c r="G671" s="8" t="str">
        <f t="shared" si="31"/>
        <v>Mon</v>
      </c>
      <c r="H671" s="8">
        <v>1</v>
      </c>
      <c r="I671" s="8" t="str">
        <f t="shared" si="32"/>
        <v>mist/cloudy</v>
      </c>
      <c r="J671" s="8">
        <v>0.18</v>
      </c>
      <c r="K671" s="8">
        <v>0.16669999999999999</v>
      </c>
      <c r="L671" s="8">
        <v>0.64</v>
      </c>
      <c r="M671" s="8">
        <v>0.28360000000000002</v>
      </c>
      <c r="N671" s="8">
        <v>0</v>
      </c>
      <c r="O671" s="8">
        <v>8</v>
      </c>
      <c r="P671" s="9">
        <v>8</v>
      </c>
    </row>
    <row r="672" spans="1:16" x14ac:dyDescent="0.25">
      <c r="A672" s="10">
        <v>671</v>
      </c>
      <c r="B672" s="11">
        <v>40574</v>
      </c>
      <c r="C672" s="12">
        <v>6</v>
      </c>
      <c r="D672" s="12" t="b">
        <v>0</v>
      </c>
      <c r="E672" s="12" t="str">
        <f t="shared" si="30"/>
        <v>Working Day</v>
      </c>
      <c r="F672" s="12">
        <v>1</v>
      </c>
      <c r="G672" s="12" t="str">
        <f t="shared" si="31"/>
        <v>Mon</v>
      </c>
      <c r="H672" s="12">
        <v>1</v>
      </c>
      <c r="I672" s="12" t="str">
        <f t="shared" si="32"/>
        <v>mist/cloudy</v>
      </c>
      <c r="J672" s="12">
        <v>0.16</v>
      </c>
      <c r="K672" s="12">
        <v>0.13639999999999999</v>
      </c>
      <c r="L672" s="12">
        <v>0.69</v>
      </c>
      <c r="M672" s="12">
        <v>0.32840000000000003</v>
      </c>
      <c r="N672" s="12">
        <v>0</v>
      </c>
      <c r="O672" s="12">
        <v>37</v>
      </c>
      <c r="P672" s="13">
        <v>37</v>
      </c>
    </row>
    <row r="673" spans="1:16" x14ac:dyDescent="0.25">
      <c r="A673" s="6">
        <v>672</v>
      </c>
      <c r="B673" s="7">
        <v>40574</v>
      </c>
      <c r="C673" s="8">
        <v>7</v>
      </c>
      <c r="D673" s="8" t="b">
        <v>0</v>
      </c>
      <c r="E673" s="8" t="str">
        <f t="shared" si="30"/>
        <v>Working Day</v>
      </c>
      <c r="F673" s="8">
        <v>1</v>
      </c>
      <c r="G673" s="8" t="str">
        <f t="shared" si="31"/>
        <v>Mon</v>
      </c>
      <c r="H673" s="8">
        <v>2</v>
      </c>
      <c r="I673" s="8" t="str">
        <f t="shared" si="32"/>
        <v>light rain</v>
      </c>
      <c r="J673" s="8">
        <v>0.16</v>
      </c>
      <c r="K673" s="8">
        <v>0.13639999999999999</v>
      </c>
      <c r="L673" s="8">
        <v>0.64</v>
      </c>
      <c r="M673" s="8">
        <v>0.28360000000000002</v>
      </c>
      <c r="N673" s="8">
        <v>1</v>
      </c>
      <c r="O673" s="8">
        <v>71</v>
      </c>
      <c r="P673" s="9">
        <v>72</v>
      </c>
    </row>
    <row r="674" spans="1:16" x14ac:dyDescent="0.25">
      <c r="A674" s="10">
        <v>673</v>
      </c>
      <c r="B674" s="11">
        <v>40574</v>
      </c>
      <c r="C674" s="12">
        <v>8</v>
      </c>
      <c r="D674" s="12" t="b">
        <v>0</v>
      </c>
      <c r="E674" s="12" t="str">
        <f t="shared" si="30"/>
        <v>Working Day</v>
      </c>
      <c r="F674" s="12">
        <v>1</v>
      </c>
      <c r="G674" s="12" t="str">
        <f t="shared" si="31"/>
        <v>Mon</v>
      </c>
      <c r="H674" s="12">
        <v>2</v>
      </c>
      <c r="I674" s="12" t="str">
        <f t="shared" si="32"/>
        <v>light rain</v>
      </c>
      <c r="J674" s="12">
        <v>0.16</v>
      </c>
      <c r="K674" s="12">
        <v>0.13639999999999999</v>
      </c>
      <c r="L674" s="12">
        <v>0.59</v>
      </c>
      <c r="M674" s="12">
        <v>0.28360000000000002</v>
      </c>
      <c r="N674" s="12">
        <v>3</v>
      </c>
      <c r="O674" s="12">
        <v>182</v>
      </c>
      <c r="P674" s="13">
        <v>185</v>
      </c>
    </row>
    <row r="675" spans="1:16" x14ac:dyDescent="0.25">
      <c r="A675" s="6">
        <v>674</v>
      </c>
      <c r="B675" s="7">
        <v>40574</v>
      </c>
      <c r="C675" s="8">
        <v>9</v>
      </c>
      <c r="D675" s="8" t="b">
        <v>0</v>
      </c>
      <c r="E675" s="8" t="str">
        <f t="shared" si="30"/>
        <v>Working Day</v>
      </c>
      <c r="F675" s="8">
        <v>1</v>
      </c>
      <c r="G675" s="8" t="str">
        <f t="shared" si="31"/>
        <v>Mon</v>
      </c>
      <c r="H675" s="8">
        <v>2</v>
      </c>
      <c r="I675" s="8" t="str">
        <f t="shared" si="32"/>
        <v>light rain</v>
      </c>
      <c r="J675" s="8">
        <v>0.16</v>
      </c>
      <c r="K675" s="8">
        <v>0.13639999999999999</v>
      </c>
      <c r="L675" s="8">
        <v>0.59</v>
      </c>
      <c r="M675" s="8">
        <v>0.29849999999999999</v>
      </c>
      <c r="N675" s="8">
        <v>0</v>
      </c>
      <c r="O675" s="8">
        <v>112</v>
      </c>
      <c r="P675" s="9">
        <v>112</v>
      </c>
    </row>
    <row r="676" spans="1:16" x14ac:dyDescent="0.25">
      <c r="A676" s="10">
        <v>675</v>
      </c>
      <c r="B676" s="11">
        <v>40574</v>
      </c>
      <c r="C676" s="12">
        <v>10</v>
      </c>
      <c r="D676" s="12" t="b">
        <v>0</v>
      </c>
      <c r="E676" s="12" t="str">
        <f t="shared" si="30"/>
        <v>Working Day</v>
      </c>
      <c r="F676" s="12">
        <v>1</v>
      </c>
      <c r="G676" s="12" t="str">
        <f t="shared" si="31"/>
        <v>Mon</v>
      </c>
      <c r="H676" s="12">
        <v>2</v>
      </c>
      <c r="I676" s="12" t="str">
        <f t="shared" si="32"/>
        <v>light rain</v>
      </c>
      <c r="J676" s="12">
        <v>0.16</v>
      </c>
      <c r="K676" s="12">
        <v>0.1515</v>
      </c>
      <c r="L676" s="12">
        <v>0.59</v>
      </c>
      <c r="M676" s="12">
        <v>0.19400000000000001</v>
      </c>
      <c r="N676" s="12">
        <v>1</v>
      </c>
      <c r="O676" s="12">
        <v>68</v>
      </c>
      <c r="P676" s="13">
        <v>69</v>
      </c>
    </row>
    <row r="677" spans="1:16" x14ac:dyDescent="0.25">
      <c r="A677" s="6">
        <v>676</v>
      </c>
      <c r="B677" s="7">
        <v>40574</v>
      </c>
      <c r="C677" s="8">
        <v>11</v>
      </c>
      <c r="D677" s="8" t="b">
        <v>0</v>
      </c>
      <c r="E677" s="8" t="str">
        <f t="shared" si="30"/>
        <v>Working Day</v>
      </c>
      <c r="F677" s="8">
        <v>1</v>
      </c>
      <c r="G677" s="8" t="str">
        <f t="shared" si="31"/>
        <v>Mon</v>
      </c>
      <c r="H677" s="8">
        <v>2</v>
      </c>
      <c r="I677" s="8" t="str">
        <f t="shared" si="32"/>
        <v>light rain</v>
      </c>
      <c r="J677" s="8">
        <v>0.16</v>
      </c>
      <c r="K677" s="8">
        <v>0.1515</v>
      </c>
      <c r="L677" s="8">
        <v>0.59</v>
      </c>
      <c r="M677" s="8">
        <v>0.19400000000000001</v>
      </c>
      <c r="N677" s="8">
        <v>2</v>
      </c>
      <c r="O677" s="8">
        <v>46</v>
      </c>
      <c r="P677" s="9">
        <v>48</v>
      </c>
    </row>
    <row r="678" spans="1:16" x14ac:dyDescent="0.25">
      <c r="A678" s="10">
        <v>677</v>
      </c>
      <c r="B678" s="11">
        <v>40574</v>
      </c>
      <c r="C678" s="12">
        <v>12</v>
      </c>
      <c r="D678" s="12" t="b">
        <v>0</v>
      </c>
      <c r="E678" s="12" t="str">
        <f t="shared" si="30"/>
        <v>Working Day</v>
      </c>
      <c r="F678" s="12">
        <v>1</v>
      </c>
      <c r="G678" s="12" t="str">
        <f t="shared" si="31"/>
        <v>Mon</v>
      </c>
      <c r="H678" s="12">
        <v>2</v>
      </c>
      <c r="I678" s="12" t="str">
        <f t="shared" si="32"/>
        <v>light rain</v>
      </c>
      <c r="J678" s="12">
        <v>0.18</v>
      </c>
      <c r="K678" s="12">
        <v>0.21210000000000001</v>
      </c>
      <c r="L678" s="12">
        <v>0.55000000000000004</v>
      </c>
      <c r="M678" s="12">
        <v>0.1045</v>
      </c>
      <c r="N678" s="12">
        <v>6</v>
      </c>
      <c r="O678" s="12">
        <v>62</v>
      </c>
      <c r="P678" s="13">
        <v>68</v>
      </c>
    </row>
    <row r="679" spans="1:16" x14ac:dyDescent="0.25">
      <c r="A679" s="6">
        <v>678</v>
      </c>
      <c r="B679" s="7">
        <v>40574</v>
      </c>
      <c r="C679" s="8">
        <v>13</v>
      </c>
      <c r="D679" s="8" t="b">
        <v>0</v>
      </c>
      <c r="E679" s="8" t="str">
        <f t="shared" si="30"/>
        <v>Working Day</v>
      </c>
      <c r="F679" s="8">
        <v>1</v>
      </c>
      <c r="G679" s="8" t="str">
        <f t="shared" si="31"/>
        <v>Mon</v>
      </c>
      <c r="H679" s="8">
        <v>2</v>
      </c>
      <c r="I679" s="8" t="str">
        <f t="shared" si="32"/>
        <v>light rain</v>
      </c>
      <c r="J679" s="8">
        <v>0.16</v>
      </c>
      <c r="K679" s="8">
        <v>0.2273</v>
      </c>
      <c r="L679" s="8">
        <v>0.59</v>
      </c>
      <c r="M679" s="8">
        <v>0</v>
      </c>
      <c r="N679" s="8">
        <v>2</v>
      </c>
      <c r="O679" s="8">
        <v>52</v>
      </c>
      <c r="P679" s="9">
        <v>54</v>
      </c>
    </row>
    <row r="680" spans="1:16" x14ac:dyDescent="0.25">
      <c r="A680" s="10">
        <v>679</v>
      </c>
      <c r="B680" s="11">
        <v>40574</v>
      </c>
      <c r="C680" s="12">
        <v>14</v>
      </c>
      <c r="D680" s="12" t="b">
        <v>0</v>
      </c>
      <c r="E680" s="12" t="str">
        <f t="shared" si="30"/>
        <v>Working Day</v>
      </c>
      <c r="F680" s="12">
        <v>1</v>
      </c>
      <c r="G680" s="12" t="str">
        <f t="shared" si="31"/>
        <v>Mon</v>
      </c>
      <c r="H680" s="12">
        <v>2</v>
      </c>
      <c r="I680" s="12" t="str">
        <f t="shared" si="32"/>
        <v>light rain</v>
      </c>
      <c r="J680" s="12">
        <v>0.18</v>
      </c>
      <c r="K680" s="12">
        <v>0.19700000000000001</v>
      </c>
      <c r="L680" s="12">
        <v>0.55000000000000004</v>
      </c>
      <c r="M680" s="12">
        <v>0.1343</v>
      </c>
      <c r="N680" s="12">
        <v>1</v>
      </c>
      <c r="O680" s="12">
        <v>85</v>
      </c>
      <c r="P680" s="13">
        <v>86</v>
      </c>
    </row>
    <row r="681" spans="1:16" x14ac:dyDescent="0.25">
      <c r="A681" s="6">
        <v>680</v>
      </c>
      <c r="B681" s="7">
        <v>40574</v>
      </c>
      <c r="C681" s="8">
        <v>15</v>
      </c>
      <c r="D681" s="8" t="b">
        <v>0</v>
      </c>
      <c r="E681" s="8" t="str">
        <f t="shared" si="30"/>
        <v>Working Day</v>
      </c>
      <c r="F681" s="8">
        <v>1</v>
      </c>
      <c r="G681" s="8" t="str">
        <f t="shared" si="31"/>
        <v>Mon</v>
      </c>
      <c r="H681" s="8">
        <v>2</v>
      </c>
      <c r="I681" s="8" t="str">
        <f t="shared" si="32"/>
        <v>light rain</v>
      </c>
      <c r="J681" s="8">
        <v>0.16</v>
      </c>
      <c r="K681" s="8">
        <v>0.18179999999999999</v>
      </c>
      <c r="L681" s="8">
        <v>0.59</v>
      </c>
      <c r="M681" s="8">
        <v>0.1343</v>
      </c>
      <c r="N681" s="8">
        <v>3</v>
      </c>
      <c r="O681" s="8">
        <v>41</v>
      </c>
      <c r="P681" s="9">
        <v>44</v>
      </c>
    </row>
    <row r="682" spans="1:16" x14ac:dyDescent="0.25">
      <c r="A682" s="10">
        <v>681</v>
      </c>
      <c r="B682" s="11">
        <v>40574</v>
      </c>
      <c r="C682" s="12">
        <v>16</v>
      </c>
      <c r="D682" s="12" t="b">
        <v>0</v>
      </c>
      <c r="E682" s="12" t="str">
        <f t="shared" si="30"/>
        <v>Working Day</v>
      </c>
      <c r="F682" s="12">
        <v>1</v>
      </c>
      <c r="G682" s="12" t="str">
        <f t="shared" si="31"/>
        <v>Mon</v>
      </c>
      <c r="H682" s="12">
        <v>2</v>
      </c>
      <c r="I682" s="12" t="str">
        <f t="shared" si="32"/>
        <v>light rain</v>
      </c>
      <c r="J682" s="12">
        <v>0.16</v>
      </c>
      <c r="K682" s="12">
        <v>0.18179999999999999</v>
      </c>
      <c r="L682" s="12">
        <v>0.56000000000000005</v>
      </c>
      <c r="M682" s="12">
        <v>0.19400000000000001</v>
      </c>
      <c r="N682" s="12">
        <v>3</v>
      </c>
      <c r="O682" s="12">
        <v>83</v>
      </c>
      <c r="P682" s="13">
        <v>86</v>
      </c>
    </row>
    <row r="683" spans="1:16" x14ac:dyDescent="0.25">
      <c r="A683" s="6">
        <v>682</v>
      </c>
      <c r="B683" s="7">
        <v>40574</v>
      </c>
      <c r="C683" s="8">
        <v>17</v>
      </c>
      <c r="D683" s="8" t="b">
        <v>0</v>
      </c>
      <c r="E683" s="8" t="str">
        <f t="shared" si="30"/>
        <v>Working Day</v>
      </c>
      <c r="F683" s="8">
        <v>1</v>
      </c>
      <c r="G683" s="8" t="str">
        <f t="shared" si="31"/>
        <v>Mon</v>
      </c>
      <c r="H683" s="8">
        <v>2</v>
      </c>
      <c r="I683" s="8" t="str">
        <f t="shared" si="32"/>
        <v>light rain</v>
      </c>
      <c r="J683" s="8">
        <v>0.16</v>
      </c>
      <c r="K683" s="8">
        <v>0.1515</v>
      </c>
      <c r="L683" s="8">
        <v>0.59</v>
      </c>
      <c r="M683" s="8">
        <v>0.19400000000000001</v>
      </c>
      <c r="N683" s="8">
        <v>6</v>
      </c>
      <c r="O683" s="8">
        <v>155</v>
      </c>
      <c r="P683" s="9">
        <v>161</v>
      </c>
    </row>
    <row r="684" spans="1:16" x14ac:dyDescent="0.25">
      <c r="A684" s="10">
        <v>683</v>
      </c>
      <c r="B684" s="11">
        <v>40574</v>
      </c>
      <c r="C684" s="12">
        <v>18</v>
      </c>
      <c r="D684" s="12" t="b">
        <v>0</v>
      </c>
      <c r="E684" s="12" t="str">
        <f t="shared" si="30"/>
        <v>Working Day</v>
      </c>
      <c r="F684" s="12">
        <v>1</v>
      </c>
      <c r="G684" s="12" t="str">
        <f t="shared" si="31"/>
        <v>Mon</v>
      </c>
      <c r="H684" s="12">
        <v>2</v>
      </c>
      <c r="I684" s="12" t="str">
        <f t="shared" si="32"/>
        <v>light rain</v>
      </c>
      <c r="J684" s="12">
        <v>0.16</v>
      </c>
      <c r="K684" s="12">
        <v>0.1515</v>
      </c>
      <c r="L684" s="12">
        <v>0.55000000000000004</v>
      </c>
      <c r="M684" s="12">
        <v>0.22389999999999999</v>
      </c>
      <c r="N684" s="12">
        <v>3</v>
      </c>
      <c r="O684" s="12">
        <v>153</v>
      </c>
      <c r="P684" s="13">
        <v>156</v>
      </c>
    </row>
    <row r="685" spans="1:16" x14ac:dyDescent="0.25">
      <c r="A685" s="6">
        <v>684</v>
      </c>
      <c r="B685" s="7">
        <v>40574</v>
      </c>
      <c r="C685" s="8">
        <v>19</v>
      </c>
      <c r="D685" s="8" t="b">
        <v>0</v>
      </c>
      <c r="E685" s="8" t="str">
        <f t="shared" si="30"/>
        <v>Working Day</v>
      </c>
      <c r="F685" s="8">
        <v>1</v>
      </c>
      <c r="G685" s="8" t="str">
        <f t="shared" si="31"/>
        <v>Mon</v>
      </c>
      <c r="H685" s="8">
        <v>1</v>
      </c>
      <c r="I685" s="8" t="str">
        <f t="shared" si="32"/>
        <v>mist/cloudy</v>
      </c>
      <c r="J685" s="8">
        <v>0.3</v>
      </c>
      <c r="K685" s="8">
        <v>0.31819999999999998</v>
      </c>
      <c r="L685" s="8">
        <v>0.61</v>
      </c>
      <c r="M685" s="8">
        <v>0.1045</v>
      </c>
      <c r="N685" s="8">
        <v>3</v>
      </c>
      <c r="O685" s="8">
        <v>108</v>
      </c>
      <c r="P685" s="9">
        <v>111</v>
      </c>
    </row>
    <row r="686" spans="1:16" x14ac:dyDescent="0.25">
      <c r="A686" s="10">
        <v>685</v>
      </c>
      <c r="B686" s="11">
        <v>40574</v>
      </c>
      <c r="C686" s="12">
        <v>20</v>
      </c>
      <c r="D686" s="12" t="b">
        <v>0</v>
      </c>
      <c r="E686" s="12" t="str">
        <f t="shared" si="30"/>
        <v>Working Day</v>
      </c>
      <c r="F686" s="12">
        <v>1</v>
      </c>
      <c r="G686" s="12" t="str">
        <f t="shared" si="31"/>
        <v>Mon</v>
      </c>
      <c r="H686" s="12">
        <v>3</v>
      </c>
      <c r="I686" s="12" t="str">
        <f t="shared" si="32"/>
        <v>heavy rain</v>
      </c>
      <c r="J686" s="12">
        <v>0.16</v>
      </c>
      <c r="K686" s="12">
        <v>0.16669999999999999</v>
      </c>
      <c r="L686" s="12">
        <v>0.59</v>
      </c>
      <c r="M686" s="12">
        <v>0.16420000000000001</v>
      </c>
      <c r="N686" s="12">
        <v>0</v>
      </c>
      <c r="O686" s="12">
        <v>78</v>
      </c>
      <c r="P686" s="13">
        <v>78</v>
      </c>
    </row>
    <row r="687" spans="1:16" x14ac:dyDescent="0.25">
      <c r="A687" s="6">
        <v>686</v>
      </c>
      <c r="B687" s="7">
        <v>40574</v>
      </c>
      <c r="C687" s="8">
        <v>21</v>
      </c>
      <c r="D687" s="8" t="b">
        <v>0</v>
      </c>
      <c r="E687" s="8" t="str">
        <f t="shared" si="30"/>
        <v>Working Day</v>
      </c>
      <c r="F687" s="8">
        <v>1</v>
      </c>
      <c r="G687" s="8" t="str">
        <f t="shared" si="31"/>
        <v>Mon</v>
      </c>
      <c r="H687" s="8">
        <v>3</v>
      </c>
      <c r="I687" s="8" t="str">
        <f t="shared" si="32"/>
        <v>heavy rain</v>
      </c>
      <c r="J687" s="8">
        <v>0.16</v>
      </c>
      <c r="K687" s="8">
        <v>0.19700000000000001</v>
      </c>
      <c r="L687" s="8">
        <v>0.59</v>
      </c>
      <c r="M687" s="8">
        <v>8.9599999999999999E-2</v>
      </c>
      <c r="N687" s="8">
        <v>3</v>
      </c>
      <c r="O687" s="8">
        <v>53</v>
      </c>
      <c r="P687" s="9">
        <v>56</v>
      </c>
    </row>
    <row r="688" spans="1:16" x14ac:dyDescent="0.25">
      <c r="A688" s="10">
        <v>687</v>
      </c>
      <c r="B688" s="11">
        <v>40574</v>
      </c>
      <c r="C688" s="12">
        <v>22</v>
      </c>
      <c r="D688" s="12" t="b">
        <v>0</v>
      </c>
      <c r="E688" s="12" t="str">
        <f t="shared" si="30"/>
        <v>Working Day</v>
      </c>
      <c r="F688" s="12">
        <v>1</v>
      </c>
      <c r="G688" s="12" t="str">
        <f t="shared" si="31"/>
        <v>Mon</v>
      </c>
      <c r="H688" s="12">
        <v>2</v>
      </c>
      <c r="I688" s="12" t="str">
        <f t="shared" si="32"/>
        <v>light rain</v>
      </c>
      <c r="J688" s="12">
        <v>0.16</v>
      </c>
      <c r="K688" s="12">
        <v>0.18179999999999999</v>
      </c>
      <c r="L688" s="12">
        <v>0.59</v>
      </c>
      <c r="M688" s="12">
        <v>0.1045</v>
      </c>
      <c r="N688" s="12">
        <v>0</v>
      </c>
      <c r="O688" s="12">
        <v>34</v>
      </c>
      <c r="P688" s="13">
        <v>34</v>
      </c>
    </row>
    <row r="689" spans="1:16" x14ac:dyDescent="0.25">
      <c r="A689" s="6">
        <v>688</v>
      </c>
      <c r="B689" s="7">
        <v>40574</v>
      </c>
      <c r="C689" s="8">
        <v>23</v>
      </c>
      <c r="D689" s="8" t="b">
        <v>0</v>
      </c>
      <c r="E689" s="8" t="str">
        <f t="shared" si="30"/>
        <v>Working Day</v>
      </c>
      <c r="F689" s="8">
        <v>1</v>
      </c>
      <c r="G689" s="8" t="str">
        <f t="shared" si="31"/>
        <v>Mon</v>
      </c>
      <c r="H689" s="8">
        <v>2</v>
      </c>
      <c r="I689" s="8" t="str">
        <f t="shared" si="32"/>
        <v>light rain</v>
      </c>
      <c r="J689" s="8">
        <v>0.16</v>
      </c>
      <c r="K689" s="8">
        <v>0.19700000000000001</v>
      </c>
      <c r="L689" s="8">
        <v>0.64</v>
      </c>
      <c r="M689" s="8">
        <v>8.9599999999999999E-2</v>
      </c>
      <c r="N689" s="8">
        <v>2</v>
      </c>
      <c r="O689" s="8">
        <v>15</v>
      </c>
      <c r="P689" s="9">
        <v>17</v>
      </c>
    </row>
    <row r="690" spans="1:16" x14ac:dyDescent="0.25">
      <c r="A690" s="10">
        <v>689</v>
      </c>
      <c r="B690" s="11">
        <v>40575</v>
      </c>
      <c r="C690" s="12">
        <v>0</v>
      </c>
      <c r="D690" s="12" t="b">
        <v>0</v>
      </c>
      <c r="E690" s="12" t="str">
        <f t="shared" si="30"/>
        <v>Working Day</v>
      </c>
      <c r="F690" s="12">
        <v>2</v>
      </c>
      <c r="G690" s="12" t="str">
        <f t="shared" si="31"/>
        <v>Tue</v>
      </c>
      <c r="H690" s="12">
        <v>2</v>
      </c>
      <c r="I690" s="12" t="str">
        <f t="shared" si="32"/>
        <v>light rain</v>
      </c>
      <c r="J690" s="12">
        <v>0.16</v>
      </c>
      <c r="K690" s="12">
        <v>0.18179999999999999</v>
      </c>
      <c r="L690" s="12">
        <v>0.64</v>
      </c>
      <c r="M690" s="12">
        <v>0.1045</v>
      </c>
      <c r="N690" s="12">
        <v>2</v>
      </c>
      <c r="O690" s="12">
        <v>6</v>
      </c>
      <c r="P690" s="13">
        <v>8</v>
      </c>
    </row>
    <row r="691" spans="1:16" x14ac:dyDescent="0.25">
      <c r="A691" s="6">
        <v>690</v>
      </c>
      <c r="B691" s="7">
        <v>40575</v>
      </c>
      <c r="C691" s="8">
        <v>1</v>
      </c>
      <c r="D691" s="8" t="b">
        <v>0</v>
      </c>
      <c r="E691" s="8" t="str">
        <f t="shared" si="30"/>
        <v>Working Day</v>
      </c>
      <c r="F691" s="8">
        <v>2</v>
      </c>
      <c r="G691" s="8" t="str">
        <f t="shared" si="31"/>
        <v>Tue</v>
      </c>
      <c r="H691" s="8">
        <v>2</v>
      </c>
      <c r="I691" s="8" t="str">
        <f t="shared" si="32"/>
        <v>light rain</v>
      </c>
      <c r="J691" s="8">
        <v>0.16</v>
      </c>
      <c r="K691" s="8">
        <v>0.18179999999999999</v>
      </c>
      <c r="L691" s="8">
        <v>0.69</v>
      </c>
      <c r="M691" s="8">
        <v>0.1045</v>
      </c>
      <c r="N691" s="8">
        <v>0</v>
      </c>
      <c r="O691" s="8">
        <v>3</v>
      </c>
      <c r="P691" s="9">
        <v>3</v>
      </c>
    </row>
    <row r="692" spans="1:16" x14ac:dyDescent="0.25">
      <c r="A692" s="10">
        <v>691</v>
      </c>
      <c r="B692" s="11">
        <v>40575</v>
      </c>
      <c r="C692" s="12">
        <v>2</v>
      </c>
      <c r="D692" s="12" t="b">
        <v>0</v>
      </c>
      <c r="E692" s="12" t="str">
        <f t="shared" si="30"/>
        <v>Working Day</v>
      </c>
      <c r="F692" s="12">
        <v>2</v>
      </c>
      <c r="G692" s="12" t="str">
        <f t="shared" si="31"/>
        <v>Tue</v>
      </c>
      <c r="H692" s="12">
        <v>2</v>
      </c>
      <c r="I692" s="12" t="str">
        <f t="shared" si="32"/>
        <v>light rain</v>
      </c>
      <c r="J692" s="12">
        <v>0.16</v>
      </c>
      <c r="K692" s="12">
        <v>0.2273</v>
      </c>
      <c r="L692" s="12">
        <v>0.69</v>
      </c>
      <c r="M692" s="12">
        <v>0</v>
      </c>
      <c r="N692" s="12">
        <v>0</v>
      </c>
      <c r="O692" s="12">
        <v>2</v>
      </c>
      <c r="P692" s="13">
        <v>2</v>
      </c>
    </row>
    <row r="693" spans="1:16" x14ac:dyDescent="0.25">
      <c r="A693" s="6">
        <v>692</v>
      </c>
      <c r="B693" s="7">
        <v>40575</v>
      </c>
      <c r="C693" s="8">
        <v>3</v>
      </c>
      <c r="D693" s="8" t="b">
        <v>0</v>
      </c>
      <c r="E693" s="8" t="str">
        <f t="shared" si="30"/>
        <v>Working Day</v>
      </c>
      <c r="F693" s="8">
        <v>2</v>
      </c>
      <c r="G693" s="8" t="str">
        <f t="shared" si="31"/>
        <v>Tue</v>
      </c>
      <c r="H693" s="8">
        <v>2</v>
      </c>
      <c r="I693" s="8" t="str">
        <f t="shared" si="32"/>
        <v>light rain</v>
      </c>
      <c r="J693" s="8">
        <v>0.16</v>
      </c>
      <c r="K693" s="8">
        <v>0.2273</v>
      </c>
      <c r="L693" s="8">
        <v>0.69</v>
      </c>
      <c r="M693" s="8">
        <v>0</v>
      </c>
      <c r="N693" s="8">
        <v>0</v>
      </c>
      <c r="O693" s="8">
        <v>2</v>
      </c>
      <c r="P693" s="9">
        <v>2</v>
      </c>
    </row>
    <row r="694" spans="1:16" x14ac:dyDescent="0.25">
      <c r="A694" s="10">
        <v>693</v>
      </c>
      <c r="B694" s="11">
        <v>40575</v>
      </c>
      <c r="C694" s="12">
        <v>5</v>
      </c>
      <c r="D694" s="12" t="b">
        <v>0</v>
      </c>
      <c r="E694" s="12" t="str">
        <f t="shared" si="30"/>
        <v>Working Day</v>
      </c>
      <c r="F694" s="12">
        <v>2</v>
      </c>
      <c r="G694" s="12" t="str">
        <f t="shared" si="31"/>
        <v>Tue</v>
      </c>
      <c r="H694" s="12">
        <v>3</v>
      </c>
      <c r="I694" s="12" t="str">
        <f t="shared" si="32"/>
        <v>heavy rain</v>
      </c>
      <c r="J694" s="12">
        <v>0.14000000000000001</v>
      </c>
      <c r="K694" s="12">
        <v>0.21210000000000001</v>
      </c>
      <c r="L694" s="12">
        <v>0.93</v>
      </c>
      <c r="M694" s="12">
        <v>0</v>
      </c>
      <c r="N694" s="12">
        <v>0</v>
      </c>
      <c r="O694" s="12">
        <v>3</v>
      </c>
      <c r="P694" s="13">
        <v>3</v>
      </c>
    </row>
    <row r="695" spans="1:16" x14ac:dyDescent="0.25">
      <c r="A695" s="6">
        <v>694</v>
      </c>
      <c r="B695" s="7">
        <v>40575</v>
      </c>
      <c r="C695" s="8">
        <v>6</v>
      </c>
      <c r="D695" s="8" t="b">
        <v>0</v>
      </c>
      <c r="E695" s="8" t="str">
        <f t="shared" si="30"/>
        <v>Working Day</v>
      </c>
      <c r="F695" s="8">
        <v>2</v>
      </c>
      <c r="G695" s="8" t="str">
        <f t="shared" si="31"/>
        <v>Tue</v>
      </c>
      <c r="H695" s="8">
        <v>3</v>
      </c>
      <c r="I695" s="8" t="str">
        <f t="shared" si="32"/>
        <v>heavy rain</v>
      </c>
      <c r="J695" s="8">
        <v>0.14000000000000001</v>
      </c>
      <c r="K695" s="8">
        <v>0.21210000000000001</v>
      </c>
      <c r="L695" s="8">
        <v>0.93</v>
      </c>
      <c r="M695" s="8">
        <v>0</v>
      </c>
      <c r="N695" s="8">
        <v>0</v>
      </c>
      <c r="O695" s="8">
        <v>22</v>
      </c>
      <c r="P695" s="9">
        <v>22</v>
      </c>
    </row>
    <row r="696" spans="1:16" x14ac:dyDescent="0.25">
      <c r="A696" s="10">
        <v>695</v>
      </c>
      <c r="B696" s="11">
        <v>40575</v>
      </c>
      <c r="C696" s="12">
        <v>7</v>
      </c>
      <c r="D696" s="12" t="b">
        <v>0</v>
      </c>
      <c r="E696" s="12" t="str">
        <f t="shared" si="30"/>
        <v>Working Day</v>
      </c>
      <c r="F696" s="12">
        <v>2</v>
      </c>
      <c r="G696" s="12" t="str">
        <f t="shared" si="31"/>
        <v>Tue</v>
      </c>
      <c r="H696" s="12">
        <v>3</v>
      </c>
      <c r="I696" s="12" t="str">
        <f t="shared" si="32"/>
        <v>heavy rain</v>
      </c>
      <c r="J696" s="12">
        <v>0.16</v>
      </c>
      <c r="K696" s="12">
        <v>0.2273</v>
      </c>
      <c r="L696" s="12">
        <v>0.93</v>
      </c>
      <c r="M696" s="12">
        <v>0</v>
      </c>
      <c r="N696" s="12">
        <v>0</v>
      </c>
      <c r="O696" s="12">
        <v>52</v>
      </c>
      <c r="P696" s="13">
        <v>52</v>
      </c>
    </row>
    <row r="697" spans="1:16" x14ac:dyDescent="0.25">
      <c r="A697" s="6">
        <v>696</v>
      </c>
      <c r="B697" s="7">
        <v>40575</v>
      </c>
      <c r="C697" s="8">
        <v>8</v>
      </c>
      <c r="D697" s="8" t="b">
        <v>0</v>
      </c>
      <c r="E697" s="8" t="str">
        <f t="shared" si="30"/>
        <v>Working Day</v>
      </c>
      <c r="F697" s="8">
        <v>2</v>
      </c>
      <c r="G697" s="8" t="str">
        <f t="shared" si="31"/>
        <v>Tue</v>
      </c>
      <c r="H697" s="8">
        <v>3</v>
      </c>
      <c r="I697" s="8" t="str">
        <f t="shared" si="32"/>
        <v>heavy rain</v>
      </c>
      <c r="J697" s="8">
        <v>0.16</v>
      </c>
      <c r="K697" s="8">
        <v>0.2273</v>
      </c>
      <c r="L697" s="8">
        <v>0.93</v>
      </c>
      <c r="M697" s="8">
        <v>0</v>
      </c>
      <c r="N697" s="8">
        <v>3</v>
      </c>
      <c r="O697" s="8">
        <v>132</v>
      </c>
      <c r="P697" s="9">
        <v>135</v>
      </c>
    </row>
    <row r="698" spans="1:16" x14ac:dyDescent="0.25">
      <c r="A698" s="10">
        <v>697</v>
      </c>
      <c r="B698" s="11">
        <v>40575</v>
      </c>
      <c r="C698" s="12">
        <v>9</v>
      </c>
      <c r="D698" s="12" t="b">
        <v>0</v>
      </c>
      <c r="E698" s="12" t="str">
        <f t="shared" si="30"/>
        <v>Working Day</v>
      </c>
      <c r="F698" s="12">
        <v>2</v>
      </c>
      <c r="G698" s="12" t="str">
        <f t="shared" si="31"/>
        <v>Tue</v>
      </c>
      <c r="H698" s="12">
        <v>2</v>
      </c>
      <c r="I698" s="12" t="str">
        <f t="shared" si="32"/>
        <v>light rain</v>
      </c>
      <c r="J698" s="12">
        <v>0.16</v>
      </c>
      <c r="K698" s="12">
        <v>0.2273</v>
      </c>
      <c r="L698" s="12">
        <v>0.93</v>
      </c>
      <c r="M698" s="12">
        <v>0</v>
      </c>
      <c r="N698" s="12">
        <v>2</v>
      </c>
      <c r="O698" s="12">
        <v>114</v>
      </c>
      <c r="P698" s="13">
        <v>116</v>
      </c>
    </row>
    <row r="699" spans="1:16" x14ac:dyDescent="0.25">
      <c r="A699" s="6">
        <v>698</v>
      </c>
      <c r="B699" s="7">
        <v>40575</v>
      </c>
      <c r="C699" s="8">
        <v>10</v>
      </c>
      <c r="D699" s="8" t="b">
        <v>0</v>
      </c>
      <c r="E699" s="8" t="str">
        <f t="shared" si="30"/>
        <v>Working Day</v>
      </c>
      <c r="F699" s="8">
        <v>2</v>
      </c>
      <c r="G699" s="8" t="str">
        <f t="shared" si="31"/>
        <v>Tue</v>
      </c>
      <c r="H699" s="8">
        <v>2</v>
      </c>
      <c r="I699" s="8" t="str">
        <f t="shared" si="32"/>
        <v>light rain</v>
      </c>
      <c r="J699" s="8">
        <v>0.16</v>
      </c>
      <c r="K699" s="8">
        <v>0.2273</v>
      </c>
      <c r="L699" s="8">
        <v>0.93</v>
      </c>
      <c r="M699" s="8">
        <v>0</v>
      </c>
      <c r="N699" s="8">
        <v>0</v>
      </c>
      <c r="O699" s="8">
        <v>47</v>
      </c>
      <c r="P699" s="9">
        <v>47</v>
      </c>
    </row>
    <row r="700" spans="1:16" x14ac:dyDescent="0.25">
      <c r="A700" s="10">
        <v>699</v>
      </c>
      <c r="B700" s="11">
        <v>40575</v>
      </c>
      <c r="C700" s="12">
        <v>11</v>
      </c>
      <c r="D700" s="12" t="b">
        <v>0</v>
      </c>
      <c r="E700" s="12" t="str">
        <f t="shared" si="30"/>
        <v>Working Day</v>
      </c>
      <c r="F700" s="12">
        <v>2</v>
      </c>
      <c r="G700" s="12" t="str">
        <f t="shared" si="31"/>
        <v>Tue</v>
      </c>
      <c r="H700" s="12">
        <v>2</v>
      </c>
      <c r="I700" s="12" t="str">
        <f t="shared" si="32"/>
        <v>light rain</v>
      </c>
      <c r="J700" s="12">
        <v>0.18</v>
      </c>
      <c r="K700" s="12">
        <v>0.2424</v>
      </c>
      <c r="L700" s="12">
        <v>0.86</v>
      </c>
      <c r="M700" s="12">
        <v>0</v>
      </c>
      <c r="N700" s="12">
        <v>2</v>
      </c>
      <c r="O700" s="12">
        <v>49</v>
      </c>
      <c r="P700" s="13">
        <v>51</v>
      </c>
    </row>
    <row r="701" spans="1:16" x14ac:dyDescent="0.25">
      <c r="A701" s="6">
        <v>700</v>
      </c>
      <c r="B701" s="7">
        <v>40575</v>
      </c>
      <c r="C701" s="8">
        <v>12</v>
      </c>
      <c r="D701" s="8" t="b">
        <v>0</v>
      </c>
      <c r="E701" s="8" t="str">
        <f t="shared" si="30"/>
        <v>Working Day</v>
      </c>
      <c r="F701" s="8">
        <v>2</v>
      </c>
      <c r="G701" s="8" t="str">
        <f t="shared" si="31"/>
        <v>Tue</v>
      </c>
      <c r="H701" s="8">
        <v>2</v>
      </c>
      <c r="I701" s="8" t="str">
        <f t="shared" si="32"/>
        <v>light rain</v>
      </c>
      <c r="J701" s="8">
        <v>0.2</v>
      </c>
      <c r="K701" s="8">
        <v>0.2576</v>
      </c>
      <c r="L701" s="8">
        <v>0.86</v>
      </c>
      <c r="M701" s="8">
        <v>0</v>
      </c>
      <c r="N701" s="8">
        <v>2</v>
      </c>
      <c r="O701" s="8">
        <v>53</v>
      </c>
      <c r="P701" s="9">
        <v>55</v>
      </c>
    </row>
    <row r="702" spans="1:16" x14ac:dyDescent="0.25">
      <c r="A702" s="10">
        <v>701</v>
      </c>
      <c r="B702" s="11">
        <v>40575</v>
      </c>
      <c r="C702" s="12">
        <v>13</v>
      </c>
      <c r="D702" s="12" t="b">
        <v>0</v>
      </c>
      <c r="E702" s="12" t="str">
        <f t="shared" si="30"/>
        <v>Working Day</v>
      </c>
      <c r="F702" s="12">
        <v>2</v>
      </c>
      <c r="G702" s="12" t="str">
        <f t="shared" si="31"/>
        <v>Tue</v>
      </c>
      <c r="H702" s="12">
        <v>2</v>
      </c>
      <c r="I702" s="12" t="str">
        <f t="shared" si="32"/>
        <v>light rain</v>
      </c>
      <c r="J702" s="12">
        <v>0.2</v>
      </c>
      <c r="K702" s="12">
        <v>0.2576</v>
      </c>
      <c r="L702" s="12">
        <v>0.86</v>
      </c>
      <c r="M702" s="12">
        <v>0</v>
      </c>
      <c r="N702" s="12">
        <v>3</v>
      </c>
      <c r="O702" s="12">
        <v>49</v>
      </c>
      <c r="P702" s="13">
        <v>52</v>
      </c>
    </row>
    <row r="703" spans="1:16" x14ac:dyDescent="0.25">
      <c r="A703" s="6">
        <v>702</v>
      </c>
      <c r="B703" s="7">
        <v>40575</v>
      </c>
      <c r="C703" s="8">
        <v>14</v>
      </c>
      <c r="D703" s="8" t="b">
        <v>0</v>
      </c>
      <c r="E703" s="8" t="str">
        <f t="shared" si="30"/>
        <v>Working Day</v>
      </c>
      <c r="F703" s="8">
        <v>2</v>
      </c>
      <c r="G703" s="8" t="str">
        <f t="shared" si="31"/>
        <v>Tue</v>
      </c>
      <c r="H703" s="8">
        <v>2</v>
      </c>
      <c r="I703" s="8" t="str">
        <f t="shared" si="32"/>
        <v>light rain</v>
      </c>
      <c r="J703" s="8">
        <v>0.22</v>
      </c>
      <c r="K703" s="8">
        <v>0.2576</v>
      </c>
      <c r="L703" s="8">
        <v>0.8</v>
      </c>
      <c r="M703" s="8">
        <v>8.9599999999999999E-2</v>
      </c>
      <c r="N703" s="8">
        <v>5</v>
      </c>
      <c r="O703" s="8">
        <v>49</v>
      </c>
      <c r="P703" s="9">
        <v>54</v>
      </c>
    </row>
    <row r="704" spans="1:16" x14ac:dyDescent="0.25">
      <c r="A704" s="10">
        <v>703</v>
      </c>
      <c r="B704" s="11">
        <v>40575</v>
      </c>
      <c r="C704" s="12">
        <v>15</v>
      </c>
      <c r="D704" s="12" t="b">
        <v>0</v>
      </c>
      <c r="E704" s="12" t="str">
        <f t="shared" si="30"/>
        <v>Working Day</v>
      </c>
      <c r="F704" s="12">
        <v>2</v>
      </c>
      <c r="G704" s="12" t="str">
        <f t="shared" si="31"/>
        <v>Tue</v>
      </c>
      <c r="H704" s="12">
        <v>2</v>
      </c>
      <c r="I704" s="12" t="str">
        <f t="shared" si="32"/>
        <v>light rain</v>
      </c>
      <c r="J704" s="12">
        <v>0.24</v>
      </c>
      <c r="K704" s="12">
        <v>0.28789999999999999</v>
      </c>
      <c r="L704" s="12">
        <v>0.75</v>
      </c>
      <c r="M704" s="12">
        <v>0</v>
      </c>
      <c r="N704" s="12">
        <v>7</v>
      </c>
      <c r="O704" s="12">
        <v>45</v>
      </c>
      <c r="P704" s="13">
        <v>52</v>
      </c>
    </row>
    <row r="705" spans="1:16" x14ac:dyDescent="0.25">
      <c r="A705" s="6">
        <v>704</v>
      </c>
      <c r="B705" s="7">
        <v>40575</v>
      </c>
      <c r="C705" s="8">
        <v>16</v>
      </c>
      <c r="D705" s="8" t="b">
        <v>0</v>
      </c>
      <c r="E705" s="8" t="str">
        <f t="shared" si="30"/>
        <v>Working Day</v>
      </c>
      <c r="F705" s="8">
        <v>2</v>
      </c>
      <c r="G705" s="8" t="str">
        <f t="shared" si="31"/>
        <v>Tue</v>
      </c>
      <c r="H705" s="8">
        <v>2</v>
      </c>
      <c r="I705" s="8" t="str">
        <f t="shared" si="32"/>
        <v>light rain</v>
      </c>
      <c r="J705" s="8">
        <v>0.24</v>
      </c>
      <c r="K705" s="8">
        <v>0.2424</v>
      </c>
      <c r="L705" s="8">
        <v>0.75</v>
      </c>
      <c r="M705" s="8">
        <v>0.1343</v>
      </c>
      <c r="N705" s="8">
        <v>3</v>
      </c>
      <c r="O705" s="8">
        <v>61</v>
      </c>
      <c r="P705" s="9">
        <v>64</v>
      </c>
    </row>
    <row r="706" spans="1:16" x14ac:dyDescent="0.25">
      <c r="A706" s="10">
        <v>705</v>
      </c>
      <c r="B706" s="11">
        <v>40575</v>
      </c>
      <c r="C706" s="12">
        <v>17</v>
      </c>
      <c r="D706" s="12" t="b">
        <v>0</v>
      </c>
      <c r="E706" s="12" t="str">
        <f t="shared" ref="E706:E769" si="33">IF(D706=FALSE,"Working Day","Holiday")</f>
        <v>Working Day</v>
      </c>
      <c r="F706" s="12">
        <v>2</v>
      </c>
      <c r="G706" s="12" t="str">
        <f t="shared" ref="G706:G769" si="34">TEXT(F706+1, "ddd")</f>
        <v>Tue</v>
      </c>
      <c r="H706" s="12">
        <v>2</v>
      </c>
      <c r="I706" s="12" t="str">
        <f t="shared" si="32"/>
        <v>light rain</v>
      </c>
      <c r="J706" s="12">
        <v>0.24</v>
      </c>
      <c r="K706" s="12">
        <v>0.28789999999999999</v>
      </c>
      <c r="L706" s="12">
        <v>0.75</v>
      </c>
      <c r="M706" s="12">
        <v>0</v>
      </c>
      <c r="N706" s="12">
        <v>4</v>
      </c>
      <c r="O706" s="12">
        <v>172</v>
      </c>
      <c r="P706" s="13">
        <v>176</v>
      </c>
    </row>
    <row r="707" spans="1:16" x14ac:dyDescent="0.25">
      <c r="A707" s="6">
        <v>706</v>
      </c>
      <c r="B707" s="7">
        <v>40575</v>
      </c>
      <c r="C707" s="8">
        <v>18</v>
      </c>
      <c r="D707" s="8" t="b">
        <v>0</v>
      </c>
      <c r="E707" s="8" t="str">
        <f t="shared" si="33"/>
        <v>Working Day</v>
      </c>
      <c r="F707" s="8">
        <v>2</v>
      </c>
      <c r="G707" s="8" t="str">
        <f t="shared" si="34"/>
        <v>Tue</v>
      </c>
      <c r="H707" s="8">
        <v>2</v>
      </c>
      <c r="I707" s="8" t="str">
        <f t="shared" ref="I707:I770" si="35">IF(H707=0, "clear", IF(H707=1, "mist/cloudy", IF(H707=2, "light rain", IF(H707=3, "heavy rain", IF(H707=4, "extreme weather condition", "Unknown")))))</f>
        <v>light rain</v>
      </c>
      <c r="J707" s="8">
        <v>0.24</v>
      </c>
      <c r="K707" s="8">
        <v>0.2576</v>
      </c>
      <c r="L707" s="8">
        <v>0.81</v>
      </c>
      <c r="M707" s="8">
        <v>0.1045</v>
      </c>
      <c r="N707" s="8">
        <v>3</v>
      </c>
      <c r="O707" s="8">
        <v>165</v>
      </c>
      <c r="P707" s="9">
        <v>168</v>
      </c>
    </row>
    <row r="708" spans="1:16" x14ac:dyDescent="0.25">
      <c r="A708" s="10">
        <v>707</v>
      </c>
      <c r="B708" s="11">
        <v>40575</v>
      </c>
      <c r="C708" s="12">
        <v>19</v>
      </c>
      <c r="D708" s="12" t="b">
        <v>0</v>
      </c>
      <c r="E708" s="12" t="str">
        <f t="shared" si="33"/>
        <v>Working Day</v>
      </c>
      <c r="F708" s="12">
        <v>2</v>
      </c>
      <c r="G708" s="12" t="str">
        <f t="shared" si="34"/>
        <v>Tue</v>
      </c>
      <c r="H708" s="12">
        <v>2</v>
      </c>
      <c r="I708" s="12" t="str">
        <f t="shared" si="35"/>
        <v>light rain</v>
      </c>
      <c r="J708" s="12">
        <v>0.24</v>
      </c>
      <c r="K708" s="12">
        <v>0.2424</v>
      </c>
      <c r="L708" s="12">
        <v>0.81</v>
      </c>
      <c r="M708" s="12">
        <v>0.1343</v>
      </c>
      <c r="N708" s="12">
        <v>3</v>
      </c>
      <c r="O708" s="12">
        <v>105</v>
      </c>
      <c r="P708" s="13">
        <v>108</v>
      </c>
    </row>
    <row r="709" spans="1:16" x14ac:dyDescent="0.25">
      <c r="A709" s="6">
        <v>708</v>
      </c>
      <c r="B709" s="7">
        <v>40575</v>
      </c>
      <c r="C709" s="8">
        <v>20</v>
      </c>
      <c r="D709" s="8" t="b">
        <v>0</v>
      </c>
      <c r="E709" s="8" t="str">
        <f t="shared" si="33"/>
        <v>Working Day</v>
      </c>
      <c r="F709" s="8">
        <v>2</v>
      </c>
      <c r="G709" s="8" t="str">
        <f t="shared" si="34"/>
        <v>Tue</v>
      </c>
      <c r="H709" s="8">
        <v>2</v>
      </c>
      <c r="I709" s="8" t="str">
        <f t="shared" si="35"/>
        <v>light rain</v>
      </c>
      <c r="J709" s="8">
        <v>0.22</v>
      </c>
      <c r="K709" s="8">
        <v>0.2273</v>
      </c>
      <c r="L709" s="8">
        <v>0.87</v>
      </c>
      <c r="M709" s="8">
        <v>0.1343</v>
      </c>
      <c r="N709" s="8">
        <v>5</v>
      </c>
      <c r="O709" s="8">
        <v>69</v>
      </c>
      <c r="P709" s="9">
        <v>74</v>
      </c>
    </row>
    <row r="710" spans="1:16" x14ac:dyDescent="0.25">
      <c r="A710" s="10">
        <v>709</v>
      </c>
      <c r="B710" s="11">
        <v>40575</v>
      </c>
      <c r="C710" s="12">
        <v>21</v>
      </c>
      <c r="D710" s="12" t="b">
        <v>0</v>
      </c>
      <c r="E710" s="12" t="str">
        <f t="shared" si="33"/>
        <v>Working Day</v>
      </c>
      <c r="F710" s="12">
        <v>2</v>
      </c>
      <c r="G710" s="12" t="str">
        <f t="shared" si="34"/>
        <v>Tue</v>
      </c>
      <c r="H710" s="12">
        <v>2</v>
      </c>
      <c r="I710" s="12" t="str">
        <f t="shared" si="35"/>
        <v>light rain</v>
      </c>
      <c r="J710" s="12">
        <v>0.22</v>
      </c>
      <c r="K710" s="12">
        <v>0.2273</v>
      </c>
      <c r="L710" s="12">
        <v>0.87</v>
      </c>
      <c r="M710" s="12">
        <v>0.1343</v>
      </c>
      <c r="N710" s="12">
        <v>0</v>
      </c>
      <c r="O710" s="12">
        <v>64</v>
      </c>
      <c r="P710" s="13">
        <v>64</v>
      </c>
    </row>
    <row r="711" spans="1:16" x14ac:dyDescent="0.25">
      <c r="A711" s="6">
        <v>710</v>
      </c>
      <c r="B711" s="7">
        <v>40575</v>
      </c>
      <c r="C711" s="8">
        <v>22</v>
      </c>
      <c r="D711" s="8" t="b">
        <v>0</v>
      </c>
      <c r="E711" s="8" t="str">
        <f t="shared" si="33"/>
        <v>Working Day</v>
      </c>
      <c r="F711" s="8">
        <v>2</v>
      </c>
      <c r="G711" s="8" t="str">
        <f t="shared" si="34"/>
        <v>Tue</v>
      </c>
      <c r="H711" s="8">
        <v>2</v>
      </c>
      <c r="I711" s="8" t="str">
        <f t="shared" si="35"/>
        <v>light rain</v>
      </c>
      <c r="J711" s="8">
        <v>0.22</v>
      </c>
      <c r="K711" s="8">
        <v>0.2576</v>
      </c>
      <c r="L711" s="8">
        <v>0.87</v>
      </c>
      <c r="M711" s="8">
        <v>8.9599999999999999E-2</v>
      </c>
      <c r="N711" s="8">
        <v>2</v>
      </c>
      <c r="O711" s="8">
        <v>34</v>
      </c>
      <c r="P711" s="9">
        <v>36</v>
      </c>
    </row>
    <row r="712" spans="1:16" x14ac:dyDescent="0.25">
      <c r="A712" s="10">
        <v>711</v>
      </c>
      <c r="B712" s="11">
        <v>40575</v>
      </c>
      <c r="C712" s="12">
        <v>23</v>
      </c>
      <c r="D712" s="12" t="b">
        <v>0</v>
      </c>
      <c r="E712" s="12" t="str">
        <f t="shared" si="33"/>
        <v>Working Day</v>
      </c>
      <c r="F712" s="12">
        <v>2</v>
      </c>
      <c r="G712" s="12" t="str">
        <f t="shared" si="34"/>
        <v>Tue</v>
      </c>
      <c r="H712" s="12">
        <v>3</v>
      </c>
      <c r="I712" s="12" t="str">
        <f t="shared" si="35"/>
        <v>heavy rain</v>
      </c>
      <c r="J712" s="12">
        <v>0.2</v>
      </c>
      <c r="K712" s="12">
        <v>0.19700000000000001</v>
      </c>
      <c r="L712" s="12">
        <v>0.93</v>
      </c>
      <c r="M712" s="12">
        <v>0.19400000000000001</v>
      </c>
      <c r="N712" s="12">
        <v>1</v>
      </c>
      <c r="O712" s="12">
        <v>15</v>
      </c>
      <c r="P712" s="13">
        <v>16</v>
      </c>
    </row>
    <row r="713" spans="1:16" x14ac:dyDescent="0.25">
      <c r="A713" s="6">
        <v>712</v>
      </c>
      <c r="B713" s="7">
        <v>40576</v>
      </c>
      <c r="C713" s="8">
        <v>0</v>
      </c>
      <c r="D713" s="8" t="b">
        <v>0</v>
      </c>
      <c r="E713" s="8" t="str">
        <f t="shared" si="33"/>
        <v>Working Day</v>
      </c>
      <c r="F713" s="8">
        <v>3</v>
      </c>
      <c r="G713" s="8" t="str">
        <f t="shared" si="34"/>
        <v>Wed</v>
      </c>
      <c r="H713" s="8">
        <v>3</v>
      </c>
      <c r="I713" s="8" t="str">
        <f t="shared" si="35"/>
        <v>heavy rain</v>
      </c>
      <c r="J713" s="8">
        <v>0.22</v>
      </c>
      <c r="K713" s="8">
        <v>0.2424</v>
      </c>
      <c r="L713" s="8">
        <v>0.93</v>
      </c>
      <c r="M713" s="8">
        <v>0.1045</v>
      </c>
      <c r="N713" s="8">
        <v>0</v>
      </c>
      <c r="O713" s="8">
        <v>2</v>
      </c>
      <c r="P713" s="9">
        <v>2</v>
      </c>
    </row>
    <row r="714" spans="1:16" x14ac:dyDescent="0.25">
      <c r="A714" s="10">
        <v>713</v>
      </c>
      <c r="B714" s="11">
        <v>40576</v>
      </c>
      <c r="C714" s="12">
        <v>1</v>
      </c>
      <c r="D714" s="12" t="b">
        <v>0</v>
      </c>
      <c r="E714" s="12" t="str">
        <f t="shared" si="33"/>
        <v>Working Day</v>
      </c>
      <c r="F714" s="12">
        <v>3</v>
      </c>
      <c r="G714" s="12" t="str">
        <f t="shared" si="34"/>
        <v>Wed</v>
      </c>
      <c r="H714" s="12">
        <v>3</v>
      </c>
      <c r="I714" s="12" t="str">
        <f t="shared" si="35"/>
        <v>heavy rain</v>
      </c>
      <c r="J714" s="12">
        <v>0.22</v>
      </c>
      <c r="K714" s="12">
        <v>0.2273</v>
      </c>
      <c r="L714" s="12">
        <v>0.93</v>
      </c>
      <c r="M714" s="12">
        <v>0.19400000000000001</v>
      </c>
      <c r="N714" s="12">
        <v>0</v>
      </c>
      <c r="O714" s="12">
        <v>3</v>
      </c>
      <c r="P714" s="13">
        <v>3</v>
      </c>
    </row>
    <row r="715" spans="1:16" x14ac:dyDescent="0.25">
      <c r="A715" s="6">
        <v>714</v>
      </c>
      <c r="B715" s="7">
        <v>40576</v>
      </c>
      <c r="C715" s="8">
        <v>2</v>
      </c>
      <c r="D715" s="8" t="b">
        <v>0</v>
      </c>
      <c r="E715" s="8" t="str">
        <f t="shared" si="33"/>
        <v>Working Day</v>
      </c>
      <c r="F715" s="8">
        <v>3</v>
      </c>
      <c r="G715" s="8" t="str">
        <f t="shared" si="34"/>
        <v>Wed</v>
      </c>
      <c r="H715" s="8">
        <v>3</v>
      </c>
      <c r="I715" s="8" t="str">
        <f t="shared" si="35"/>
        <v>heavy rain</v>
      </c>
      <c r="J715" s="8">
        <v>0.22</v>
      </c>
      <c r="K715" s="8">
        <v>0.2273</v>
      </c>
      <c r="L715" s="8">
        <v>0.93</v>
      </c>
      <c r="M715" s="8">
        <v>0.1343</v>
      </c>
      <c r="N715" s="8">
        <v>4</v>
      </c>
      <c r="O715" s="8">
        <v>0</v>
      </c>
      <c r="P715" s="9">
        <v>4</v>
      </c>
    </row>
    <row r="716" spans="1:16" x14ac:dyDescent="0.25">
      <c r="A716" s="10">
        <v>715</v>
      </c>
      <c r="B716" s="11">
        <v>40576</v>
      </c>
      <c r="C716" s="12">
        <v>3</v>
      </c>
      <c r="D716" s="12" t="b">
        <v>0</v>
      </c>
      <c r="E716" s="12" t="str">
        <f t="shared" si="33"/>
        <v>Working Day</v>
      </c>
      <c r="F716" s="12">
        <v>3</v>
      </c>
      <c r="G716" s="12" t="str">
        <f t="shared" si="34"/>
        <v>Wed</v>
      </c>
      <c r="H716" s="12">
        <v>3</v>
      </c>
      <c r="I716" s="12" t="str">
        <f t="shared" si="35"/>
        <v>heavy rain</v>
      </c>
      <c r="J716" s="12">
        <v>0.22</v>
      </c>
      <c r="K716" s="12">
        <v>0.2273</v>
      </c>
      <c r="L716" s="12">
        <v>0.93</v>
      </c>
      <c r="M716" s="12">
        <v>0.1343</v>
      </c>
      <c r="N716" s="12">
        <v>0</v>
      </c>
      <c r="O716" s="12">
        <v>1</v>
      </c>
      <c r="P716" s="13">
        <v>1</v>
      </c>
    </row>
    <row r="717" spans="1:16" x14ac:dyDescent="0.25">
      <c r="A717" s="6">
        <v>716</v>
      </c>
      <c r="B717" s="7">
        <v>40576</v>
      </c>
      <c r="C717" s="8">
        <v>4</v>
      </c>
      <c r="D717" s="8" t="b">
        <v>0</v>
      </c>
      <c r="E717" s="8" t="str">
        <f t="shared" si="33"/>
        <v>Working Day</v>
      </c>
      <c r="F717" s="8">
        <v>3</v>
      </c>
      <c r="G717" s="8" t="str">
        <f t="shared" si="34"/>
        <v>Wed</v>
      </c>
      <c r="H717" s="8">
        <v>3</v>
      </c>
      <c r="I717" s="8" t="str">
        <f t="shared" si="35"/>
        <v>heavy rain</v>
      </c>
      <c r="J717" s="8">
        <v>0.22</v>
      </c>
      <c r="K717" s="8">
        <v>0.21210000000000001</v>
      </c>
      <c r="L717" s="8">
        <v>0.93</v>
      </c>
      <c r="M717" s="8">
        <v>0.28360000000000002</v>
      </c>
      <c r="N717" s="8">
        <v>0</v>
      </c>
      <c r="O717" s="8">
        <v>1</v>
      </c>
      <c r="P717" s="9">
        <v>1</v>
      </c>
    </row>
    <row r="718" spans="1:16" x14ac:dyDescent="0.25">
      <c r="A718" s="10">
        <v>717</v>
      </c>
      <c r="B718" s="11">
        <v>40576</v>
      </c>
      <c r="C718" s="12">
        <v>5</v>
      </c>
      <c r="D718" s="12" t="b">
        <v>0</v>
      </c>
      <c r="E718" s="12" t="str">
        <f t="shared" si="33"/>
        <v>Working Day</v>
      </c>
      <c r="F718" s="12">
        <v>3</v>
      </c>
      <c r="G718" s="12" t="str">
        <f t="shared" si="34"/>
        <v>Wed</v>
      </c>
      <c r="H718" s="12">
        <v>3</v>
      </c>
      <c r="I718" s="12" t="str">
        <f t="shared" si="35"/>
        <v>heavy rain</v>
      </c>
      <c r="J718" s="12">
        <v>0.22</v>
      </c>
      <c r="K718" s="12">
        <v>0.2424</v>
      </c>
      <c r="L718" s="12">
        <v>0.93</v>
      </c>
      <c r="M718" s="12">
        <v>0.1045</v>
      </c>
      <c r="N718" s="12">
        <v>0</v>
      </c>
      <c r="O718" s="12">
        <v>3</v>
      </c>
      <c r="P718" s="13">
        <v>3</v>
      </c>
    </row>
    <row r="719" spans="1:16" x14ac:dyDescent="0.25">
      <c r="A719" s="6">
        <v>718</v>
      </c>
      <c r="B719" s="7">
        <v>40576</v>
      </c>
      <c r="C719" s="8">
        <v>6</v>
      </c>
      <c r="D719" s="8" t="b">
        <v>0</v>
      </c>
      <c r="E719" s="8" t="str">
        <f t="shared" si="33"/>
        <v>Working Day</v>
      </c>
      <c r="F719" s="8">
        <v>3</v>
      </c>
      <c r="G719" s="8" t="str">
        <f t="shared" si="34"/>
        <v>Wed</v>
      </c>
      <c r="H719" s="8">
        <v>3</v>
      </c>
      <c r="I719" s="8" t="str">
        <f t="shared" si="35"/>
        <v>heavy rain</v>
      </c>
      <c r="J719" s="8">
        <v>0.22</v>
      </c>
      <c r="K719" s="8">
        <v>0.2424</v>
      </c>
      <c r="L719" s="8">
        <v>0.93</v>
      </c>
      <c r="M719" s="8">
        <v>0.1045</v>
      </c>
      <c r="N719" s="8">
        <v>1</v>
      </c>
      <c r="O719" s="8">
        <v>17</v>
      </c>
      <c r="P719" s="9">
        <v>18</v>
      </c>
    </row>
    <row r="720" spans="1:16" x14ac:dyDescent="0.25">
      <c r="A720" s="10">
        <v>719</v>
      </c>
      <c r="B720" s="11">
        <v>40576</v>
      </c>
      <c r="C720" s="12">
        <v>7</v>
      </c>
      <c r="D720" s="12" t="b">
        <v>0</v>
      </c>
      <c r="E720" s="12" t="str">
        <f t="shared" si="33"/>
        <v>Working Day</v>
      </c>
      <c r="F720" s="12">
        <v>3</v>
      </c>
      <c r="G720" s="12" t="str">
        <f t="shared" si="34"/>
        <v>Wed</v>
      </c>
      <c r="H720" s="12">
        <v>3</v>
      </c>
      <c r="I720" s="12" t="str">
        <f t="shared" si="35"/>
        <v>heavy rain</v>
      </c>
      <c r="J720" s="12">
        <v>0.22</v>
      </c>
      <c r="K720" s="12">
        <v>0.21210000000000001</v>
      </c>
      <c r="L720" s="12">
        <v>0.93</v>
      </c>
      <c r="M720" s="12">
        <v>0.22389999999999999</v>
      </c>
      <c r="N720" s="12">
        <v>1</v>
      </c>
      <c r="O720" s="12">
        <v>48</v>
      </c>
      <c r="P720" s="13">
        <v>49</v>
      </c>
    </row>
    <row r="721" spans="1:16" x14ac:dyDescent="0.25">
      <c r="A721" s="6">
        <v>720</v>
      </c>
      <c r="B721" s="7">
        <v>40576</v>
      </c>
      <c r="C721" s="8">
        <v>8</v>
      </c>
      <c r="D721" s="8" t="b">
        <v>0</v>
      </c>
      <c r="E721" s="8" t="str">
        <f t="shared" si="33"/>
        <v>Working Day</v>
      </c>
      <c r="F721" s="8">
        <v>3</v>
      </c>
      <c r="G721" s="8" t="str">
        <f t="shared" si="34"/>
        <v>Wed</v>
      </c>
      <c r="H721" s="8">
        <v>3</v>
      </c>
      <c r="I721" s="8" t="str">
        <f t="shared" si="35"/>
        <v>heavy rain</v>
      </c>
      <c r="J721" s="8">
        <v>0.22</v>
      </c>
      <c r="K721" s="8">
        <v>0.21210000000000001</v>
      </c>
      <c r="L721" s="8">
        <v>0.93</v>
      </c>
      <c r="M721" s="8">
        <v>0.22389999999999999</v>
      </c>
      <c r="N721" s="8">
        <v>1</v>
      </c>
      <c r="O721" s="8">
        <v>154</v>
      </c>
      <c r="P721" s="9">
        <v>155</v>
      </c>
    </row>
    <row r="722" spans="1:16" x14ac:dyDescent="0.25">
      <c r="A722" s="10">
        <v>721</v>
      </c>
      <c r="B722" s="11">
        <v>40576</v>
      </c>
      <c r="C722" s="12">
        <v>9</v>
      </c>
      <c r="D722" s="12" t="b">
        <v>0</v>
      </c>
      <c r="E722" s="12" t="str">
        <f t="shared" si="33"/>
        <v>Working Day</v>
      </c>
      <c r="F722" s="12">
        <v>3</v>
      </c>
      <c r="G722" s="12" t="str">
        <f t="shared" si="34"/>
        <v>Wed</v>
      </c>
      <c r="H722" s="12">
        <v>2</v>
      </c>
      <c r="I722" s="12" t="str">
        <f t="shared" si="35"/>
        <v>light rain</v>
      </c>
      <c r="J722" s="12">
        <v>0.24</v>
      </c>
      <c r="K722" s="12">
        <v>0.2576</v>
      </c>
      <c r="L722" s="12">
        <v>0.93</v>
      </c>
      <c r="M722" s="12">
        <v>8.9599999999999999E-2</v>
      </c>
      <c r="N722" s="12">
        <v>4</v>
      </c>
      <c r="O722" s="12">
        <v>119</v>
      </c>
      <c r="P722" s="13">
        <v>123</v>
      </c>
    </row>
    <row r="723" spans="1:16" x14ac:dyDescent="0.25">
      <c r="A723" s="6">
        <v>722</v>
      </c>
      <c r="B723" s="7">
        <v>40576</v>
      </c>
      <c r="C723" s="8">
        <v>10</v>
      </c>
      <c r="D723" s="8" t="b">
        <v>0</v>
      </c>
      <c r="E723" s="8" t="str">
        <f t="shared" si="33"/>
        <v>Working Day</v>
      </c>
      <c r="F723" s="8">
        <v>3</v>
      </c>
      <c r="G723" s="8" t="str">
        <f t="shared" si="34"/>
        <v>Wed</v>
      </c>
      <c r="H723" s="8">
        <v>2</v>
      </c>
      <c r="I723" s="8" t="str">
        <f t="shared" si="35"/>
        <v>light rain</v>
      </c>
      <c r="J723" s="8">
        <v>0.22</v>
      </c>
      <c r="K723" s="8">
        <v>0.2727</v>
      </c>
      <c r="L723" s="8">
        <v>1</v>
      </c>
      <c r="M723" s="8">
        <v>0</v>
      </c>
      <c r="N723" s="8">
        <v>2</v>
      </c>
      <c r="O723" s="8">
        <v>59</v>
      </c>
      <c r="P723" s="9">
        <v>61</v>
      </c>
    </row>
    <row r="724" spans="1:16" x14ac:dyDescent="0.25">
      <c r="A724" s="10">
        <v>723</v>
      </c>
      <c r="B724" s="11">
        <v>40576</v>
      </c>
      <c r="C724" s="12">
        <v>11</v>
      </c>
      <c r="D724" s="12" t="b">
        <v>0</v>
      </c>
      <c r="E724" s="12" t="str">
        <f t="shared" si="33"/>
        <v>Working Day</v>
      </c>
      <c r="F724" s="12">
        <v>3</v>
      </c>
      <c r="G724" s="12" t="str">
        <f t="shared" si="34"/>
        <v>Wed</v>
      </c>
      <c r="H724" s="12">
        <v>2</v>
      </c>
      <c r="I724" s="12" t="str">
        <f t="shared" si="35"/>
        <v>light rain</v>
      </c>
      <c r="J724" s="12">
        <v>0.24</v>
      </c>
      <c r="K724" s="12">
        <v>0.2273</v>
      </c>
      <c r="L724" s="12">
        <v>0.93</v>
      </c>
      <c r="M724" s="12">
        <v>0.19400000000000001</v>
      </c>
      <c r="N724" s="12">
        <v>5</v>
      </c>
      <c r="O724" s="12">
        <v>47</v>
      </c>
      <c r="P724" s="13">
        <v>52</v>
      </c>
    </row>
    <row r="725" spans="1:16" x14ac:dyDescent="0.25">
      <c r="A725" s="6">
        <v>724</v>
      </c>
      <c r="B725" s="7">
        <v>40576</v>
      </c>
      <c r="C725" s="8">
        <v>12</v>
      </c>
      <c r="D725" s="8" t="b">
        <v>0</v>
      </c>
      <c r="E725" s="8" t="str">
        <f t="shared" si="33"/>
        <v>Working Day</v>
      </c>
      <c r="F725" s="8">
        <v>3</v>
      </c>
      <c r="G725" s="8" t="str">
        <f t="shared" si="34"/>
        <v>Wed</v>
      </c>
      <c r="H725" s="8">
        <v>2</v>
      </c>
      <c r="I725" s="8" t="str">
        <f t="shared" si="35"/>
        <v>light rain</v>
      </c>
      <c r="J725" s="8">
        <v>0.24</v>
      </c>
      <c r="K725" s="8">
        <v>0.2273</v>
      </c>
      <c r="L725" s="8">
        <v>0.93</v>
      </c>
      <c r="M725" s="8">
        <v>0.22389999999999999</v>
      </c>
      <c r="N725" s="8">
        <v>3</v>
      </c>
      <c r="O725" s="8">
        <v>61</v>
      </c>
      <c r="P725" s="9">
        <v>64</v>
      </c>
    </row>
    <row r="726" spans="1:16" x14ac:dyDescent="0.25">
      <c r="A726" s="10">
        <v>725</v>
      </c>
      <c r="B726" s="11">
        <v>40576</v>
      </c>
      <c r="C726" s="12">
        <v>13</v>
      </c>
      <c r="D726" s="12" t="b">
        <v>0</v>
      </c>
      <c r="E726" s="12" t="str">
        <f t="shared" si="33"/>
        <v>Working Day</v>
      </c>
      <c r="F726" s="12">
        <v>3</v>
      </c>
      <c r="G726" s="12" t="str">
        <f t="shared" si="34"/>
        <v>Wed</v>
      </c>
      <c r="H726" s="12">
        <v>1</v>
      </c>
      <c r="I726" s="12" t="str">
        <f t="shared" si="35"/>
        <v>mist/cloudy</v>
      </c>
      <c r="J726" s="12">
        <v>0.34</v>
      </c>
      <c r="K726" s="12">
        <v>0.33329999999999999</v>
      </c>
      <c r="L726" s="12">
        <v>0.93</v>
      </c>
      <c r="M726" s="12">
        <v>0.16420000000000001</v>
      </c>
      <c r="N726" s="12">
        <v>1</v>
      </c>
      <c r="O726" s="12">
        <v>74</v>
      </c>
      <c r="P726" s="13">
        <v>75</v>
      </c>
    </row>
    <row r="727" spans="1:16" x14ac:dyDescent="0.25">
      <c r="A727" s="6">
        <v>726</v>
      </c>
      <c r="B727" s="7">
        <v>40576</v>
      </c>
      <c r="C727" s="8">
        <v>14</v>
      </c>
      <c r="D727" s="8" t="b">
        <v>0</v>
      </c>
      <c r="E727" s="8" t="str">
        <f t="shared" si="33"/>
        <v>Working Day</v>
      </c>
      <c r="F727" s="8">
        <v>3</v>
      </c>
      <c r="G727" s="8" t="str">
        <f t="shared" si="34"/>
        <v>Wed</v>
      </c>
      <c r="H727" s="8">
        <v>1</v>
      </c>
      <c r="I727" s="8" t="str">
        <f t="shared" si="35"/>
        <v>mist/cloudy</v>
      </c>
      <c r="J727" s="8">
        <v>0.38</v>
      </c>
      <c r="K727" s="8">
        <v>0.39389999999999997</v>
      </c>
      <c r="L727" s="8">
        <v>0.82</v>
      </c>
      <c r="M727" s="8">
        <v>0.3881</v>
      </c>
      <c r="N727" s="8">
        <v>2</v>
      </c>
      <c r="O727" s="8">
        <v>61</v>
      </c>
      <c r="P727" s="9">
        <v>63</v>
      </c>
    </row>
    <row r="728" spans="1:16" x14ac:dyDescent="0.25">
      <c r="A728" s="10">
        <v>727</v>
      </c>
      <c r="B728" s="11">
        <v>40576</v>
      </c>
      <c r="C728" s="12">
        <v>15</v>
      </c>
      <c r="D728" s="12" t="b">
        <v>0</v>
      </c>
      <c r="E728" s="12" t="str">
        <f t="shared" si="33"/>
        <v>Working Day</v>
      </c>
      <c r="F728" s="12">
        <v>3</v>
      </c>
      <c r="G728" s="12" t="str">
        <f t="shared" si="34"/>
        <v>Wed</v>
      </c>
      <c r="H728" s="12">
        <v>1</v>
      </c>
      <c r="I728" s="12" t="str">
        <f t="shared" si="35"/>
        <v>mist/cloudy</v>
      </c>
      <c r="J728" s="12">
        <v>0.38</v>
      </c>
      <c r="K728" s="12">
        <v>0.39389999999999997</v>
      </c>
      <c r="L728" s="12">
        <v>0.76</v>
      </c>
      <c r="M728" s="12">
        <v>0.32840000000000003</v>
      </c>
      <c r="N728" s="12">
        <v>10</v>
      </c>
      <c r="O728" s="12">
        <v>66</v>
      </c>
      <c r="P728" s="13">
        <v>76</v>
      </c>
    </row>
    <row r="729" spans="1:16" x14ac:dyDescent="0.25">
      <c r="A729" s="6">
        <v>728</v>
      </c>
      <c r="B729" s="7">
        <v>40576</v>
      </c>
      <c r="C729" s="8">
        <v>16</v>
      </c>
      <c r="D729" s="8" t="b">
        <v>0</v>
      </c>
      <c r="E729" s="8" t="str">
        <f t="shared" si="33"/>
        <v>Working Day</v>
      </c>
      <c r="F729" s="8">
        <v>3</v>
      </c>
      <c r="G729" s="8" t="str">
        <f t="shared" si="34"/>
        <v>Wed</v>
      </c>
      <c r="H729" s="8">
        <v>1</v>
      </c>
      <c r="I729" s="8" t="str">
        <f t="shared" si="35"/>
        <v>mist/cloudy</v>
      </c>
      <c r="J729" s="8">
        <v>0.36</v>
      </c>
      <c r="K729" s="8">
        <v>0.33329999999999999</v>
      </c>
      <c r="L729" s="8">
        <v>0.71</v>
      </c>
      <c r="M729" s="8">
        <v>0.29849999999999999</v>
      </c>
      <c r="N729" s="8">
        <v>8</v>
      </c>
      <c r="O729" s="8">
        <v>95</v>
      </c>
      <c r="P729" s="9">
        <v>103</v>
      </c>
    </row>
    <row r="730" spans="1:16" x14ac:dyDescent="0.25">
      <c r="A730" s="10">
        <v>729</v>
      </c>
      <c r="B730" s="11">
        <v>40576</v>
      </c>
      <c r="C730" s="12">
        <v>17</v>
      </c>
      <c r="D730" s="12" t="b">
        <v>0</v>
      </c>
      <c r="E730" s="12" t="str">
        <f t="shared" si="33"/>
        <v>Working Day</v>
      </c>
      <c r="F730" s="12">
        <v>3</v>
      </c>
      <c r="G730" s="12" t="str">
        <f t="shared" si="34"/>
        <v>Wed</v>
      </c>
      <c r="H730" s="12">
        <v>1</v>
      </c>
      <c r="I730" s="12" t="str">
        <f t="shared" si="35"/>
        <v>mist/cloudy</v>
      </c>
      <c r="J730" s="12">
        <v>0.36</v>
      </c>
      <c r="K730" s="12">
        <v>0.31819999999999998</v>
      </c>
      <c r="L730" s="12">
        <v>0.53</v>
      </c>
      <c r="M730" s="12">
        <v>0.52239999999999998</v>
      </c>
      <c r="N730" s="12">
        <v>7</v>
      </c>
      <c r="O730" s="12">
        <v>183</v>
      </c>
      <c r="P730" s="13">
        <v>190</v>
      </c>
    </row>
    <row r="731" spans="1:16" x14ac:dyDescent="0.25">
      <c r="A731" s="6">
        <v>730</v>
      </c>
      <c r="B731" s="7">
        <v>40576</v>
      </c>
      <c r="C731" s="8">
        <v>18</v>
      </c>
      <c r="D731" s="8" t="b">
        <v>0</v>
      </c>
      <c r="E731" s="8" t="str">
        <f t="shared" si="33"/>
        <v>Working Day</v>
      </c>
      <c r="F731" s="8">
        <v>3</v>
      </c>
      <c r="G731" s="8" t="str">
        <f t="shared" si="34"/>
        <v>Wed</v>
      </c>
      <c r="H731" s="8">
        <v>1</v>
      </c>
      <c r="I731" s="8" t="str">
        <f t="shared" si="35"/>
        <v>mist/cloudy</v>
      </c>
      <c r="J731" s="8">
        <v>0.34</v>
      </c>
      <c r="K731" s="8">
        <v>0.28789999999999999</v>
      </c>
      <c r="L731" s="8">
        <v>0.42</v>
      </c>
      <c r="M731" s="8">
        <v>0.55220000000000002</v>
      </c>
      <c r="N731" s="8">
        <v>7</v>
      </c>
      <c r="O731" s="8">
        <v>175</v>
      </c>
      <c r="P731" s="9">
        <v>182</v>
      </c>
    </row>
    <row r="732" spans="1:16" x14ac:dyDescent="0.25">
      <c r="A732" s="10">
        <v>731</v>
      </c>
      <c r="B732" s="11">
        <v>40576</v>
      </c>
      <c r="C732" s="12">
        <v>19</v>
      </c>
      <c r="D732" s="12" t="b">
        <v>0</v>
      </c>
      <c r="E732" s="12" t="str">
        <f t="shared" si="33"/>
        <v>Working Day</v>
      </c>
      <c r="F732" s="12">
        <v>3</v>
      </c>
      <c r="G732" s="12" t="str">
        <f t="shared" si="34"/>
        <v>Wed</v>
      </c>
      <c r="H732" s="12">
        <v>1</v>
      </c>
      <c r="I732" s="12" t="str">
        <f t="shared" si="35"/>
        <v>mist/cloudy</v>
      </c>
      <c r="J732" s="12">
        <v>0.28000000000000003</v>
      </c>
      <c r="K732" s="12">
        <v>0.2424</v>
      </c>
      <c r="L732" s="12">
        <v>0.45</v>
      </c>
      <c r="M732" s="12">
        <v>0.49249999999999999</v>
      </c>
      <c r="N732" s="12">
        <v>3</v>
      </c>
      <c r="O732" s="12">
        <v>88</v>
      </c>
      <c r="P732" s="13">
        <v>91</v>
      </c>
    </row>
    <row r="733" spans="1:16" x14ac:dyDescent="0.25">
      <c r="A733" s="6">
        <v>732</v>
      </c>
      <c r="B733" s="7">
        <v>40576</v>
      </c>
      <c r="C733" s="8">
        <v>20</v>
      </c>
      <c r="D733" s="8" t="b">
        <v>0</v>
      </c>
      <c r="E733" s="8" t="str">
        <f t="shared" si="33"/>
        <v>Working Day</v>
      </c>
      <c r="F733" s="8">
        <v>3</v>
      </c>
      <c r="G733" s="8" t="str">
        <f t="shared" si="34"/>
        <v>Wed</v>
      </c>
      <c r="H733" s="8">
        <v>1</v>
      </c>
      <c r="I733" s="8" t="str">
        <f t="shared" si="35"/>
        <v>mist/cloudy</v>
      </c>
      <c r="J733" s="8">
        <v>0.24</v>
      </c>
      <c r="K733" s="8">
        <v>0.19700000000000001</v>
      </c>
      <c r="L733" s="8">
        <v>0.48</v>
      </c>
      <c r="M733" s="8">
        <v>0.55220000000000002</v>
      </c>
      <c r="N733" s="8">
        <v>4</v>
      </c>
      <c r="O733" s="8">
        <v>71</v>
      </c>
      <c r="P733" s="9">
        <v>75</v>
      </c>
    </row>
    <row r="734" spans="1:16" x14ac:dyDescent="0.25">
      <c r="A734" s="10">
        <v>733</v>
      </c>
      <c r="B734" s="11">
        <v>40576</v>
      </c>
      <c r="C734" s="12">
        <v>21</v>
      </c>
      <c r="D734" s="12" t="b">
        <v>0</v>
      </c>
      <c r="E734" s="12" t="str">
        <f t="shared" si="33"/>
        <v>Working Day</v>
      </c>
      <c r="F734" s="12">
        <v>3</v>
      </c>
      <c r="G734" s="12" t="str">
        <f t="shared" si="34"/>
        <v>Wed</v>
      </c>
      <c r="H734" s="12">
        <v>1</v>
      </c>
      <c r="I734" s="12" t="str">
        <f t="shared" si="35"/>
        <v>mist/cloudy</v>
      </c>
      <c r="J734" s="12">
        <v>0.22</v>
      </c>
      <c r="K734" s="12">
        <v>0.19700000000000001</v>
      </c>
      <c r="L734" s="12">
        <v>0.47</v>
      </c>
      <c r="M734" s="12">
        <v>0.32840000000000003</v>
      </c>
      <c r="N734" s="12">
        <v>1</v>
      </c>
      <c r="O734" s="12">
        <v>62</v>
      </c>
      <c r="P734" s="13">
        <v>63</v>
      </c>
    </row>
    <row r="735" spans="1:16" x14ac:dyDescent="0.25">
      <c r="A735" s="6">
        <v>734</v>
      </c>
      <c r="B735" s="7">
        <v>40576</v>
      </c>
      <c r="C735" s="8">
        <v>22</v>
      </c>
      <c r="D735" s="8" t="b">
        <v>0</v>
      </c>
      <c r="E735" s="8" t="str">
        <f t="shared" si="33"/>
        <v>Working Day</v>
      </c>
      <c r="F735" s="8">
        <v>3</v>
      </c>
      <c r="G735" s="8" t="str">
        <f t="shared" si="34"/>
        <v>Wed</v>
      </c>
      <c r="H735" s="8">
        <v>1</v>
      </c>
      <c r="I735" s="8" t="str">
        <f t="shared" si="35"/>
        <v>mist/cloudy</v>
      </c>
      <c r="J735" s="8">
        <v>0.22</v>
      </c>
      <c r="K735" s="8">
        <v>0.21210000000000001</v>
      </c>
      <c r="L735" s="8">
        <v>0.44</v>
      </c>
      <c r="M735" s="8">
        <v>0.25369999999999998</v>
      </c>
      <c r="N735" s="8">
        <v>5</v>
      </c>
      <c r="O735" s="8">
        <v>35</v>
      </c>
      <c r="P735" s="9">
        <v>40</v>
      </c>
    </row>
    <row r="736" spans="1:16" x14ac:dyDescent="0.25">
      <c r="A736" s="10">
        <v>735</v>
      </c>
      <c r="B736" s="11">
        <v>40576</v>
      </c>
      <c r="C736" s="12">
        <v>23</v>
      </c>
      <c r="D736" s="12" t="b">
        <v>0</v>
      </c>
      <c r="E736" s="12" t="str">
        <f t="shared" si="33"/>
        <v>Working Day</v>
      </c>
      <c r="F736" s="12">
        <v>3</v>
      </c>
      <c r="G736" s="12" t="str">
        <f t="shared" si="34"/>
        <v>Wed</v>
      </c>
      <c r="H736" s="12">
        <v>1</v>
      </c>
      <c r="I736" s="12" t="str">
        <f t="shared" si="35"/>
        <v>mist/cloudy</v>
      </c>
      <c r="J736" s="12">
        <v>0.2</v>
      </c>
      <c r="K736" s="12">
        <v>0.16669999999999999</v>
      </c>
      <c r="L736" s="12">
        <v>0.44</v>
      </c>
      <c r="M736" s="12">
        <v>0.44779999999999998</v>
      </c>
      <c r="N736" s="12">
        <v>3</v>
      </c>
      <c r="O736" s="12">
        <v>29</v>
      </c>
      <c r="P736" s="13">
        <v>32</v>
      </c>
    </row>
    <row r="737" spans="1:16" x14ac:dyDescent="0.25">
      <c r="A737" s="6">
        <v>736</v>
      </c>
      <c r="B737" s="7">
        <v>40577</v>
      </c>
      <c r="C737" s="8">
        <v>0</v>
      </c>
      <c r="D737" s="8" t="b">
        <v>0</v>
      </c>
      <c r="E737" s="8" t="str">
        <f t="shared" si="33"/>
        <v>Working Day</v>
      </c>
      <c r="F737" s="8">
        <v>4</v>
      </c>
      <c r="G737" s="8" t="str">
        <f t="shared" si="34"/>
        <v>Thu</v>
      </c>
      <c r="H737" s="8">
        <v>1</v>
      </c>
      <c r="I737" s="8" t="str">
        <f t="shared" si="35"/>
        <v>mist/cloudy</v>
      </c>
      <c r="J737" s="8">
        <v>0.2</v>
      </c>
      <c r="K737" s="8">
        <v>0.16669999999999999</v>
      </c>
      <c r="L737" s="8">
        <v>0.4</v>
      </c>
      <c r="M737" s="8">
        <v>0.44779999999999998</v>
      </c>
      <c r="N737" s="8">
        <v>1</v>
      </c>
      <c r="O737" s="8">
        <v>11</v>
      </c>
      <c r="P737" s="9">
        <v>12</v>
      </c>
    </row>
    <row r="738" spans="1:16" x14ac:dyDescent="0.25">
      <c r="A738" s="10">
        <v>737</v>
      </c>
      <c r="B738" s="11">
        <v>40577</v>
      </c>
      <c r="C738" s="12">
        <v>1</v>
      </c>
      <c r="D738" s="12" t="b">
        <v>0</v>
      </c>
      <c r="E738" s="12" t="str">
        <f t="shared" si="33"/>
        <v>Working Day</v>
      </c>
      <c r="F738" s="12">
        <v>4</v>
      </c>
      <c r="G738" s="12" t="str">
        <f t="shared" si="34"/>
        <v>Thu</v>
      </c>
      <c r="H738" s="12">
        <v>1</v>
      </c>
      <c r="I738" s="12" t="str">
        <f t="shared" si="35"/>
        <v>mist/cloudy</v>
      </c>
      <c r="J738" s="12">
        <v>0.2</v>
      </c>
      <c r="K738" s="12">
        <v>0.1515</v>
      </c>
      <c r="L738" s="12">
        <v>0.44</v>
      </c>
      <c r="M738" s="12">
        <v>0.52239999999999998</v>
      </c>
      <c r="N738" s="12">
        <v>0</v>
      </c>
      <c r="O738" s="12">
        <v>5</v>
      </c>
      <c r="P738" s="13">
        <v>5</v>
      </c>
    </row>
    <row r="739" spans="1:16" x14ac:dyDescent="0.25">
      <c r="A739" s="6">
        <v>738</v>
      </c>
      <c r="B739" s="7">
        <v>40577</v>
      </c>
      <c r="C739" s="8">
        <v>2</v>
      </c>
      <c r="D739" s="8" t="b">
        <v>0</v>
      </c>
      <c r="E739" s="8" t="str">
        <f t="shared" si="33"/>
        <v>Working Day</v>
      </c>
      <c r="F739" s="8">
        <v>4</v>
      </c>
      <c r="G739" s="8" t="str">
        <f t="shared" si="34"/>
        <v>Thu</v>
      </c>
      <c r="H739" s="8">
        <v>1</v>
      </c>
      <c r="I739" s="8" t="str">
        <f t="shared" si="35"/>
        <v>mist/cloudy</v>
      </c>
      <c r="J739" s="8">
        <v>0.18</v>
      </c>
      <c r="K739" s="8">
        <v>0.16669999999999999</v>
      </c>
      <c r="L739" s="8">
        <v>0.43</v>
      </c>
      <c r="M739" s="8">
        <v>0.25369999999999998</v>
      </c>
      <c r="N739" s="8">
        <v>0</v>
      </c>
      <c r="O739" s="8">
        <v>2</v>
      </c>
      <c r="P739" s="9">
        <v>2</v>
      </c>
    </row>
    <row r="740" spans="1:16" x14ac:dyDescent="0.25">
      <c r="A740" s="10">
        <v>739</v>
      </c>
      <c r="B740" s="11">
        <v>40577</v>
      </c>
      <c r="C740" s="12">
        <v>3</v>
      </c>
      <c r="D740" s="12" t="b">
        <v>0</v>
      </c>
      <c r="E740" s="12" t="str">
        <f t="shared" si="33"/>
        <v>Working Day</v>
      </c>
      <c r="F740" s="12">
        <v>4</v>
      </c>
      <c r="G740" s="12" t="str">
        <f t="shared" si="34"/>
        <v>Thu</v>
      </c>
      <c r="H740" s="12">
        <v>1</v>
      </c>
      <c r="I740" s="12" t="str">
        <f t="shared" si="35"/>
        <v>mist/cloudy</v>
      </c>
      <c r="J740" s="12">
        <v>0.18</v>
      </c>
      <c r="K740" s="12">
        <v>0.16669999999999999</v>
      </c>
      <c r="L740" s="12">
        <v>0.43</v>
      </c>
      <c r="M740" s="12">
        <v>0.25369999999999998</v>
      </c>
      <c r="N740" s="12">
        <v>0</v>
      </c>
      <c r="O740" s="12">
        <v>1</v>
      </c>
      <c r="P740" s="13">
        <v>1</v>
      </c>
    </row>
    <row r="741" spans="1:16" x14ac:dyDescent="0.25">
      <c r="A741" s="6">
        <v>740</v>
      </c>
      <c r="B741" s="7">
        <v>40577</v>
      </c>
      <c r="C741" s="8">
        <v>5</v>
      </c>
      <c r="D741" s="8" t="b">
        <v>0</v>
      </c>
      <c r="E741" s="8" t="str">
        <f t="shared" si="33"/>
        <v>Working Day</v>
      </c>
      <c r="F741" s="8">
        <v>4</v>
      </c>
      <c r="G741" s="8" t="str">
        <f t="shared" si="34"/>
        <v>Thu</v>
      </c>
      <c r="H741" s="8">
        <v>1</v>
      </c>
      <c r="I741" s="8" t="str">
        <f t="shared" si="35"/>
        <v>mist/cloudy</v>
      </c>
      <c r="J741" s="8">
        <v>0.16</v>
      </c>
      <c r="K741" s="8">
        <v>0.13639999999999999</v>
      </c>
      <c r="L741" s="8">
        <v>0.5</v>
      </c>
      <c r="M741" s="8">
        <v>0.29849999999999999</v>
      </c>
      <c r="N741" s="8">
        <v>0</v>
      </c>
      <c r="O741" s="8">
        <v>2</v>
      </c>
      <c r="P741" s="9">
        <v>2</v>
      </c>
    </row>
    <row r="742" spans="1:16" x14ac:dyDescent="0.25">
      <c r="A742" s="10">
        <v>741</v>
      </c>
      <c r="B742" s="11">
        <v>40577</v>
      </c>
      <c r="C742" s="12">
        <v>6</v>
      </c>
      <c r="D742" s="12" t="b">
        <v>0</v>
      </c>
      <c r="E742" s="12" t="str">
        <f t="shared" si="33"/>
        <v>Working Day</v>
      </c>
      <c r="F742" s="12">
        <v>4</v>
      </c>
      <c r="G742" s="12" t="str">
        <f t="shared" si="34"/>
        <v>Thu</v>
      </c>
      <c r="H742" s="12">
        <v>1</v>
      </c>
      <c r="I742" s="12" t="str">
        <f t="shared" si="35"/>
        <v>mist/cloudy</v>
      </c>
      <c r="J742" s="12">
        <v>0.16</v>
      </c>
      <c r="K742" s="12">
        <v>0.13639999999999999</v>
      </c>
      <c r="L742" s="12">
        <v>0.43</v>
      </c>
      <c r="M742" s="12">
        <v>0.35820000000000002</v>
      </c>
      <c r="N742" s="12">
        <v>0</v>
      </c>
      <c r="O742" s="12">
        <v>39</v>
      </c>
      <c r="P742" s="13">
        <v>39</v>
      </c>
    </row>
    <row r="743" spans="1:16" x14ac:dyDescent="0.25">
      <c r="A743" s="6">
        <v>742</v>
      </c>
      <c r="B743" s="7">
        <v>40577</v>
      </c>
      <c r="C743" s="8">
        <v>7</v>
      </c>
      <c r="D743" s="8" t="b">
        <v>0</v>
      </c>
      <c r="E743" s="8" t="str">
        <f t="shared" si="33"/>
        <v>Working Day</v>
      </c>
      <c r="F743" s="8">
        <v>4</v>
      </c>
      <c r="G743" s="8" t="str">
        <f t="shared" si="34"/>
        <v>Thu</v>
      </c>
      <c r="H743" s="8">
        <v>1</v>
      </c>
      <c r="I743" s="8" t="str">
        <f t="shared" si="35"/>
        <v>mist/cloudy</v>
      </c>
      <c r="J743" s="8">
        <v>0.14000000000000001</v>
      </c>
      <c r="K743" s="8">
        <v>0.1212</v>
      </c>
      <c r="L743" s="8">
        <v>0.5</v>
      </c>
      <c r="M743" s="8">
        <v>0.32840000000000003</v>
      </c>
      <c r="N743" s="8">
        <v>1</v>
      </c>
      <c r="O743" s="8">
        <v>86</v>
      </c>
      <c r="P743" s="9">
        <v>87</v>
      </c>
    </row>
    <row r="744" spans="1:16" x14ac:dyDescent="0.25">
      <c r="A744" s="10">
        <v>743</v>
      </c>
      <c r="B744" s="11">
        <v>40577</v>
      </c>
      <c r="C744" s="12">
        <v>8</v>
      </c>
      <c r="D744" s="12" t="b">
        <v>0</v>
      </c>
      <c r="E744" s="12" t="str">
        <f t="shared" si="33"/>
        <v>Working Day</v>
      </c>
      <c r="F744" s="12">
        <v>4</v>
      </c>
      <c r="G744" s="12" t="str">
        <f t="shared" si="34"/>
        <v>Thu</v>
      </c>
      <c r="H744" s="12">
        <v>1</v>
      </c>
      <c r="I744" s="12" t="str">
        <f t="shared" si="35"/>
        <v>mist/cloudy</v>
      </c>
      <c r="J744" s="12">
        <v>0.14000000000000001</v>
      </c>
      <c r="K744" s="12">
        <v>0.1212</v>
      </c>
      <c r="L744" s="12">
        <v>0.5</v>
      </c>
      <c r="M744" s="12">
        <v>0.35820000000000002</v>
      </c>
      <c r="N744" s="12">
        <v>4</v>
      </c>
      <c r="O744" s="12">
        <v>184</v>
      </c>
      <c r="P744" s="13">
        <v>188</v>
      </c>
    </row>
    <row r="745" spans="1:16" x14ac:dyDescent="0.25">
      <c r="A745" s="6">
        <v>744</v>
      </c>
      <c r="B745" s="7">
        <v>40577</v>
      </c>
      <c r="C745" s="8">
        <v>9</v>
      </c>
      <c r="D745" s="8" t="b">
        <v>0</v>
      </c>
      <c r="E745" s="8" t="str">
        <f t="shared" si="33"/>
        <v>Working Day</v>
      </c>
      <c r="F745" s="8">
        <v>4</v>
      </c>
      <c r="G745" s="8" t="str">
        <f t="shared" si="34"/>
        <v>Thu</v>
      </c>
      <c r="H745" s="8">
        <v>1</v>
      </c>
      <c r="I745" s="8" t="str">
        <f t="shared" si="35"/>
        <v>mist/cloudy</v>
      </c>
      <c r="J745" s="8">
        <v>0.16</v>
      </c>
      <c r="K745" s="8">
        <v>0.13639999999999999</v>
      </c>
      <c r="L745" s="8">
        <v>0.47</v>
      </c>
      <c r="M745" s="8">
        <v>0.29849999999999999</v>
      </c>
      <c r="N745" s="8">
        <v>6</v>
      </c>
      <c r="O745" s="8">
        <v>127</v>
      </c>
      <c r="P745" s="9">
        <v>133</v>
      </c>
    </row>
    <row r="746" spans="1:16" x14ac:dyDescent="0.25">
      <c r="A746" s="10">
        <v>745</v>
      </c>
      <c r="B746" s="11">
        <v>40577</v>
      </c>
      <c r="C746" s="12">
        <v>10</v>
      </c>
      <c r="D746" s="12" t="b">
        <v>0</v>
      </c>
      <c r="E746" s="12" t="str">
        <f t="shared" si="33"/>
        <v>Working Day</v>
      </c>
      <c r="F746" s="12">
        <v>4</v>
      </c>
      <c r="G746" s="12" t="str">
        <f t="shared" si="34"/>
        <v>Thu</v>
      </c>
      <c r="H746" s="12">
        <v>1</v>
      </c>
      <c r="I746" s="12" t="str">
        <f t="shared" si="35"/>
        <v>mist/cloudy</v>
      </c>
      <c r="J746" s="12">
        <v>0.18</v>
      </c>
      <c r="K746" s="12">
        <v>0.1515</v>
      </c>
      <c r="L746" s="12">
        <v>0.43</v>
      </c>
      <c r="M746" s="12">
        <v>0.32840000000000003</v>
      </c>
      <c r="N746" s="12">
        <v>2</v>
      </c>
      <c r="O746" s="12">
        <v>50</v>
      </c>
      <c r="P746" s="13">
        <v>52</v>
      </c>
    </row>
    <row r="747" spans="1:16" x14ac:dyDescent="0.25">
      <c r="A747" s="6">
        <v>746</v>
      </c>
      <c r="B747" s="7">
        <v>40577</v>
      </c>
      <c r="C747" s="8">
        <v>11</v>
      </c>
      <c r="D747" s="8" t="b">
        <v>0</v>
      </c>
      <c r="E747" s="8" t="str">
        <f t="shared" si="33"/>
        <v>Working Day</v>
      </c>
      <c r="F747" s="8">
        <v>4</v>
      </c>
      <c r="G747" s="8" t="str">
        <f t="shared" si="34"/>
        <v>Thu</v>
      </c>
      <c r="H747" s="8">
        <v>1</v>
      </c>
      <c r="I747" s="8" t="str">
        <f t="shared" si="35"/>
        <v>mist/cloudy</v>
      </c>
      <c r="J747" s="8">
        <v>0.18</v>
      </c>
      <c r="K747" s="8">
        <v>0.13639999999999999</v>
      </c>
      <c r="L747" s="8">
        <v>0.43</v>
      </c>
      <c r="M747" s="8">
        <v>0.44779999999999998</v>
      </c>
      <c r="N747" s="8">
        <v>9</v>
      </c>
      <c r="O747" s="8">
        <v>55</v>
      </c>
      <c r="P747" s="9">
        <v>64</v>
      </c>
    </row>
    <row r="748" spans="1:16" x14ac:dyDescent="0.25">
      <c r="A748" s="10">
        <v>747</v>
      </c>
      <c r="B748" s="11">
        <v>40577</v>
      </c>
      <c r="C748" s="12">
        <v>12</v>
      </c>
      <c r="D748" s="12" t="b">
        <v>0</v>
      </c>
      <c r="E748" s="12" t="str">
        <f t="shared" si="33"/>
        <v>Working Day</v>
      </c>
      <c r="F748" s="12">
        <v>4</v>
      </c>
      <c r="G748" s="12" t="str">
        <f t="shared" si="34"/>
        <v>Thu</v>
      </c>
      <c r="H748" s="12">
        <v>1</v>
      </c>
      <c r="I748" s="12" t="str">
        <f t="shared" si="35"/>
        <v>mist/cloudy</v>
      </c>
      <c r="J748" s="12">
        <v>0.2</v>
      </c>
      <c r="K748" s="12">
        <v>0.18179999999999999</v>
      </c>
      <c r="L748" s="12">
        <v>0.4</v>
      </c>
      <c r="M748" s="12">
        <v>0.35820000000000002</v>
      </c>
      <c r="N748" s="12">
        <v>2</v>
      </c>
      <c r="O748" s="12">
        <v>67</v>
      </c>
      <c r="P748" s="13">
        <v>69</v>
      </c>
    </row>
    <row r="749" spans="1:16" x14ac:dyDescent="0.25">
      <c r="A749" s="6">
        <v>748</v>
      </c>
      <c r="B749" s="7">
        <v>40577</v>
      </c>
      <c r="C749" s="8">
        <v>13</v>
      </c>
      <c r="D749" s="8" t="b">
        <v>0</v>
      </c>
      <c r="E749" s="8" t="str">
        <f t="shared" si="33"/>
        <v>Working Day</v>
      </c>
      <c r="F749" s="8">
        <v>4</v>
      </c>
      <c r="G749" s="8" t="str">
        <f t="shared" si="34"/>
        <v>Thu</v>
      </c>
      <c r="H749" s="8">
        <v>1</v>
      </c>
      <c r="I749" s="8" t="str">
        <f t="shared" si="35"/>
        <v>mist/cloudy</v>
      </c>
      <c r="J749" s="8">
        <v>0.2</v>
      </c>
      <c r="K749" s="8">
        <v>0.16669999999999999</v>
      </c>
      <c r="L749" s="8">
        <v>0.4</v>
      </c>
      <c r="M749" s="8">
        <v>0.41789999999999999</v>
      </c>
      <c r="N749" s="8">
        <v>4</v>
      </c>
      <c r="O749" s="8">
        <v>47</v>
      </c>
      <c r="P749" s="9">
        <v>51</v>
      </c>
    </row>
    <row r="750" spans="1:16" x14ac:dyDescent="0.25">
      <c r="A750" s="10">
        <v>749</v>
      </c>
      <c r="B750" s="11">
        <v>40577</v>
      </c>
      <c r="C750" s="12">
        <v>14</v>
      </c>
      <c r="D750" s="12" t="b">
        <v>0</v>
      </c>
      <c r="E750" s="12" t="str">
        <f t="shared" si="33"/>
        <v>Working Day</v>
      </c>
      <c r="F750" s="12">
        <v>4</v>
      </c>
      <c r="G750" s="12" t="str">
        <f t="shared" si="34"/>
        <v>Thu</v>
      </c>
      <c r="H750" s="12">
        <v>1</v>
      </c>
      <c r="I750" s="12" t="str">
        <f t="shared" si="35"/>
        <v>mist/cloudy</v>
      </c>
      <c r="J750" s="12">
        <v>0.22</v>
      </c>
      <c r="K750" s="12">
        <v>0.19700000000000001</v>
      </c>
      <c r="L750" s="12">
        <v>0.37</v>
      </c>
      <c r="M750" s="12">
        <v>0.3881</v>
      </c>
      <c r="N750" s="12">
        <v>4</v>
      </c>
      <c r="O750" s="12">
        <v>43</v>
      </c>
      <c r="P750" s="13">
        <v>47</v>
      </c>
    </row>
    <row r="751" spans="1:16" x14ac:dyDescent="0.25">
      <c r="A751" s="6">
        <v>750</v>
      </c>
      <c r="B751" s="7">
        <v>40577</v>
      </c>
      <c r="C751" s="8">
        <v>15</v>
      </c>
      <c r="D751" s="8" t="b">
        <v>0</v>
      </c>
      <c r="E751" s="8" t="str">
        <f t="shared" si="33"/>
        <v>Working Day</v>
      </c>
      <c r="F751" s="8">
        <v>4</v>
      </c>
      <c r="G751" s="8" t="str">
        <f t="shared" si="34"/>
        <v>Thu</v>
      </c>
      <c r="H751" s="8">
        <v>1</v>
      </c>
      <c r="I751" s="8" t="str">
        <f t="shared" si="35"/>
        <v>mist/cloudy</v>
      </c>
      <c r="J751" s="8">
        <v>0.22</v>
      </c>
      <c r="K751" s="8">
        <v>0.19700000000000001</v>
      </c>
      <c r="L751" s="8">
        <v>0.37</v>
      </c>
      <c r="M751" s="8">
        <v>0.32840000000000003</v>
      </c>
      <c r="N751" s="8">
        <v>4</v>
      </c>
      <c r="O751" s="8">
        <v>56</v>
      </c>
      <c r="P751" s="9">
        <v>60</v>
      </c>
    </row>
    <row r="752" spans="1:16" x14ac:dyDescent="0.25">
      <c r="A752" s="10">
        <v>751</v>
      </c>
      <c r="B752" s="11">
        <v>40577</v>
      </c>
      <c r="C752" s="12">
        <v>16</v>
      </c>
      <c r="D752" s="12" t="b">
        <v>0</v>
      </c>
      <c r="E752" s="12" t="str">
        <f t="shared" si="33"/>
        <v>Working Day</v>
      </c>
      <c r="F752" s="12">
        <v>4</v>
      </c>
      <c r="G752" s="12" t="str">
        <f t="shared" si="34"/>
        <v>Thu</v>
      </c>
      <c r="H752" s="12">
        <v>1</v>
      </c>
      <c r="I752" s="12" t="str">
        <f t="shared" si="35"/>
        <v>mist/cloudy</v>
      </c>
      <c r="J752" s="12">
        <v>0.22</v>
      </c>
      <c r="K752" s="12">
        <v>0.21210000000000001</v>
      </c>
      <c r="L752" s="12">
        <v>0.37</v>
      </c>
      <c r="M752" s="12">
        <v>0.25369999999999998</v>
      </c>
      <c r="N752" s="12">
        <v>5</v>
      </c>
      <c r="O752" s="12">
        <v>73</v>
      </c>
      <c r="P752" s="13">
        <v>78</v>
      </c>
    </row>
    <row r="753" spans="1:16" x14ac:dyDescent="0.25">
      <c r="A753" s="6">
        <v>752</v>
      </c>
      <c r="B753" s="7">
        <v>40577</v>
      </c>
      <c r="C753" s="8">
        <v>17</v>
      </c>
      <c r="D753" s="8" t="b">
        <v>0</v>
      </c>
      <c r="E753" s="8" t="str">
        <f t="shared" si="33"/>
        <v>Working Day</v>
      </c>
      <c r="F753" s="8">
        <v>4</v>
      </c>
      <c r="G753" s="8" t="str">
        <f t="shared" si="34"/>
        <v>Thu</v>
      </c>
      <c r="H753" s="8">
        <v>1</v>
      </c>
      <c r="I753" s="8" t="str">
        <f t="shared" si="35"/>
        <v>mist/cloudy</v>
      </c>
      <c r="J753" s="8">
        <v>0.2</v>
      </c>
      <c r="K753" s="8">
        <v>0.19700000000000001</v>
      </c>
      <c r="L753" s="8">
        <v>0.4</v>
      </c>
      <c r="M753" s="8">
        <v>0.19400000000000001</v>
      </c>
      <c r="N753" s="8">
        <v>5</v>
      </c>
      <c r="O753" s="8">
        <v>170</v>
      </c>
      <c r="P753" s="9">
        <v>175</v>
      </c>
    </row>
    <row r="754" spans="1:16" x14ac:dyDescent="0.25">
      <c r="A754" s="10">
        <v>753</v>
      </c>
      <c r="B754" s="11">
        <v>40577</v>
      </c>
      <c r="C754" s="12">
        <v>18</v>
      </c>
      <c r="D754" s="12" t="b">
        <v>0</v>
      </c>
      <c r="E754" s="12" t="str">
        <f t="shared" si="33"/>
        <v>Working Day</v>
      </c>
      <c r="F754" s="12">
        <v>4</v>
      </c>
      <c r="G754" s="12" t="str">
        <f t="shared" si="34"/>
        <v>Thu</v>
      </c>
      <c r="H754" s="12">
        <v>1</v>
      </c>
      <c r="I754" s="12" t="str">
        <f t="shared" si="35"/>
        <v>mist/cloudy</v>
      </c>
      <c r="J754" s="12">
        <v>0.2</v>
      </c>
      <c r="K754" s="12">
        <v>0.21210000000000001</v>
      </c>
      <c r="L754" s="12">
        <v>0.4</v>
      </c>
      <c r="M754" s="12">
        <v>0.16420000000000001</v>
      </c>
      <c r="N754" s="12">
        <v>2</v>
      </c>
      <c r="O754" s="12">
        <v>145</v>
      </c>
      <c r="P754" s="13">
        <v>147</v>
      </c>
    </row>
    <row r="755" spans="1:16" x14ac:dyDescent="0.25">
      <c r="A755" s="6">
        <v>754</v>
      </c>
      <c r="B755" s="7">
        <v>40577</v>
      </c>
      <c r="C755" s="8">
        <v>19</v>
      </c>
      <c r="D755" s="8" t="b">
        <v>0</v>
      </c>
      <c r="E755" s="8" t="str">
        <f t="shared" si="33"/>
        <v>Working Day</v>
      </c>
      <c r="F755" s="8">
        <v>4</v>
      </c>
      <c r="G755" s="8" t="str">
        <f t="shared" si="34"/>
        <v>Thu</v>
      </c>
      <c r="H755" s="8">
        <v>1</v>
      </c>
      <c r="I755" s="8" t="str">
        <f t="shared" si="35"/>
        <v>mist/cloudy</v>
      </c>
      <c r="J755" s="8">
        <v>0.2</v>
      </c>
      <c r="K755" s="8">
        <v>0.2576</v>
      </c>
      <c r="L755" s="8">
        <v>0.4</v>
      </c>
      <c r="M755" s="8">
        <v>0</v>
      </c>
      <c r="N755" s="8">
        <v>4</v>
      </c>
      <c r="O755" s="8">
        <v>92</v>
      </c>
      <c r="P755" s="9">
        <v>96</v>
      </c>
    </row>
    <row r="756" spans="1:16" x14ac:dyDescent="0.25">
      <c r="A756" s="10">
        <v>755</v>
      </c>
      <c r="B756" s="11">
        <v>40577</v>
      </c>
      <c r="C756" s="12">
        <v>20</v>
      </c>
      <c r="D756" s="12" t="b">
        <v>0</v>
      </c>
      <c r="E756" s="12" t="str">
        <f t="shared" si="33"/>
        <v>Working Day</v>
      </c>
      <c r="F756" s="12">
        <v>4</v>
      </c>
      <c r="G756" s="12" t="str">
        <f t="shared" si="34"/>
        <v>Thu</v>
      </c>
      <c r="H756" s="12">
        <v>1</v>
      </c>
      <c r="I756" s="12" t="str">
        <f t="shared" si="35"/>
        <v>mist/cloudy</v>
      </c>
      <c r="J756" s="12">
        <v>0.2</v>
      </c>
      <c r="K756" s="12">
        <v>0.2273</v>
      </c>
      <c r="L756" s="12">
        <v>0.47</v>
      </c>
      <c r="M756" s="12">
        <v>8.9599999999999999E-2</v>
      </c>
      <c r="N756" s="12">
        <v>1</v>
      </c>
      <c r="O756" s="12">
        <v>108</v>
      </c>
      <c r="P756" s="13">
        <v>109</v>
      </c>
    </row>
    <row r="757" spans="1:16" x14ac:dyDescent="0.25">
      <c r="A757" s="6">
        <v>756</v>
      </c>
      <c r="B757" s="7">
        <v>40577</v>
      </c>
      <c r="C757" s="8">
        <v>21</v>
      </c>
      <c r="D757" s="8" t="b">
        <v>0</v>
      </c>
      <c r="E757" s="8" t="str">
        <f t="shared" si="33"/>
        <v>Working Day</v>
      </c>
      <c r="F757" s="8">
        <v>4</v>
      </c>
      <c r="G757" s="8" t="str">
        <f t="shared" si="34"/>
        <v>Thu</v>
      </c>
      <c r="H757" s="8">
        <v>1</v>
      </c>
      <c r="I757" s="8" t="str">
        <f t="shared" si="35"/>
        <v>mist/cloudy</v>
      </c>
      <c r="J757" s="8">
        <v>0.18</v>
      </c>
      <c r="K757" s="8">
        <v>0.21210000000000001</v>
      </c>
      <c r="L757" s="8">
        <v>0.55000000000000004</v>
      </c>
      <c r="M757" s="8">
        <v>0.1045</v>
      </c>
      <c r="N757" s="8">
        <v>1</v>
      </c>
      <c r="O757" s="8">
        <v>53</v>
      </c>
      <c r="P757" s="9">
        <v>54</v>
      </c>
    </row>
    <row r="758" spans="1:16" x14ac:dyDescent="0.25">
      <c r="A758" s="10">
        <v>757</v>
      </c>
      <c r="B758" s="11">
        <v>40577</v>
      </c>
      <c r="C758" s="12">
        <v>22</v>
      </c>
      <c r="D758" s="12" t="b">
        <v>0</v>
      </c>
      <c r="E758" s="12" t="str">
        <f t="shared" si="33"/>
        <v>Working Day</v>
      </c>
      <c r="F758" s="12">
        <v>4</v>
      </c>
      <c r="G758" s="12" t="str">
        <f t="shared" si="34"/>
        <v>Thu</v>
      </c>
      <c r="H758" s="12">
        <v>1</v>
      </c>
      <c r="I758" s="12" t="str">
        <f t="shared" si="35"/>
        <v>mist/cloudy</v>
      </c>
      <c r="J758" s="12">
        <v>0.18</v>
      </c>
      <c r="K758" s="12">
        <v>0.21210000000000001</v>
      </c>
      <c r="L758" s="12">
        <v>0.51</v>
      </c>
      <c r="M758" s="12">
        <v>8.9599999999999999E-2</v>
      </c>
      <c r="N758" s="12">
        <v>2</v>
      </c>
      <c r="O758" s="12">
        <v>39</v>
      </c>
      <c r="P758" s="13">
        <v>41</v>
      </c>
    </row>
    <row r="759" spans="1:16" x14ac:dyDescent="0.25">
      <c r="A759" s="6">
        <v>758</v>
      </c>
      <c r="B759" s="7">
        <v>40577</v>
      </c>
      <c r="C759" s="8">
        <v>23</v>
      </c>
      <c r="D759" s="8" t="b">
        <v>0</v>
      </c>
      <c r="E759" s="8" t="str">
        <f t="shared" si="33"/>
        <v>Working Day</v>
      </c>
      <c r="F759" s="8">
        <v>4</v>
      </c>
      <c r="G759" s="8" t="str">
        <f t="shared" si="34"/>
        <v>Thu</v>
      </c>
      <c r="H759" s="8">
        <v>1</v>
      </c>
      <c r="I759" s="8" t="str">
        <f t="shared" si="35"/>
        <v>mist/cloudy</v>
      </c>
      <c r="J759" s="8">
        <v>0.2</v>
      </c>
      <c r="K759" s="8">
        <v>0.2273</v>
      </c>
      <c r="L759" s="8">
        <v>0.47</v>
      </c>
      <c r="M759" s="8">
        <v>0.1045</v>
      </c>
      <c r="N759" s="8">
        <v>4</v>
      </c>
      <c r="O759" s="8">
        <v>34</v>
      </c>
      <c r="P759" s="9">
        <v>38</v>
      </c>
    </row>
    <row r="760" spans="1:16" x14ac:dyDescent="0.25">
      <c r="A760" s="10">
        <v>759</v>
      </c>
      <c r="B760" s="11">
        <v>40578</v>
      </c>
      <c r="C760" s="12">
        <v>0</v>
      </c>
      <c r="D760" s="12" t="b">
        <v>0</v>
      </c>
      <c r="E760" s="12" t="str">
        <f t="shared" si="33"/>
        <v>Working Day</v>
      </c>
      <c r="F760" s="12">
        <v>5</v>
      </c>
      <c r="G760" s="12" t="str">
        <f t="shared" si="34"/>
        <v>Fri</v>
      </c>
      <c r="H760" s="12">
        <v>2</v>
      </c>
      <c r="I760" s="12" t="str">
        <f t="shared" si="35"/>
        <v>light rain</v>
      </c>
      <c r="J760" s="12">
        <v>0.2</v>
      </c>
      <c r="K760" s="12">
        <v>0.2576</v>
      </c>
      <c r="L760" s="12">
        <v>0.44</v>
      </c>
      <c r="M760" s="12">
        <v>0</v>
      </c>
      <c r="N760" s="12">
        <v>3</v>
      </c>
      <c r="O760" s="12">
        <v>10</v>
      </c>
      <c r="P760" s="13">
        <v>13</v>
      </c>
    </row>
    <row r="761" spans="1:16" x14ac:dyDescent="0.25">
      <c r="A761" s="6">
        <v>760</v>
      </c>
      <c r="B761" s="7">
        <v>40578</v>
      </c>
      <c r="C761" s="8">
        <v>1</v>
      </c>
      <c r="D761" s="8" t="b">
        <v>0</v>
      </c>
      <c r="E761" s="8" t="str">
        <f t="shared" si="33"/>
        <v>Working Day</v>
      </c>
      <c r="F761" s="8">
        <v>5</v>
      </c>
      <c r="G761" s="8" t="str">
        <f t="shared" si="34"/>
        <v>Fri</v>
      </c>
      <c r="H761" s="8">
        <v>2</v>
      </c>
      <c r="I761" s="8" t="str">
        <f t="shared" si="35"/>
        <v>light rain</v>
      </c>
      <c r="J761" s="8">
        <v>0.16</v>
      </c>
      <c r="K761" s="8">
        <v>0.2273</v>
      </c>
      <c r="L761" s="8">
        <v>0.59</v>
      </c>
      <c r="M761" s="8">
        <v>0</v>
      </c>
      <c r="N761" s="8">
        <v>0</v>
      </c>
      <c r="O761" s="8">
        <v>7</v>
      </c>
      <c r="P761" s="9">
        <v>7</v>
      </c>
    </row>
    <row r="762" spans="1:16" x14ac:dyDescent="0.25">
      <c r="A762" s="10">
        <v>761</v>
      </c>
      <c r="B762" s="11">
        <v>40578</v>
      </c>
      <c r="C762" s="12">
        <v>2</v>
      </c>
      <c r="D762" s="12" t="b">
        <v>0</v>
      </c>
      <c r="E762" s="12" t="str">
        <f t="shared" si="33"/>
        <v>Working Day</v>
      </c>
      <c r="F762" s="12">
        <v>5</v>
      </c>
      <c r="G762" s="12" t="str">
        <f t="shared" si="34"/>
        <v>Fri</v>
      </c>
      <c r="H762" s="12">
        <v>2</v>
      </c>
      <c r="I762" s="12" t="str">
        <f t="shared" si="35"/>
        <v>light rain</v>
      </c>
      <c r="J762" s="12">
        <v>0.14000000000000001</v>
      </c>
      <c r="K762" s="12">
        <v>0.16669999999999999</v>
      </c>
      <c r="L762" s="12">
        <v>0.63</v>
      </c>
      <c r="M762" s="12">
        <v>0.1045</v>
      </c>
      <c r="N762" s="12">
        <v>0</v>
      </c>
      <c r="O762" s="12">
        <v>1</v>
      </c>
      <c r="P762" s="13">
        <v>1</v>
      </c>
    </row>
    <row r="763" spans="1:16" x14ac:dyDescent="0.25">
      <c r="A763" s="6">
        <v>762</v>
      </c>
      <c r="B763" s="7">
        <v>40578</v>
      </c>
      <c r="C763" s="8">
        <v>3</v>
      </c>
      <c r="D763" s="8" t="b">
        <v>0</v>
      </c>
      <c r="E763" s="8" t="str">
        <f t="shared" si="33"/>
        <v>Working Day</v>
      </c>
      <c r="F763" s="8">
        <v>5</v>
      </c>
      <c r="G763" s="8" t="str">
        <f t="shared" si="34"/>
        <v>Fri</v>
      </c>
      <c r="H763" s="8">
        <v>2</v>
      </c>
      <c r="I763" s="8" t="str">
        <f t="shared" si="35"/>
        <v>light rain</v>
      </c>
      <c r="J763" s="8">
        <v>0.14000000000000001</v>
      </c>
      <c r="K763" s="8">
        <v>0.16669999999999999</v>
      </c>
      <c r="L763" s="8">
        <v>0.63</v>
      </c>
      <c r="M763" s="8">
        <v>0.1045</v>
      </c>
      <c r="N763" s="8">
        <v>0</v>
      </c>
      <c r="O763" s="8">
        <v>1</v>
      </c>
      <c r="P763" s="9">
        <v>1</v>
      </c>
    </row>
    <row r="764" spans="1:16" x14ac:dyDescent="0.25">
      <c r="A764" s="10">
        <v>763</v>
      </c>
      <c r="B764" s="11">
        <v>40578</v>
      </c>
      <c r="C764" s="12">
        <v>5</v>
      </c>
      <c r="D764" s="12" t="b">
        <v>0</v>
      </c>
      <c r="E764" s="12" t="str">
        <f t="shared" si="33"/>
        <v>Working Day</v>
      </c>
      <c r="F764" s="12">
        <v>5</v>
      </c>
      <c r="G764" s="12" t="str">
        <f t="shared" si="34"/>
        <v>Fri</v>
      </c>
      <c r="H764" s="12">
        <v>2</v>
      </c>
      <c r="I764" s="12" t="str">
        <f t="shared" si="35"/>
        <v>light rain</v>
      </c>
      <c r="J764" s="12">
        <v>0.14000000000000001</v>
      </c>
      <c r="K764" s="12">
        <v>0.1515</v>
      </c>
      <c r="L764" s="12">
        <v>0.63</v>
      </c>
      <c r="M764" s="12">
        <v>0.1343</v>
      </c>
      <c r="N764" s="12">
        <v>0</v>
      </c>
      <c r="O764" s="12">
        <v>7</v>
      </c>
      <c r="P764" s="13">
        <v>7</v>
      </c>
    </row>
    <row r="765" spans="1:16" x14ac:dyDescent="0.25">
      <c r="A765" s="6">
        <v>764</v>
      </c>
      <c r="B765" s="7">
        <v>40578</v>
      </c>
      <c r="C765" s="8">
        <v>6</v>
      </c>
      <c r="D765" s="8" t="b">
        <v>0</v>
      </c>
      <c r="E765" s="8" t="str">
        <f t="shared" si="33"/>
        <v>Working Day</v>
      </c>
      <c r="F765" s="8">
        <v>5</v>
      </c>
      <c r="G765" s="8" t="str">
        <f t="shared" si="34"/>
        <v>Fri</v>
      </c>
      <c r="H765" s="8">
        <v>2</v>
      </c>
      <c r="I765" s="8" t="str">
        <f t="shared" si="35"/>
        <v>light rain</v>
      </c>
      <c r="J765" s="8">
        <v>0.16</v>
      </c>
      <c r="K765" s="8">
        <v>0.2273</v>
      </c>
      <c r="L765" s="8">
        <v>0.55000000000000004</v>
      </c>
      <c r="M765" s="8">
        <v>0</v>
      </c>
      <c r="N765" s="8">
        <v>2</v>
      </c>
      <c r="O765" s="8">
        <v>26</v>
      </c>
      <c r="P765" s="9">
        <v>28</v>
      </c>
    </row>
    <row r="766" spans="1:16" x14ac:dyDescent="0.25">
      <c r="A766" s="10">
        <v>765</v>
      </c>
      <c r="B766" s="11">
        <v>40578</v>
      </c>
      <c r="C766" s="12">
        <v>7</v>
      </c>
      <c r="D766" s="12" t="b">
        <v>0</v>
      </c>
      <c r="E766" s="12" t="str">
        <f t="shared" si="33"/>
        <v>Working Day</v>
      </c>
      <c r="F766" s="12">
        <v>5</v>
      </c>
      <c r="G766" s="12" t="str">
        <f t="shared" si="34"/>
        <v>Fri</v>
      </c>
      <c r="H766" s="12">
        <v>1</v>
      </c>
      <c r="I766" s="12" t="str">
        <f t="shared" si="35"/>
        <v>mist/cloudy</v>
      </c>
      <c r="J766" s="12">
        <v>0.14000000000000001</v>
      </c>
      <c r="K766" s="12">
        <v>0.21210000000000001</v>
      </c>
      <c r="L766" s="12">
        <v>0.59</v>
      </c>
      <c r="M766" s="12">
        <v>0</v>
      </c>
      <c r="N766" s="12">
        <v>0</v>
      </c>
      <c r="O766" s="12">
        <v>87</v>
      </c>
      <c r="P766" s="13">
        <v>87</v>
      </c>
    </row>
    <row r="767" spans="1:16" x14ac:dyDescent="0.25">
      <c r="A767" s="6">
        <v>766</v>
      </c>
      <c r="B767" s="7">
        <v>40578</v>
      </c>
      <c r="C767" s="8">
        <v>8</v>
      </c>
      <c r="D767" s="8" t="b">
        <v>0</v>
      </c>
      <c r="E767" s="8" t="str">
        <f t="shared" si="33"/>
        <v>Working Day</v>
      </c>
      <c r="F767" s="8">
        <v>5</v>
      </c>
      <c r="G767" s="8" t="str">
        <f t="shared" si="34"/>
        <v>Fri</v>
      </c>
      <c r="H767" s="8">
        <v>1</v>
      </c>
      <c r="I767" s="8" t="str">
        <f t="shared" si="35"/>
        <v>mist/cloudy</v>
      </c>
      <c r="J767" s="8">
        <v>0.14000000000000001</v>
      </c>
      <c r="K767" s="8">
        <v>0.1515</v>
      </c>
      <c r="L767" s="8">
        <v>0.74</v>
      </c>
      <c r="M767" s="8">
        <v>0.1343</v>
      </c>
      <c r="N767" s="8">
        <v>3</v>
      </c>
      <c r="O767" s="8">
        <v>217</v>
      </c>
      <c r="P767" s="9">
        <v>220</v>
      </c>
    </row>
    <row r="768" spans="1:16" x14ac:dyDescent="0.25">
      <c r="A768" s="10">
        <v>767</v>
      </c>
      <c r="B768" s="11">
        <v>40578</v>
      </c>
      <c r="C768" s="12">
        <v>9</v>
      </c>
      <c r="D768" s="12" t="b">
        <v>0</v>
      </c>
      <c r="E768" s="12" t="str">
        <f t="shared" si="33"/>
        <v>Working Day</v>
      </c>
      <c r="F768" s="12">
        <v>5</v>
      </c>
      <c r="G768" s="12" t="str">
        <f t="shared" si="34"/>
        <v>Fri</v>
      </c>
      <c r="H768" s="12">
        <v>2</v>
      </c>
      <c r="I768" s="12" t="str">
        <f t="shared" si="35"/>
        <v>light rain</v>
      </c>
      <c r="J768" s="12">
        <v>0.16</v>
      </c>
      <c r="K768" s="12">
        <v>0.18179999999999999</v>
      </c>
      <c r="L768" s="12">
        <v>0.8</v>
      </c>
      <c r="M768" s="12">
        <v>0.1343</v>
      </c>
      <c r="N768" s="12">
        <v>3</v>
      </c>
      <c r="O768" s="12">
        <v>124</v>
      </c>
      <c r="P768" s="13">
        <v>127</v>
      </c>
    </row>
    <row r="769" spans="1:16" x14ac:dyDescent="0.25">
      <c r="A769" s="6">
        <v>768</v>
      </c>
      <c r="B769" s="7">
        <v>40578</v>
      </c>
      <c r="C769" s="8">
        <v>10</v>
      </c>
      <c r="D769" s="8" t="b">
        <v>0</v>
      </c>
      <c r="E769" s="8" t="str">
        <f t="shared" si="33"/>
        <v>Working Day</v>
      </c>
      <c r="F769" s="8">
        <v>5</v>
      </c>
      <c r="G769" s="8" t="str">
        <f t="shared" si="34"/>
        <v>Fri</v>
      </c>
      <c r="H769" s="8">
        <v>2</v>
      </c>
      <c r="I769" s="8" t="str">
        <f t="shared" si="35"/>
        <v>light rain</v>
      </c>
      <c r="J769" s="8">
        <v>0.2</v>
      </c>
      <c r="K769" s="8">
        <v>0.21210000000000001</v>
      </c>
      <c r="L769" s="8">
        <v>0.51</v>
      </c>
      <c r="M769" s="8">
        <v>0.1343</v>
      </c>
      <c r="N769" s="8">
        <v>5</v>
      </c>
      <c r="O769" s="8">
        <v>46</v>
      </c>
      <c r="P769" s="9">
        <v>51</v>
      </c>
    </row>
    <row r="770" spans="1:16" x14ac:dyDescent="0.25">
      <c r="A770" s="10">
        <v>769</v>
      </c>
      <c r="B770" s="11">
        <v>40578</v>
      </c>
      <c r="C770" s="12">
        <v>11</v>
      </c>
      <c r="D770" s="12" t="b">
        <v>0</v>
      </c>
      <c r="E770" s="12" t="str">
        <f t="shared" ref="E770:E833" si="36">IF(D770=FALSE,"Working Day","Holiday")</f>
        <v>Working Day</v>
      </c>
      <c r="F770" s="12">
        <v>5</v>
      </c>
      <c r="G770" s="12" t="str">
        <f t="shared" ref="G770:G833" si="37">TEXT(F770+1, "ddd")</f>
        <v>Fri</v>
      </c>
      <c r="H770" s="12">
        <v>1</v>
      </c>
      <c r="I770" s="12" t="str">
        <f t="shared" si="35"/>
        <v>mist/cloudy</v>
      </c>
      <c r="J770" s="12">
        <v>0.22</v>
      </c>
      <c r="K770" s="12">
        <v>0.2273</v>
      </c>
      <c r="L770" s="12">
        <v>0.51</v>
      </c>
      <c r="M770" s="12">
        <v>0.16420000000000001</v>
      </c>
      <c r="N770" s="12">
        <v>3</v>
      </c>
      <c r="O770" s="12">
        <v>61</v>
      </c>
      <c r="P770" s="13">
        <v>64</v>
      </c>
    </row>
    <row r="771" spans="1:16" x14ac:dyDescent="0.25">
      <c r="A771" s="6">
        <v>770</v>
      </c>
      <c r="B771" s="7">
        <v>40578</v>
      </c>
      <c r="C771" s="8">
        <v>12</v>
      </c>
      <c r="D771" s="8" t="b">
        <v>0</v>
      </c>
      <c r="E771" s="8" t="str">
        <f t="shared" si="36"/>
        <v>Working Day</v>
      </c>
      <c r="F771" s="8">
        <v>5</v>
      </c>
      <c r="G771" s="8" t="str">
        <f t="shared" si="37"/>
        <v>Fri</v>
      </c>
      <c r="H771" s="8">
        <v>2</v>
      </c>
      <c r="I771" s="8" t="str">
        <f t="shared" ref="I771:I834" si="38">IF(H771=0, "clear", IF(H771=1, "mist/cloudy", IF(H771=2, "light rain", IF(H771=3, "heavy rain", IF(H771=4, "extreme weather condition", "Unknown")))))</f>
        <v>light rain</v>
      </c>
      <c r="J771" s="8">
        <v>0.24</v>
      </c>
      <c r="K771" s="8">
        <v>0.2424</v>
      </c>
      <c r="L771" s="8">
        <v>0.48</v>
      </c>
      <c r="M771" s="8">
        <v>0.16420000000000001</v>
      </c>
      <c r="N771" s="8">
        <v>8</v>
      </c>
      <c r="O771" s="8">
        <v>78</v>
      </c>
      <c r="P771" s="9">
        <v>86</v>
      </c>
    </row>
    <row r="772" spans="1:16" x14ac:dyDescent="0.25">
      <c r="A772" s="10">
        <v>771</v>
      </c>
      <c r="B772" s="11">
        <v>40578</v>
      </c>
      <c r="C772" s="12">
        <v>13</v>
      </c>
      <c r="D772" s="12" t="b">
        <v>0</v>
      </c>
      <c r="E772" s="12" t="str">
        <f t="shared" si="36"/>
        <v>Working Day</v>
      </c>
      <c r="F772" s="12">
        <v>5</v>
      </c>
      <c r="G772" s="12" t="str">
        <f t="shared" si="37"/>
        <v>Fri</v>
      </c>
      <c r="H772" s="12">
        <v>2</v>
      </c>
      <c r="I772" s="12" t="str">
        <f t="shared" si="38"/>
        <v>light rain</v>
      </c>
      <c r="J772" s="12">
        <v>0.26</v>
      </c>
      <c r="K772" s="12">
        <v>0.2576</v>
      </c>
      <c r="L772" s="12">
        <v>0.5</v>
      </c>
      <c r="M772" s="12">
        <v>0.22389999999999999</v>
      </c>
      <c r="N772" s="12">
        <v>9</v>
      </c>
      <c r="O772" s="12">
        <v>73</v>
      </c>
      <c r="P772" s="13">
        <v>82</v>
      </c>
    </row>
    <row r="773" spans="1:16" x14ac:dyDescent="0.25">
      <c r="A773" s="6">
        <v>772</v>
      </c>
      <c r="B773" s="7">
        <v>40578</v>
      </c>
      <c r="C773" s="8">
        <v>14</v>
      </c>
      <c r="D773" s="8" t="b">
        <v>0</v>
      </c>
      <c r="E773" s="8" t="str">
        <f t="shared" si="36"/>
        <v>Working Day</v>
      </c>
      <c r="F773" s="8">
        <v>5</v>
      </c>
      <c r="G773" s="8" t="str">
        <f t="shared" si="37"/>
        <v>Fri</v>
      </c>
      <c r="H773" s="8">
        <v>2</v>
      </c>
      <c r="I773" s="8" t="str">
        <f t="shared" si="38"/>
        <v>light rain</v>
      </c>
      <c r="J773" s="8">
        <v>0.28000000000000003</v>
      </c>
      <c r="K773" s="8">
        <v>0.2727</v>
      </c>
      <c r="L773" s="8">
        <v>0.45</v>
      </c>
      <c r="M773" s="8">
        <v>0.16420000000000001</v>
      </c>
      <c r="N773" s="8">
        <v>15</v>
      </c>
      <c r="O773" s="8">
        <v>76</v>
      </c>
      <c r="P773" s="9">
        <v>91</v>
      </c>
    </row>
    <row r="774" spans="1:16" x14ac:dyDescent="0.25">
      <c r="A774" s="10">
        <v>773</v>
      </c>
      <c r="B774" s="11">
        <v>40578</v>
      </c>
      <c r="C774" s="12">
        <v>15</v>
      </c>
      <c r="D774" s="12" t="b">
        <v>0</v>
      </c>
      <c r="E774" s="12" t="str">
        <f t="shared" si="36"/>
        <v>Working Day</v>
      </c>
      <c r="F774" s="12">
        <v>5</v>
      </c>
      <c r="G774" s="12" t="str">
        <f t="shared" si="37"/>
        <v>Fri</v>
      </c>
      <c r="H774" s="12">
        <v>2</v>
      </c>
      <c r="I774" s="12" t="str">
        <f t="shared" si="38"/>
        <v>light rain</v>
      </c>
      <c r="J774" s="12">
        <v>0.28000000000000003</v>
      </c>
      <c r="K774" s="12">
        <v>0.2727</v>
      </c>
      <c r="L774" s="12">
        <v>0.48</v>
      </c>
      <c r="M774" s="12">
        <v>0.25369999999999998</v>
      </c>
      <c r="N774" s="12">
        <v>9</v>
      </c>
      <c r="O774" s="12">
        <v>81</v>
      </c>
      <c r="P774" s="13">
        <v>90</v>
      </c>
    </row>
    <row r="775" spans="1:16" x14ac:dyDescent="0.25">
      <c r="A775" s="6">
        <v>774</v>
      </c>
      <c r="B775" s="7">
        <v>40578</v>
      </c>
      <c r="C775" s="8">
        <v>16</v>
      </c>
      <c r="D775" s="8" t="b">
        <v>0</v>
      </c>
      <c r="E775" s="8" t="str">
        <f t="shared" si="36"/>
        <v>Working Day</v>
      </c>
      <c r="F775" s="8">
        <v>5</v>
      </c>
      <c r="G775" s="8" t="str">
        <f t="shared" si="37"/>
        <v>Fri</v>
      </c>
      <c r="H775" s="8">
        <v>2</v>
      </c>
      <c r="I775" s="8" t="str">
        <f t="shared" si="38"/>
        <v>light rain</v>
      </c>
      <c r="J775" s="8">
        <v>0.3</v>
      </c>
      <c r="K775" s="8">
        <v>0.28789999999999999</v>
      </c>
      <c r="L775" s="8">
        <v>0.42</v>
      </c>
      <c r="M775" s="8">
        <v>0.22389999999999999</v>
      </c>
      <c r="N775" s="8">
        <v>8</v>
      </c>
      <c r="O775" s="8">
        <v>91</v>
      </c>
      <c r="P775" s="9">
        <v>99</v>
      </c>
    </row>
    <row r="776" spans="1:16" x14ac:dyDescent="0.25">
      <c r="A776" s="10">
        <v>775</v>
      </c>
      <c r="B776" s="11">
        <v>40578</v>
      </c>
      <c r="C776" s="12">
        <v>17</v>
      </c>
      <c r="D776" s="12" t="b">
        <v>0</v>
      </c>
      <c r="E776" s="12" t="str">
        <f t="shared" si="36"/>
        <v>Working Day</v>
      </c>
      <c r="F776" s="12">
        <v>5</v>
      </c>
      <c r="G776" s="12" t="str">
        <f t="shared" si="37"/>
        <v>Fri</v>
      </c>
      <c r="H776" s="12">
        <v>2</v>
      </c>
      <c r="I776" s="12" t="str">
        <f t="shared" si="38"/>
        <v>light rain</v>
      </c>
      <c r="J776" s="12">
        <v>0.26</v>
      </c>
      <c r="K776" s="12">
        <v>0.2727</v>
      </c>
      <c r="L776" s="12">
        <v>0.56000000000000005</v>
      </c>
      <c r="M776" s="12">
        <v>0.1343</v>
      </c>
      <c r="N776" s="12">
        <v>10</v>
      </c>
      <c r="O776" s="12">
        <v>195</v>
      </c>
      <c r="P776" s="13">
        <v>205</v>
      </c>
    </row>
    <row r="777" spans="1:16" x14ac:dyDescent="0.25">
      <c r="A777" s="6">
        <v>776</v>
      </c>
      <c r="B777" s="7">
        <v>40578</v>
      </c>
      <c r="C777" s="8">
        <v>18</v>
      </c>
      <c r="D777" s="8" t="b">
        <v>0</v>
      </c>
      <c r="E777" s="8" t="str">
        <f t="shared" si="36"/>
        <v>Working Day</v>
      </c>
      <c r="F777" s="8">
        <v>5</v>
      </c>
      <c r="G777" s="8" t="str">
        <f t="shared" si="37"/>
        <v>Fri</v>
      </c>
      <c r="H777" s="8">
        <v>2</v>
      </c>
      <c r="I777" s="8" t="str">
        <f t="shared" si="38"/>
        <v>light rain</v>
      </c>
      <c r="J777" s="8">
        <v>0.24</v>
      </c>
      <c r="K777" s="8">
        <v>0.2576</v>
      </c>
      <c r="L777" s="8">
        <v>0.6</v>
      </c>
      <c r="M777" s="8">
        <v>0.1045</v>
      </c>
      <c r="N777" s="8">
        <v>3</v>
      </c>
      <c r="O777" s="8">
        <v>152</v>
      </c>
      <c r="P777" s="9">
        <v>155</v>
      </c>
    </row>
    <row r="778" spans="1:16" x14ac:dyDescent="0.25">
      <c r="A778" s="10">
        <v>777</v>
      </c>
      <c r="B778" s="11">
        <v>40578</v>
      </c>
      <c r="C778" s="12">
        <v>19</v>
      </c>
      <c r="D778" s="12" t="b">
        <v>0</v>
      </c>
      <c r="E778" s="12" t="str">
        <f t="shared" si="36"/>
        <v>Working Day</v>
      </c>
      <c r="F778" s="12">
        <v>5</v>
      </c>
      <c r="G778" s="12" t="str">
        <f t="shared" si="37"/>
        <v>Fri</v>
      </c>
      <c r="H778" s="12">
        <v>2</v>
      </c>
      <c r="I778" s="12" t="str">
        <f t="shared" si="38"/>
        <v>light rain</v>
      </c>
      <c r="J778" s="12">
        <v>0.24</v>
      </c>
      <c r="K778" s="12">
        <v>0.2424</v>
      </c>
      <c r="L778" s="12">
        <v>0.65</v>
      </c>
      <c r="M778" s="12">
        <v>0.1343</v>
      </c>
      <c r="N778" s="12">
        <v>1</v>
      </c>
      <c r="O778" s="12">
        <v>102</v>
      </c>
      <c r="P778" s="13">
        <v>103</v>
      </c>
    </row>
    <row r="779" spans="1:16" x14ac:dyDescent="0.25">
      <c r="A779" s="6">
        <v>778</v>
      </c>
      <c r="B779" s="7">
        <v>40578</v>
      </c>
      <c r="C779" s="8">
        <v>20</v>
      </c>
      <c r="D779" s="8" t="b">
        <v>0</v>
      </c>
      <c r="E779" s="8" t="str">
        <f t="shared" si="36"/>
        <v>Working Day</v>
      </c>
      <c r="F779" s="8">
        <v>5</v>
      </c>
      <c r="G779" s="8" t="str">
        <f t="shared" si="37"/>
        <v>Fri</v>
      </c>
      <c r="H779" s="8">
        <v>2</v>
      </c>
      <c r="I779" s="8" t="str">
        <f t="shared" si="38"/>
        <v>light rain</v>
      </c>
      <c r="J779" s="8">
        <v>0.24</v>
      </c>
      <c r="K779" s="8">
        <v>0.2424</v>
      </c>
      <c r="L779" s="8">
        <v>0.65</v>
      </c>
      <c r="M779" s="8">
        <v>0.16420000000000001</v>
      </c>
      <c r="N779" s="8">
        <v>2</v>
      </c>
      <c r="O779" s="8">
        <v>69</v>
      </c>
      <c r="P779" s="9">
        <v>71</v>
      </c>
    </row>
    <row r="780" spans="1:16" x14ac:dyDescent="0.25">
      <c r="A780" s="10">
        <v>779</v>
      </c>
      <c r="B780" s="11">
        <v>40578</v>
      </c>
      <c r="C780" s="12">
        <v>21</v>
      </c>
      <c r="D780" s="12" t="b">
        <v>0</v>
      </c>
      <c r="E780" s="12" t="str">
        <f t="shared" si="36"/>
        <v>Working Day</v>
      </c>
      <c r="F780" s="12">
        <v>5</v>
      </c>
      <c r="G780" s="12" t="str">
        <f t="shared" si="37"/>
        <v>Fri</v>
      </c>
      <c r="H780" s="12">
        <v>2</v>
      </c>
      <c r="I780" s="12" t="str">
        <f t="shared" si="38"/>
        <v>light rain</v>
      </c>
      <c r="J780" s="12">
        <v>0.24</v>
      </c>
      <c r="K780" s="12">
        <v>0.2424</v>
      </c>
      <c r="L780" s="12">
        <v>0.7</v>
      </c>
      <c r="M780" s="12">
        <v>0.16420000000000001</v>
      </c>
      <c r="N780" s="12">
        <v>2</v>
      </c>
      <c r="O780" s="12">
        <v>41</v>
      </c>
      <c r="P780" s="13">
        <v>43</v>
      </c>
    </row>
    <row r="781" spans="1:16" x14ac:dyDescent="0.25">
      <c r="A781" s="6">
        <v>780</v>
      </c>
      <c r="B781" s="7">
        <v>40578</v>
      </c>
      <c r="C781" s="8">
        <v>22</v>
      </c>
      <c r="D781" s="8" t="b">
        <v>0</v>
      </c>
      <c r="E781" s="8" t="str">
        <f t="shared" si="36"/>
        <v>Working Day</v>
      </c>
      <c r="F781" s="8">
        <v>5</v>
      </c>
      <c r="G781" s="8" t="str">
        <f t="shared" si="37"/>
        <v>Fri</v>
      </c>
      <c r="H781" s="8">
        <v>2</v>
      </c>
      <c r="I781" s="8" t="str">
        <f t="shared" si="38"/>
        <v>light rain</v>
      </c>
      <c r="J781" s="8">
        <v>0.24</v>
      </c>
      <c r="K781" s="8">
        <v>0.2424</v>
      </c>
      <c r="L781" s="8">
        <v>0.65</v>
      </c>
      <c r="M781" s="8">
        <v>0.16420000000000001</v>
      </c>
      <c r="N781" s="8">
        <v>1</v>
      </c>
      <c r="O781" s="8">
        <v>45</v>
      </c>
      <c r="P781" s="9">
        <v>46</v>
      </c>
    </row>
    <row r="782" spans="1:16" x14ac:dyDescent="0.25">
      <c r="A782" s="10">
        <v>781</v>
      </c>
      <c r="B782" s="11">
        <v>40578</v>
      </c>
      <c r="C782" s="12">
        <v>23</v>
      </c>
      <c r="D782" s="12" t="b">
        <v>0</v>
      </c>
      <c r="E782" s="12" t="str">
        <f t="shared" si="36"/>
        <v>Working Day</v>
      </c>
      <c r="F782" s="12">
        <v>5</v>
      </c>
      <c r="G782" s="12" t="str">
        <f t="shared" si="37"/>
        <v>Fri</v>
      </c>
      <c r="H782" s="12">
        <v>2</v>
      </c>
      <c r="I782" s="12" t="str">
        <f t="shared" si="38"/>
        <v>light rain</v>
      </c>
      <c r="J782" s="12">
        <v>0.24</v>
      </c>
      <c r="K782" s="12">
        <v>0.2424</v>
      </c>
      <c r="L782" s="12">
        <v>0.7</v>
      </c>
      <c r="M782" s="12">
        <v>0.1343</v>
      </c>
      <c r="N782" s="12">
        <v>1</v>
      </c>
      <c r="O782" s="12">
        <v>30</v>
      </c>
      <c r="P782" s="13">
        <v>31</v>
      </c>
    </row>
    <row r="783" spans="1:16" x14ac:dyDescent="0.25">
      <c r="A783" s="6">
        <v>782</v>
      </c>
      <c r="B783" s="7">
        <v>40579</v>
      </c>
      <c r="C783" s="8">
        <v>0</v>
      </c>
      <c r="D783" s="8" t="b">
        <v>0</v>
      </c>
      <c r="E783" s="8" t="str">
        <f t="shared" si="36"/>
        <v>Working Day</v>
      </c>
      <c r="F783" s="8">
        <v>6</v>
      </c>
      <c r="G783" s="8" t="str">
        <f t="shared" si="37"/>
        <v>Sat</v>
      </c>
      <c r="H783" s="8">
        <v>2</v>
      </c>
      <c r="I783" s="8" t="str">
        <f t="shared" si="38"/>
        <v>light rain</v>
      </c>
      <c r="J783" s="8">
        <v>0.24</v>
      </c>
      <c r="K783" s="8">
        <v>0.2424</v>
      </c>
      <c r="L783" s="8">
        <v>0.7</v>
      </c>
      <c r="M783" s="8">
        <v>0.16420000000000001</v>
      </c>
      <c r="N783" s="8">
        <v>3</v>
      </c>
      <c r="O783" s="8">
        <v>36</v>
      </c>
      <c r="P783" s="9">
        <v>39</v>
      </c>
    </row>
    <row r="784" spans="1:16" x14ac:dyDescent="0.25">
      <c r="A784" s="10">
        <v>783</v>
      </c>
      <c r="B784" s="11">
        <v>40579</v>
      </c>
      <c r="C784" s="12">
        <v>1</v>
      </c>
      <c r="D784" s="12" t="b">
        <v>0</v>
      </c>
      <c r="E784" s="12" t="str">
        <f t="shared" si="36"/>
        <v>Working Day</v>
      </c>
      <c r="F784" s="12">
        <v>6</v>
      </c>
      <c r="G784" s="12" t="str">
        <f t="shared" si="37"/>
        <v>Sat</v>
      </c>
      <c r="H784" s="12">
        <v>2</v>
      </c>
      <c r="I784" s="12" t="str">
        <f t="shared" si="38"/>
        <v>light rain</v>
      </c>
      <c r="J784" s="12">
        <v>0.24</v>
      </c>
      <c r="K784" s="12">
        <v>0.2424</v>
      </c>
      <c r="L784" s="12">
        <v>0.65</v>
      </c>
      <c r="M784" s="12">
        <v>0.16420000000000001</v>
      </c>
      <c r="N784" s="12">
        <v>1</v>
      </c>
      <c r="O784" s="12">
        <v>17</v>
      </c>
      <c r="P784" s="13">
        <v>18</v>
      </c>
    </row>
    <row r="785" spans="1:16" x14ac:dyDescent="0.25">
      <c r="A785" s="6">
        <v>784</v>
      </c>
      <c r="B785" s="7">
        <v>40579</v>
      </c>
      <c r="C785" s="8">
        <v>2</v>
      </c>
      <c r="D785" s="8" t="b">
        <v>0</v>
      </c>
      <c r="E785" s="8" t="str">
        <f t="shared" si="36"/>
        <v>Working Day</v>
      </c>
      <c r="F785" s="8">
        <v>6</v>
      </c>
      <c r="G785" s="8" t="str">
        <f t="shared" si="37"/>
        <v>Sat</v>
      </c>
      <c r="H785" s="8">
        <v>2</v>
      </c>
      <c r="I785" s="8" t="str">
        <f t="shared" si="38"/>
        <v>light rain</v>
      </c>
      <c r="J785" s="8">
        <v>0.24</v>
      </c>
      <c r="K785" s="8">
        <v>0.2424</v>
      </c>
      <c r="L785" s="8">
        <v>0.75</v>
      </c>
      <c r="M785" s="8">
        <v>0.16420000000000001</v>
      </c>
      <c r="N785" s="8">
        <v>5</v>
      </c>
      <c r="O785" s="8">
        <v>12</v>
      </c>
      <c r="P785" s="9">
        <v>17</v>
      </c>
    </row>
    <row r="786" spans="1:16" x14ac:dyDescent="0.25">
      <c r="A786" s="10">
        <v>785</v>
      </c>
      <c r="B786" s="11">
        <v>40579</v>
      </c>
      <c r="C786" s="12">
        <v>3</v>
      </c>
      <c r="D786" s="12" t="b">
        <v>0</v>
      </c>
      <c r="E786" s="12" t="str">
        <f t="shared" si="36"/>
        <v>Working Day</v>
      </c>
      <c r="F786" s="12">
        <v>6</v>
      </c>
      <c r="G786" s="12" t="str">
        <f t="shared" si="37"/>
        <v>Sat</v>
      </c>
      <c r="H786" s="12">
        <v>2</v>
      </c>
      <c r="I786" s="12" t="str">
        <f t="shared" si="38"/>
        <v>light rain</v>
      </c>
      <c r="J786" s="12">
        <v>0.24</v>
      </c>
      <c r="K786" s="12">
        <v>0.2424</v>
      </c>
      <c r="L786" s="12">
        <v>0.75</v>
      </c>
      <c r="M786" s="12">
        <v>0.16420000000000001</v>
      </c>
      <c r="N786" s="12">
        <v>1</v>
      </c>
      <c r="O786" s="12">
        <v>10</v>
      </c>
      <c r="P786" s="13">
        <v>11</v>
      </c>
    </row>
    <row r="787" spans="1:16" x14ac:dyDescent="0.25">
      <c r="A787" s="6">
        <v>786</v>
      </c>
      <c r="B787" s="7">
        <v>40579</v>
      </c>
      <c r="C787" s="8">
        <v>4</v>
      </c>
      <c r="D787" s="8" t="b">
        <v>0</v>
      </c>
      <c r="E787" s="8" t="str">
        <f t="shared" si="36"/>
        <v>Working Day</v>
      </c>
      <c r="F787" s="8">
        <v>6</v>
      </c>
      <c r="G787" s="8" t="str">
        <f t="shared" si="37"/>
        <v>Sat</v>
      </c>
      <c r="H787" s="8">
        <v>3</v>
      </c>
      <c r="I787" s="8" t="str">
        <f t="shared" si="38"/>
        <v>heavy rain</v>
      </c>
      <c r="J787" s="8">
        <v>0.22</v>
      </c>
      <c r="K787" s="8">
        <v>0.2273</v>
      </c>
      <c r="L787" s="8">
        <v>0.93</v>
      </c>
      <c r="M787" s="8">
        <v>0.1343</v>
      </c>
      <c r="N787" s="8">
        <v>0</v>
      </c>
      <c r="O787" s="8">
        <v>8</v>
      </c>
      <c r="P787" s="9">
        <v>8</v>
      </c>
    </row>
    <row r="788" spans="1:16" x14ac:dyDescent="0.25">
      <c r="A788" s="10">
        <v>787</v>
      </c>
      <c r="B788" s="11">
        <v>40579</v>
      </c>
      <c r="C788" s="12">
        <v>5</v>
      </c>
      <c r="D788" s="12" t="b">
        <v>0</v>
      </c>
      <c r="E788" s="12" t="str">
        <f t="shared" si="36"/>
        <v>Working Day</v>
      </c>
      <c r="F788" s="12">
        <v>6</v>
      </c>
      <c r="G788" s="12" t="str">
        <f t="shared" si="37"/>
        <v>Sat</v>
      </c>
      <c r="H788" s="12">
        <v>3</v>
      </c>
      <c r="I788" s="12" t="str">
        <f t="shared" si="38"/>
        <v>heavy rain</v>
      </c>
      <c r="J788" s="12">
        <v>0.2</v>
      </c>
      <c r="K788" s="12">
        <v>0.2273</v>
      </c>
      <c r="L788" s="12">
        <v>1</v>
      </c>
      <c r="M788" s="12">
        <v>8.9599999999999999E-2</v>
      </c>
      <c r="N788" s="12">
        <v>0</v>
      </c>
      <c r="O788" s="12">
        <v>9</v>
      </c>
      <c r="P788" s="13">
        <v>9</v>
      </c>
    </row>
    <row r="789" spans="1:16" x14ac:dyDescent="0.25">
      <c r="A789" s="6">
        <v>788</v>
      </c>
      <c r="B789" s="7">
        <v>40579</v>
      </c>
      <c r="C789" s="8">
        <v>6</v>
      </c>
      <c r="D789" s="8" t="b">
        <v>0</v>
      </c>
      <c r="E789" s="8" t="str">
        <f t="shared" si="36"/>
        <v>Working Day</v>
      </c>
      <c r="F789" s="8">
        <v>6</v>
      </c>
      <c r="G789" s="8" t="str">
        <f t="shared" si="37"/>
        <v>Sat</v>
      </c>
      <c r="H789" s="8">
        <v>3</v>
      </c>
      <c r="I789" s="8" t="str">
        <f t="shared" si="38"/>
        <v>heavy rain</v>
      </c>
      <c r="J789" s="8">
        <v>0.2</v>
      </c>
      <c r="K789" s="8">
        <v>0.2576</v>
      </c>
      <c r="L789" s="8">
        <v>1</v>
      </c>
      <c r="M789" s="8">
        <v>0</v>
      </c>
      <c r="N789" s="8">
        <v>0</v>
      </c>
      <c r="O789" s="8">
        <v>4</v>
      </c>
      <c r="P789" s="9">
        <v>4</v>
      </c>
    </row>
    <row r="790" spans="1:16" x14ac:dyDescent="0.25">
      <c r="A790" s="10">
        <v>789</v>
      </c>
      <c r="B790" s="11">
        <v>40579</v>
      </c>
      <c r="C790" s="12">
        <v>7</v>
      </c>
      <c r="D790" s="12" t="b">
        <v>0</v>
      </c>
      <c r="E790" s="12" t="str">
        <f t="shared" si="36"/>
        <v>Working Day</v>
      </c>
      <c r="F790" s="12">
        <v>6</v>
      </c>
      <c r="G790" s="12" t="str">
        <f t="shared" si="37"/>
        <v>Sat</v>
      </c>
      <c r="H790" s="12">
        <v>3</v>
      </c>
      <c r="I790" s="12" t="str">
        <f t="shared" si="38"/>
        <v>heavy rain</v>
      </c>
      <c r="J790" s="12">
        <v>0.22</v>
      </c>
      <c r="K790" s="12">
        <v>0.2576</v>
      </c>
      <c r="L790" s="12">
        <v>0.93</v>
      </c>
      <c r="M790" s="12">
        <v>8.9599999999999999E-2</v>
      </c>
      <c r="N790" s="12">
        <v>0</v>
      </c>
      <c r="O790" s="12">
        <v>4</v>
      </c>
      <c r="P790" s="13">
        <v>4</v>
      </c>
    </row>
    <row r="791" spans="1:16" x14ac:dyDescent="0.25">
      <c r="A791" s="6">
        <v>790</v>
      </c>
      <c r="B791" s="7">
        <v>40579</v>
      </c>
      <c r="C791" s="8">
        <v>8</v>
      </c>
      <c r="D791" s="8" t="b">
        <v>0</v>
      </c>
      <c r="E791" s="8" t="str">
        <f t="shared" si="36"/>
        <v>Working Day</v>
      </c>
      <c r="F791" s="8">
        <v>6</v>
      </c>
      <c r="G791" s="8" t="str">
        <f t="shared" si="37"/>
        <v>Sat</v>
      </c>
      <c r="H791" s="8">
        <v>3</v>
      </c>
      <c r="I791" s="8" t="str">
        <f t="shared" si="38"/>
        <v>heavy rain</v>
      </c>
      <c r="J791" s="8">
        <v>0.2</v>
      </c>
      <c r="K791" s="8">
        <v>0.2273</v>
      </c>
      <c r="L791" s="8">
        <v>1</v>
      </c>
      <c r="M791" s="8">
        <v>8.9599999999999999E-2</v>
      </c>
      <c r="N791" s="8">
        <v>0</v>
      </c>
      <c r="O791" s="8">
        <v>10</v>
      </c>
      <c r="P791" s="9">
        <v>10</v>
      </c>
    </row>
    <row r="792" spans="1:16" x14ac:dyDescent="0.25">
      <c r="A792" s="10">
        <v>791</v>
      </c>
      <c r="B792" s="11">
        <v>40579</v>
      </c>
      <c r="C792" s="12">
        <v>9</v>
      </c>
      <c r="D792" s="12" t="b">
        <v>0</v>
      </c>
      <c r="E792" s="12" t="str">
        <f t="shared" si="36"/>
        <v>Working Day</v>
      </c>
      <c r="F792" s="12">
        <v>6</v>
      </c>
      <c r="G792" s="12" t="str">
        <f t="shared" si="37"/>
        <v>Sat</v>
      </c>
      <c r="H792" s="12">
        <v>3</v>
      </c>
      <c r="I792" s="12" t="str">
        <f t="shared" si="38"/>
        <v>heavy rain</v>
      </c>
      <c r="J792" s="12">
        <v>0.2</v>
      </c>
      <c r="K792" s="12">
        <v>0.2273</v>
      </c>
      <c r="L792" s="12">
        <v>1</v>
      </c>
      <c r="M792" s="12">
        <v>8.9599999999999999E-2</v>
      </c>
      <c r="N792" s="12">
        <v>3</v>
      </c>
      <c r="O792" s="12">
        <v>17</v>
      </c>
      <c r="P792" s="13">
        <v>20</v>
      </c>
    </row>
    <row r="793" spans="1:16" x14ac:dyDescent="0.25">
      <c r="A793" s="6">
        <v>792</v>
      </c>
      <c r="B793" s="7">
        <v>40579</v>
      </c>
      <c r="C793" s="8">
        <v>10</v>
      </c>
      <c r="D793" s="8" t="b">
        <v>0</v>
      </c>
      <c r="E793" s="8" t="str">
        <f t="shared" si="36"/>
        <v>Working Day</v>
      </c>
      <c r="F793" s="8">
        <v>6</v>
      </c>
      <c r="G793" s="8" t="str">
        <f t="shared" si="37"/>
        <v>Sat</v>
      </c>
      <c r="H793" s="8">
        <v>3</v>
      </c>
      <c r="I793" s="8" t="str">
        <f t="shared" si="38"/>
        <v>heavy rain</v>
      </c>
      <c r="J793" s="8">
        <v>0.2</v>
      </c>
      <c r="K793" s="8">
        <v>0.21210000000000001</v>
      </c>
      <c r="L793" s="8">
        <v>1</v>
      </c>
      <c r="M793" s="8">
        <v>0.1343</v>
      </c>
      <c r="N793" s="8">
        <v>3</v>
      </c>
      <c r="O793" s="8">
        <v>31</v>
      </c>
      <c r="P793" s="9">
        <v>34</v>
      </c>
    </row>
    <row r="794" spans="1:16" x14ac:dyDescent="0.25">
      <c r="A794" s="10">
        <v>793</v>
      </c>
      <c r="B794" s="11">
        <v>40579</v>
      </c>
      <c r="C794" s="12">
        <v>11</v>
      </c>
      <c r="D794" s="12" t="b">
        <v>0</v>
      </c>
      <c r="E794" s="12" t="str">
        <f t="shared" si="36"/>
        <v>Working Day</v>
      </c>
      <c r="F794" s="12">
        <v>6</v>
      </c>
      <c r="G794" s="12" t="str">
        <f t="shared" si="37"/>
        <v>Sat</v>
      </c>
      <c r="H794" s="12">
        <v>3</v>
      </c>
      <c r="I794" s="12" t="str">
        <f t="shared" si="38"/>
        <v>heavy rain</v>
      </c>
      <c r="J794" s="12">
        <v>0.22</v>
      </c>
      <c r="K794" s="12">
        <v>0.2273</v>
      </c>
      <c r="L794" s="12">
        <v>1</v>
      </c>
      <c r="M794" s="12">
        <v>0.1343</v>
      </c>
      <c r="N794" s="12">
        <v>1</v>
      </c>
      <c r="O794" s="12">
        <v>46</v>
      </c>
      <c r="P794" s="13">
        <v>47</v>
      </c>
    </row>
    <row r="795" spans="1:16" x14ac:dyDescent="0.25">
      <c r="A795" s="6">
        <v>794</v>
      </c>
      <c r="B795" s="7">
        <v>40579</v>
      </c>
      <c r="C795" s="8">
        <v>12</v>
      </c>
      <c r="D795" s="8" t="b">
        <v>0</v>
      </c>
      <c r="E795" s="8" t="str">
        <f t="shared" si="36"/>
        <v>Working Day</v>
      </c>
      <c r="F795" s="8">
        <v>6</v>
      </c>
      <c r="G795" s="8" t="str">
        <f t="shared" si="37"/>
        <v>Sat</v>
      </c>
      <c r="H795" s="8">
        <v>3</v>
      </c>
      <c r="I795" s="8" t="str">
        <f t="shared" si="38"/>
        <v>heavy rain</v>
      </c>
      <c r="J795" s="8">
        <v>0.22</v>
      </c>
      <c r="K795" s="8">
        <v>0.2273</v>
      </c>
      <c r="L795" s="8">
        <v>1</v>
      </c>
      <c r="M795" s="8">
        <v>0.16420000000000001</v>
      </c>
      <c r="N795" s="8">
        <v>10</v>
      </c>
      <c r="O795" s="8">
        <v>42</v>
      </c>
      <c r="P795" s="9">
        <v>52</v>
      </c>
    </row>
    <row r="796" spans="1:16" x14ac:dyDescent="0.25">
      <c r="A796" s="10">
        <v>795</v>
      </c>
      <c r="B796" s="11">
        <v>40579</v>
      </c>
      <c r="C796" s="12">
        <v>13</v>
      </c>
      <c r="D796" s="12" t="b">
        <v>0</v>
      </c>
      <c r="E796" s="12" t="str">
        <f t="shared" si="36"/>
        <v>Working Day</v>
      </c>
      <c r="F796" s="12">
        <v>6</v>
      </c>
      <c r="G796" s="12" t="str">
        <f t="shared" si="37"/>
        <v>Sat</v>
      </c>
      <c r="H796" s="12">
        <v>3</v>
      </c>
      <c r="I796" s="12" t="str">
        <f t="shared" si="38"/>
        <v>heavy rain</v>
      </c>
      <c r="J796" s="12">
        <v>0.22</v>
      </c>
      <c r="K796" s="12">
        <v>0.2273</v>
      </c>
      <c r="L796" s="12">
        <v>1</v>
      </c>
      <c r="M796" s="12">
        <v>0.16420000000000001</v>
      </c>
      <c r="N796" s="12">
        <v>10</v>
      </c>
      <c r="O796" s="12">
        <v>62</v>
      </c>
      <c r="P796" s="13">
        <v>72</v>
      </c>
    </row>
    <row r="797" spans="1:16" x14ac:dyDescent="0.25">
      <c r="A797" s="6">
        <v>796</v>
      </c>
      <c r="B797" s="7">
        <v>40579</v>
      </c>
      <c r="C797" s="8">
        <v>14</v>
      </c>
      <c r="D797" s="8" t="b">
        <v>0</v>
      </c>
      <c r="E797" s="8" t="str">
        <f t="shared" si="36"/>
        <v>Working Day</v>
      </c>
      <c r="F797" s="8">
        <v>6</v>
      </c>
      <c r="G797" s="8" t="str">
        <f t="shared" si="37"/>
        <v>Sat</v>
      </c>
      <c r="H797" s="8">
        <v>3</v>
      </c>
      <c r="I797" s="8" t="str">
        <f t="shared" si="38"/>
        <v>heavy rain</v>
      </c>
      <c r="J797" s="8">
        <v>0.22</v>
      </c>
      <c r="K797" s="8">
        <v>0.2727</v>
      </c>
      <c r="L797" s="8">
        <v>1</v>
      </c>
      <c r="M797" s="8">
        <v>0</v>
      </c>
      <c r="N797" s="8">
        <v>5</v>
      </c>
      <c r="O797" s="8">
        <v>50</v>
      </c>
      <c r="P797" s="9">
        <v>55</v>
      </c>
    </row>
    <row r="798" spans="1:16" x14ac:dyDescent="0.25">
      <c r="A798" s="10">
        <v>797</v>
      </c>
      <c r="B798" s="11">
        <v>40579</v>
      </c>
      <c r="C798" s="12">
        <v>15</v>
      </c>
      <c r="D798" s="12" t="b">
        <v>0</v>
      </c>
      <c r="E798" s="12" t="str">
        <f t="shared" si="36"/>
        <v>Working Day</v>
      </c>
      <c r="F798" s="12">
        <v>6</v>
      </c>
      <c r="G798" s="12" t="str">
        <f t="shared" si="37"/>
        <v>Sat</v>
      </c>
      <c r="H798" s="12">
        <v>3</v>
      </c>
      <c r="I798" s="12" t="str">
        <f t="shared" si="38"/>
        <v>heavy rain</v>
      </c>
      <c r="J798" s="12">
        <v>0.22</v>
      </c>
      <c r="K798" s="12">
        <v>0.2727</v>
      </c>
      <c r="L798" s="12">
        <v>1</v>
      </c>
      <c r="M798" s="12">
        <v>0</v>
      </c>
      <c r="N798" s="12">
        <v>11</v>
      </c>
      <c r="O798" s="12">
        <v>49</v>
      </c>
      <c r="P798" s="13">
        <v>60</v>
      </c>
    </row>
    <row r="799" spans="1:16" x14ac:dyDescent="0.25">
      <c r="A799" s="6">
        <v>798</v>
      </c>
      <c r="B799" s="7">
        <v>40579</v>
      </c>
      <c r="C799" s="8">
        <v>16</v>
      </c>
      <c r="D799" s="8" t="b">
        <v>0</v>
      </c>
      <c r="E799" s="8" t="str">
        <f t="shared" si="36"/>
        <v>Working Day</v>
      </c>
      <c r="F799" s="8">
        <v>6</v>
      </c>
      <c r="G799" s="8" t="str">
        <f t="shared" si="37"/>
        <v>Sat</v>
      </c>
      <c r="H799" s="8">
        <v>3</v>
      </c>
      <c r="I799" s="8" t="str">
        <f t="shared" si="38"/>
        <v>heavy rain</v>
      </c>
      <c r="J799" s="8">
        <v>0.22</v>
      </c>
      <c r="K799" s="8">
        <v>0.2273</v>
      </c>
      <c r="L799" s="8">
        <v>1</v>
      </c>
      <c r="M799" s="8">
        <v>0.1343</v>
      </c>
      <c r="N799" s="8">
        <v>8</v>
      </c>
      <c r="O799" s="8">
        <v>63</v>
      </c>
      <c r="P799" s="9">
        <v>71</v>
      </c>
    </row>
    <row r="800" spans="1:16" x14ac:dyDescent="0.25">
      <c r="A800" s="10">
        <v>799</v>
      </c>
      <c r="B800" s="11">
        <v>40579</v>
      </c>
      <c r="C800" s="12">
        <v>17</v>
      </c>
      <c r="D800" s="12" t="b">
        <v>0</v>
      </c>
      <c r="E800" s="12" t="str">
        <f t="shared" si="36"/>
        <v>Working Day</v>
      </c>
      <c r="F800" s="12">
        <v>6</v>
      </c>
      <c r="G800" s="12" t="str">
        <f t="shared" si="37"/>
        <v>Sat</v>
      </c>
      <c r="H800" s="12">
        <v>2</v>
      </c>
      <c r="I800" s="12" t="str">
        <f t="shared" si="38"/>
        <v>light rain</v>
      </c>
      <c r="J800" s="12">
        <v>0.24</v>
      </c>
      <c r="K800" s="12">
        <v>0.21210000000000001</v>
      </c>
      <c r="L800" s="12">
        <v>1</v>
      </c>
      <c r="M800" s="12">
        <v>0.28360000000000002</v>
      </c>
      <c r="N800" s="12">
        <v>14</v>
      </c>
      <c r="O800" s="12">
        <v>64</v>
      </c>
      <c r="P800" s="13">
        <v>78</v>
      </c>
    </row>
    <row r="801" spans="1:16" x14ac:dyDescent="0.25">
      <c r="A801" s="6">
        <v>800</v>
      </c>
      <c r="B801" s="7">
        <v>40579</v>
      </c>
      <c r="C801" s="8">
        <v>18</v>
      </c>
      <c r="D801" s="8" t="b">
        <v>0</v>
      </c>
      <c r="E801" s="8" t="str">
        <f t="shared" si="36"/>
        <v>Working Day</v>
      </c>
      <c r="F801" s="8">
        <v>6</v>
      </c>
      <c r="G801" s="8" t="str">
        <f t="shared" si="37"/>
        <v>Sat</v>
      </c>
      <c r="H801" s="8">
        <v>2</v>
      </c>
      <c r="I801" s="8" t="str">
        <f t="shared" si="38"/>
        <v>light rain</v>
      </c>
      <c r="J801" s="8">
        <v>0.28000000000000003</v>
      </c>
      <c r="K801" s="8">
        <v>0.2424</v>
      </c>
      <c r="L801" s="8">
        <v>0.93</v>
      </c>
      <c r="M801" s="8">
        <v>0.44779999999999998</v>
      </c>
      <c r="N801" s="8">
        <v>2</v>
      </c>
      <c r="O801" s="8">
        <v>81</v>
      </c>
      <c r="P801" s="9">
        <v>83</v>
      </c>
    </row>
    <row r="802" spans="1:16" x14ac:dyDescent="0.25">
      <c r="A802" s="10">
        <v>801</v>
      </c>
      <c r="B802" s="11">
        <v>40579</v>
      </c>
      <c r="C802" s="12">
        <v>19</v>
      </c>
      <c r="D802" s="12" t="b">
        <v>0</v>
      </c>
      <c r="E802" s="12" t="str">
        <f t="shared" si="36"/>
        <v>Working Day</v>
      </c>
      <c r="F802" s="12">
        <v>6</v>
      </c>
      <c r="G802" s="12" t="str">
        <f t="shared" si="37"/>
        <v>Sat</v>
      </c>
      <c r="H802" s="12">
        <v>2</v>
      </c>
      <c r="I802" s="12" t="str">
        <f t="shared" si="38"/>
        <v>light rain</v>
      </c>
      <c r="J802" s="12">
        <v>0.28000000000000003</v>
      </c>
      <c r="K802" s="12">
        <v>0.2424</v>
      </c>
      <c r="L802" s="12">
        <v>0.93</v>
      </c>
      <c r="M802" s="12">
        <v>0.44779999999999998</v>
      </c>
      <c r="N802" s="12">
        <v>6</v>
      </c>
      <c r="O802" s="12">
        <v>78</v>
      </c>
      <c r="P802" s="13">
        <v>84</v>
      </c>
    </row>
    <row r="803" spans="1:16" x14ac:dyDescent="0.25">
      <c r="A803" s="6">
        <v>802</v>
      </c>
      <c r="B803" s="7">
        <v>40579</v>
      </c>
      <c r="C803" s="8">
        <v>20</v>
      </c>
      <c r="D803" s="8" t="b">
        <v>0</v>
      </c>
      <c r="E803" s="8" t="str">
        <f t="shared" si="36"/>
        <v>Working Day</v>
      </c>
      <c r="F803" s="8">
        <v>6</v>
      </c>
      <c r="G803" s="8" t="str">
        <f t="shared" si="37"/>
        <v>Sat</v>
      </c>
      <c r="H803" s="8">
        <v>1</v>
      </c>
      <c r="I803" s="8" t="str">
        <f t="shared" si="38"/>
        <v>mist/cloudy</v>
      </c>
      <c r="J803" s="8">
        <v>0.3</v>
      </c>
      <c r="K803" s="8">
        <v>0.28789999999999999</v>
      </c>
      <c r="L803" s="8">
        <v>0.87</v>
      </c>
      <c r="M803" s="8">
        <v>0.25369999999999998</v>
      </c>
      <c r="N803" s="8">
        <v>5</v>
      </c>
      <c r="O803" s="8">
        <v>64</v>
      </c>
      <c r="P803" s="9">
        <v>69</v>
      </c>
    </row>
    <row r="804" spans="1:16" x14ac:dyDescent="0.25">
      <c r="A804" s="10">
        <v>803</v>
      </c>
      <c r="B804" s="11">
        <v>40579</v>
      </c>
      <c r="C804" s="12">
        <v>21</v>
      </c>
      <c r="D804" s="12" t="b">
        <v>0</v>
      </c>
      <c r="E804" s="12" t="str">
        <f t="shared" si="36"/>
        <v>Working Day</v>
      </c>
      <c r="F804" s="12">
        <v>6</v>
      </c>
      <c r="G804" s="12" t="str">
        <f t="shared" si="37"/>
        <v>Sat</v>
      </c>
      <c r="H804" s="12">
        <v>1</v>
      </c>
      <c r="I804" s="12" t="str">
        <f t="shared" si="38"/>
        <v>mist/cloudy</v>
      </c>
      <c r="J804" s="12">
        <v>0.26</v>
      </c>
      <c r="K804" s="12">
        <v>0.2576</v>
      </c>
      <c r="L804" s="12">
        <v>1</v>
      </c>
      <c r="M804" s="12">
        <v>0.19400000000000001</v>
      </c>
      <c r="N804" s="12">
        <v>3</v>
      </c>
      <c r="O804" s="12">
        <v>53</v>
      </c>
      <c r="P804" s="13">
        <v>56</v>
      </c>
    </row>
    <row r="805" spans="1:16" x14ac:dyDescent="0.25">
      <c r="A805" s="6">
        <v>804</v>
      </c>
      <c r="B805" s="7">
        <v>40579</v>
      </c>
      <c r="C805" s="8">
        <v>22</v>
      </c>
      <c r="D805" s="8" t="b">
        <v>0</v>
      </c>
      <c r="E805" s="8" t="str">
        <f t="shared" si="36"/>
        <v>Working Day</v>
      </c>
      <c r="F805" s="8">
        <v>6</v>
      </c>
      <c r="G805" s="8" t="str">
        <f t="shared" si="37"/>
        <v>Sat</v>
      </c>
      <c r="H805" s="8">
        <v>1</v>
      </c>
      <c r="I805" s="8" t="str">
        <f t="shared" si="38"/>
        <v>mist/cloudy</v>
      </c>
      <c r="J805" s="8">
        <v>0.26</v>
      </c>
      <c r="K805" s="8">
        <v>0.2727</v>
      </c>
      <c r="L805" s="8">
        <v>0.93</v>
      </c>
      <c r="M805" s="8">
        <v>0.1343</v>
      </c>
      <c r="N805" s="8">
        <v>2</v>
      </c>
      <c r="O805" s="8">
        <v>43</v>
      </c>
      <c r="P805" s="9">
        <v>45</v>
      </c>
    </row>
    <row r="806" spans="1:16" x14ac:dyDescent="0.25">
      <c r="A806" s="10">
        <v>805</v>
      </c>
      <c r="B806" s="11">
        <v>40579</v>
      </c>
      <c r="C806" s="12">
        <v>23</v>
      </c>
      <c r="D806" s="12" t="b">
        <v>0</v>
      </c>
      <c r="E806" s="12" t="str">
        <f t="shared" si="36"/>
        <v>Working Day</v>
      </c>
      <c r="F806" s="12">
        <v>6</v>
      </c>
      <c r="G806" s="12" t="str">
        <f t="shared" si="37"/>
        <v>Sat</v>
      </c>
      <c r="H806" s="12">
        <v>1</v>
      </c>
      <c r="I806" s="12" t="str">
        <f t="shared" si="38"/>
        <v>mist/cloudy</v>
      </c>
      <c r="J806" s="12">
        <v>0.26</v>
      </c>
      <c r="K806" s="12">
        <v>0.2576</v>
      </c>
      <c r="L806" s="12">
        <v>0.93</v>
      </c>
      <c r="M806" s="12">
        <v>0.22389999999999999</v>
      </c>
      <c r="N806" s="12">
        <v>7</v>
      </c>
      <c r="O806" s="12">
        <v>52</v>
      </c>
      <c r="P806" s="13">
        <v>59</v>
      </c>
    </row>
    <row r="807" spans="1:16" x14ac:dyDescent="0.25">
      <c r="A807" s="6">
        <v>806</v>
      </c>
      <c r="B807" s="7">
        <v>40580</v>
      </c>
      <c r="C807" s="8">
        <v>0</v>
      </c>
      <c r="D807" s="8" t="b">
        <v>0</v>
      </c>
      <c r="E807" s="8" t="str">
        <f t="shared" si="36"/>
        <v>Working Day</v>
      </c>
      <c r="F807" s="8">
        <v>0</v>
      </c>
      <c r="G807" s="8" t="str">
        <f t="shared" si="37"/>
        <v>Sun</v>
      </c>
      <c r="H807" s="8">
        <v>1</v>
      </c>
      <c r="I807" s="8" t="str">
        <f t="shared" si="38"/>
        <v>mist/cloudy</v>
      </c>
      <c r="J807" s="8">
        <v>0.26</v>
      </c>
      <c r="K807" s="8">
        <v>0.2576</v>
      </c>
      <c r="L807" s="8">
        <v>0.7</v>
      </c>
      <c r="M807" s="8">
        <v>0.19400000000000001</v>
      </c>
      <c r="N807" s="8">
        <v>2</v>
      </c>
      <c r="O807" s="8">
        <v>37</v>
      </c>
      <c r="P807" s="9">
        <v>39</v>
      </c>
    </row>
    <row r="808" spans="1:16" x14ac:dyDescent="0.25">
      <c r="A808" s="10">
        <v>807</v>
      </c>
      <c r="B808" s="11">
        <v>40580</v>
      </c>
      <c r="C808" s="12">
        <v>1</v>
      </c>
      <c r="D808" s="12" t="b">
        <v>0</v>
      </c>
      <c r="E808" s="12" t="str">
        <f t="shared" si="36"/>
        <v>Working Day</v>
      </c>
      <c r="F808" s="12">
        <v>0</v>
      </c>
      <c r="G808" s="12" t="str">
        <f t="shared" si="37"/>
        <v>Sun</v>
      </c>
      <c r="H808" s="12">
        <v>1</v>
      </c>
      <c r="I808" s="12" t="str">
        <f t="shared" si="38"/>
        <v>mist/cloudy</v>
      </c>
      <c r="J808" s="12">
        <v>0.26</v>
      </c>
      <c r="K808" s="12">
        <v>0.2273</v>
      </c>
      <c r="L808" s="12">
        <v>0.65</v>
      </c>
      <c r="M808" s="12">
        <v>0.41789999999999999</v>
      </c>
      <c r="N808" s="12">
        <v>4</v>
      </c>
      <c r="O808" s="12">
        <v>40</v>
      </c>
      <c r="P808" s="13">
        <v>44</v>
      </c>
    </row>
    <row r="809" spans="1:16" x14ac:dyDescent="0.25">
      <c r="A809" s="6">
        <v>808</v>
      </c>
      <c r="B809" s="7">
        <v>40580</v>
      </c>
      <c r="C809" s="8">
        <v>2</v>
      </c>
      <c r="D809" s="8" t="b">
        <v>0</v>
      </c>
      <c r="E809" s="8" t="str">
        <f t="shared" si="36"/>
        <v>Working Day</v>
      </c>
      <c r="F809" s="8">
        <v>0</v>
      </c>
      <c r="G809" s="8" t="str">
        <f t="shared" si="37"/>
        <v>Sun</v>
      </c>
      <c r="H809" s="8">
        <v>1</v>
      </c>
      <c r="I809" s="8" t="str">
        <f t="shared" si="38"/>
        <v>mist/cloudy</v>
      </c>
      <c r="J809" s="8">
        <v>0.26</v>
      </c>
      <c r="K809" s="8">
        <v>0.2273</v>
      </c>
      <c r="L809" s="8">
        <v>0.6</v>
      </c>
      <c r="M809" s="8">
        <v>0.32840000000000003</v>
      </c>
      <c r="N809" s="8">
        <v>0</v>
      </c>
      <c r="O809" s="8">
        <v>20</v>
      </c>
      <c r="P809" s="9">
        <v>20</v>
      </c>
    </row>
    <row r="810" spans="1:16" x14ac:dyDescent="0.25">
      <c r="A810" s="10">
        <v>809</v>
      </c>
      <c r="B810" s="11">
        <v>40580</v>
      </c>
      <c r="C810" s="12">
        <v>3</v>
      </c>
      <c r="D810" s="12" t="b">
        <v>0</v>
      </c>
      <c r="E810" s="12" t="str">
        <f t="shared" si="36"/>
        <v>Working Day</v>
      </c>
      <c r="F810" s="12">
        <v>0</v>
      </c>
      <c r="G810" s="12" t="str">
        <f t="shared" si="37"/>
        <v>Sun</v>
      </c>
      <c r="H810" s="12">
        <v>1</v>
      </c>
      <c r="I810" s="12" t="str">
        <f t="shared" si="38"/>
        <v>mist/cloudy</v>
      </c>
      <c r="J810" s="12">
        <v>0.26</v>
      </c>
      <c r="K810" s="12">
        <v>0.28789999999999999</v>
      </c>
      <c r="L810" s="12">
        <v>0.6</v>
      </c>
      <c r="M810" s="12">
        <v>8.9599999999999999E-2</v>
      </c>
      <c r="N810" s="12">
        <v>3</v>
      </c>
      <c r="O810" s="12">
        <v>10</v>
      </c>
      <c r="P810" s="13">
        <v>13</v>
      </c>
    </row>
    <row r="811" spans="1:16" x14ac:dyDescent="0.25">
      <c r="A811" s="6">
        <v>810</v>
      </c>
      <c r="B811" s="7">
        <v>40580</v>
      </c>
      <c r="C811" s="8">
        <v>4</v>
      </c>
      <c r="D811" s="8" t="b">
        <v>0</v>
      </c>
      <c r="E811" s="8" t="str">
        <f t="shared" si="36"/>
        <v>Working Day</v>
      </c>
      <c r="F811" s="8">
        <v>0</v>
      </c>
      <c r="G811" s="8" t="str">
        <f t="shared" si="37"/>
        <v>Sun</v>
      </c>
      <c r="H811" s="8">
        <v>1</v>
      </c>
      <c r="I811" s="8" t="str">
        <f t="shared" si="38"/>
        <v>mist/cloudy</v>
      </c>
      <c r="J811" s="8">
        <v>0.26</v>
      </c>
      <c r="K811" s="8">
        <v>0.2273</v>
      </c>
      <c r="L811" s="8">
        <v>0.6</v>
      </c>
      <c r="M811" s="8">
        <v>0.35820000000000002</v>
      </c>
      <c r="N811" s="8">
        <v>0</v>
      </c>
      <c r="O811" s="8">
        <v>2</v>
      </c>
      <c r="P811" s="9">
        <v>2</v>
      </c>
    </row>
    <row r="812" spans="1:16" x14ac:dyDescent="0.25">
      <c r="A812" s="10">
        <v>811</v>
      </c>
      <c r="B812" s="11">
        <v>40580</v>
      </c>
      <c r="C812" s="12">
        <v>5</v>
      </c>
      <c r="D812" s="12" t="b">
        <v>0</v>
      </c>
      <c r="E812" s="12" t="str">
        <f t="shared" si="36"/>
        <v>Working Day</v>
      </c>
      <c r="F812" s="12">
        <v>0</v>
      </c>
      <c r="G812" s="12" t="str">
        <f t="shared" si="37"/>
        <v>Sun</v>
      </c>
      <c r="H812" s="12">
        <v>1</v>
      </c>
      <c r="I812" s="12" t="str">
        <f t="shared" si="38"/>
        <v>mist/cloudy</v>
      </c>
      <c r="J812" s="12">
        <v>0.26</v>
      </c>
      <c r="K812" s="12">
        <v>0.2576</v>
      </c>
      <c r="L812" s="12">
        <v>0.6</v>
      </c>
      <c r="M812" s="12">
        <v>0.22389999999999999</v>
      </c>
      <c r="N812" s="12">
        <v>0</v>
      </c>
      <c r="O812" s="12">
        <v>1</v>
      </c>
      <c r="P812" s="13">
        <v>1</v>
      </c>
    </row>
    <row r="813" spans="1:16" x14ac:dyDescent="0.25">
      <c r="A813" s="6">
        <v>812</v>
      </c>
      <c r="B813" s="7">
        <v>40580</v>
      </c>
      <c r="C813" s="8">
        <v>6</v>
      </c>
      <c r="D813" s="8" t="b">
        <v>0</v>
      </c>
      <c r="E813" s="8" t="str">
        <f t="shared" si="36"/>
        <v>Working Day</v>
      </c>
      <c r="F813" s="8">
        <v>0</v>
      </c>
      <c r="G813" s="8" t="str">
        <f t="shared" si="37"/>
        <v>Sun</v>
      </c>
      <c r="H813" s="8">
        <v>1</v>
      </c>
      <c r="I813" s="8" t="str">
        <f t="shared" si="38"/>
        <v>mist/cloudy</v>
      </c>
      <c r="J813" s="8">
        <v>0.26</v>
      </c>
      <c r="K813" s="8">
        <v>0.2576</v>
      </c>
      <c r="L813" s="8">
        <v>0.6</v>
      </c>
      <c r="M813" s="8">
        <v>0.22389999999999999</v>
      </c>
      <c r="N813" s="8">
        <v>0</v>
      </c>
      <c r="O813" s="8">
        <v>1</v>
      </c>
      <c r="P813" s="9">
        <v>1</v>
      </c>
    </row>
    <row r="814" spans="1:16" x14ac:dyDescent="0.25">
      <c r="A814" s="10">
        <v>813</v>
      </c>
      <c r="B814" s="11">
        <v>40580</v>
      </c>
      <c r="C814" s="12">
        <v>7</v>
      </c>
      <c r="D814" s="12" t="b">
        <v>0</v>
      </c>
      <c r="E814" s="12" t="str">
        <f t="shared" si="36"/>
        <v>Working Day</v>
      </c>
      <c r="F814" s="12">
        <v>0</v>
      </c>
      <c r="G814" s="12" t="str">
        <f t="shared" si="37"/>
        <v>Sun</v>
      </c>
      <c r="H814" s="12">
        <v>1</v>
      </c>
      <c r="I814" s="12" t="str">
        <f t="shared" si="38"/>
        <v>mist/cloudy</v>
      </c>
      <c r="J814" s="12">
        <v>0.24</v>
      </c>
      <c r="K814" s="12">
        <v>0.2424</v>
      </c>
      <c r="L814" s="12">
        <v>0.65</v>
      </c>
      <c r="M814" s="12">
        <v>0.16420000000000001</v>
      </c>
      <c r="N814" s="12">
        <v>0</v>
      </c>
      <c r="O814" s="12">
        <v>8</v>
      </c>
      <c r="P814" s="13">
        <v>8</v>
      </c>
    </row>
    <row r="815" spans="1:16" x14ac:dyDescent="0.25">
      <c r="A815" s="6">
        <v>814</v>
      </c>
      <c r="B815" s="7">
        <v>40580</v>
      </c>
      <c r="C815" s="8">
        <v>8</v>
      </c>
      <c r="D815" s="8" t="b">
        <v>0</v>
      </c>
      <c r="E815" s="8" t="str">
        <f t="shared" si="36"/>
        <v>Working Day</v>
      </c>
      <c r="F815" s="8">
        <v>0</v>
      </c>
      <c r="G815" s="8" t="str">
        <f t="shared" si="37"/>
        <v>Sun</v>
      </c>
      <c r="H815" s="8">
        <v>1</v>
      </c>
      <c r="I815" s="8" t="str">
        <f t="shared" si="38"/>
        <v>mist/cloudy</v>
      </c>
      <c r="J815" s="8">
        <v>0.24</v>
      </c>
      <c r="K815" s="8">
        <v>0.2576</v>
      </c>
      <c r="L815" s="8">
        <v>0.65</v>
      </c>
      <c r="M815" s="8">
        <v>0.1045</v>
      </c>
      <c r="N815" s="8">
        <v>2</v>
      </c>
      <c r="O815" s="8">
        <v>21</v>
      </c>
      <c r="P815" s="9">
        <v>23</v>
      </c>
    </row>
    <row r="816" spans="1:16" x14ac:dyDescent="0.25">
      <c r="A816" s="10">
        <v>815</v>
      </c>
      <c r="B816" s="11">
        <v>40580</v>
      </c>
      <c r="C816" s="12">
        <v>9</v>
      </c>
      <c r="D816" s="12" t="b">
        <v>0</v>
      </c>
      <c r="E816" s="12" t="str">
        <f t="shared" si="36"/>
        <v>Working Day</v>
      </c>
      <c r="F816" s="12">
        <v>0</v>
      </c>
      <c r="G816" s="12" t="str">
        <f t="shared" si="37"/>
        <v>Sun</v>
      </c>
      <c r="H816" s="12">
        <v>1</v>
      </c>
      <c r="I816" s="12" t="str">
        <f t="shared" si="38"/>
        <v>mist/cloudy</v>
      </c>
      <c r="J816" s="12">
        <v>0.28000000000000003</v>
      </c>
      <c r="K816" s="12">
        <v>0.28789999999999999</v>
      </c>
      <c r="L816" s="12">
        <v>0.56000000000000005</v>
      </c>
      <c r="M816" s="12">
        <v>0.1045</v>
      </c>
      <c r="N816" s="12">
        <v>7</v>
      </c>
      <c r="O816" s="12">
        <v>38</v>
      </c>
      <c r="P816" s="13">
        <v>45</v>
      </c>
    </row>
    <row r="817" spans="1:16" x14ac:dyDescent="0.25">
      <c r="A817" s="6">
        <v>816</v>
      </c>
      <c r="B817" s="7">
        <v>40580</v>
      </c>
      <c r="C817" s="8">
        <v>10</v>
      </c>
      <c r="D817" s="8" t="b">
        <v>0</v>
      </c>
      <c r="E817" s="8" t="str">
        <f t="shared" si="36"/>
        <v>Working Day</v>
      </c>
      <c r="F817" s="8">
        <v>0</v>
      </c>
      <c r="G817" s="8" t="str">
        <f t="shared" si="37"/>
        <v>Sun</v>
      </c>
      <c r="H817" s="8">
        <v>1</v>
      </c>
      <c r="I817" s="8" t="str">
        <f t="shared" si="38"/>
        <v>mist/cloudy</v>
      </c>
      <c r="J817" s="8">
        <v>0.3</v>
      </c>
      <c r="K817" s="8">
        <v>0.28789999999999999</v>
      </c>
      <c r="L817" s="8">
        <v>0.52</v>
      </c>
      <c r="M817" s="8">
        <v>0.25369999999999998</v>
      </c>
      <c r="N817" s="8">
        <v>15</v>
      </c>
      <c r="O817" s="8">
        <v>74</v>
      </c>
      <c r="P817" s="9">
        <v>89</v>
      </c>
    </row>
    <row r="818" spans="1:16" x14ac:dyDescent="0.25">
      <c r="A818" s="10">
        <v>817</v>
      </c>
      <c r="B818" s="11">
        <v>40580</v>
      </c>
      <c r="C818" s="12">
        <v>11</v>
      </c>
      <c r="D818" s="12" t="b">
        <v>0</v>
      </c>
      <c r="E818" s="12" t="str">
        <f t="shared" si="36"/>
        <v>Working Day</v>
      </c>
      <c r="F818" s="12">
        <v>0</v>
      </c>
      <c r="G818" s="12" t="str">
        <f t="shared" si="37"/>
        <v>Sun</v>
      </c>
      <c r="H818" s="12">
        <v>1</v>
      </c>
      <c r="I818" s="12" t="str">
        <f t="shared" si="38"/>
        <v>mist/cloudy</v>
      </c>
      <c r="J818" s="12">
        <v>0.32</v>
      </c>
      <c r="K818" s="12">
        <v>0.30299999999999999</v>
      </c>
      <c r="L818" s="12">
        <v>0.49</v>
      </c>
      <c r="M818" s="12">
        <v>0.25369999999999998</v>
      </c>
      <c r="N818" s="12">
        <v>28</v>
      </c>
      <c r="O818" s="12">
        <v>89</v>
      </c>
      <c r="P818" s="13">
        <v>117</v>
      </c>
    </row>
    <row r="819" spans="1:16" x14ac:dyDescent="0.25">
      <c r="A819" s="6">
        <v>818</v>
      </c>
      <c r="B819" s="7">
        <v>40580</v>
      </c>
      <c r="C819" s="8">
        <v>12</v>
      </c>
      <c r="D819" s="8" t="b">
        <v>0</v>
      </c>
      <c r="E819" s="8" t="str">
        <f t="shared" si="36"/>
        <v>Working Day</v>
      </c>
      <c r="F819" s="8">
        <v>0</v>
      </c>
      <c r="G819" s="8" t="str">
        <f t="shared" si="37"/>
        <v>Sun</v>
      </c>
      <c r="H819" s="8">
        <v>1</v>
      </c>
      <c r="I819" s="8" t="str">
        <f t="shared" si="38"/>
        <v>mist/cloudy</v>
      </c>
      <c r="J819" s="8">
        <v>0.34</v>
      </c>
      <c r="K819" s="8">
        <v>0.33329999999999999</v>
      </c>
      <c r="L819" s="8">
        <v>0.46</v>
      </c>
      <c r="M819" s="8">
        <v>0</v>
      </c>
      <c r="N819" s="8">
        <v>48</v>
      </c>
      <c r="O819" s="8">
        <v>126</v>
      </c>
      <c r="P819" s="9">
        <v>174</v>
      </c>
    </row>
    <row r="820" spans="1:16" x14ac:dyDescent="0.25">
      <c r="A820" s="10">
        <v>819</v>
      </c>
      <c r="B820" s="11">
        <v>40580</v>
      </c>
      <c r="C820" s="12">
        <v>13</v>
      </c>
      <c r="D820" s="12" t="b">
        <v>0</v>
      </c>
      <c r="E820" s="12" t="str">
        <f t="shared" si="36"/>
        <v>Working Day</v>
      </c>
      <c r="F820" s="12">
        <v>0</v>
      </c>
      <c r="G820" s="12" t="str">
        <f t="shared" si="37"/>
        <v>Sun</v>
      </c>
      <c r="H820" s="12">
        <v>1</v>
      </c>
      <c r="I820" s="12" t="str">
        <f t="shared" si="38"/>
        <v>mist/cloudy</v>
      </c>
      <c r="J820" s="12">
        <v>0.34</v>
      </c>
      <c r="K820" s="12">
        <v>0.36359999999999998</v>
      </c>
      <c r="L820" s="12">
        <v>0.46</v>
      </c>
      <c r="M820" s="12">
        <v>0</v>
      </c>
      <c r="N820" s="12">
        <v>47</v>
      </c>
      <c r="O820" s="12">
        <v>135</v>
      </c>
      <c r="P820" s="13">
        <v>182</v>
      </c>
    </row>
    <row r="821" spans="1:16" x14ac:dyDescent="0.25">
      <c r="A821" s="6">
        <v>820</v>
      </c>
      <c r="B821" s="7">
        <v>40580</v>
      </c>
      <c r="C821" s="8">
        <v>14</v>
      </c>
      <c r="D821" s="8" t="b">
        <v>0</v>
      </c>
      <c r="E821" s="8" t="str">
        <f t="shared" si="36"/>
        <v>Working Day</v>
      </c>
      <c r="F821" s="8">
        <v>0</v>
      </c>
      <c r="G821" s="8" t="str">
        <f t="shared" si="37"/>
        <v>Sun</v>
      </c>
      <c r="H821" s="8">
        <v>1</v>
      </c>
      <c r="I821" s="8" t="str">
        <f t="shared" si="38"/>
        <v>mist/cloudy</v>
      </c>
      <c r="J821" s="8">
        <v>0.34</v>
      </c>
      <c r="K821" s="8">
        <v>0.34849999999999998</v>
      </c>
      <c r="L821" s="8">
        <v>0.46</v>
      </c>
      <c r="M821" s="8">
        <v>8.9599999999999999E-2</v>
      </c>
      <c r="N821" s="8">
        <v>47</v>
      </c>
      <c r="O821" s="8">
        <v>114</v>
      </c>
      <c r="P821" s="9">
        <v>161</v>
      </c>
    </row>
    <row r="822" spans="1:16" x14ac:dyDescent="0.25">
      <c r="A822" s="10">
        <v>821</v>
      </c>
      <c r="B822" s="11">
        <v>40580</v>
      </c>
      <c r="C822" s="12">
        <v>15</v>
      </c>
      <c r="D822" s="12" t="b">
        <v>0</v>
      </c>
      <c r="E822" s="12" t="str">
        <f t="shared" si="36"/>
        <v>Working Day</v>
      </c>
      <c r="F822" s="12">
        <v>0</v>
      </c>
      <c r="G822" s="12" t="str">
        <f t="shared" si="37"/>
        <v>Sun</v>
      </c>
      <c r="H822" s="12">
        <v>1</v>
      </c>
      <c r="I822" s="12" t="str">
        <f t="shared" si="38"/>
        <v>mist/cloudy</v>
      </c>
      <c r="J822" s="12">
        <v>0.34</v>
      </c>
      <c r="K822" s="12">
        <v>0.34849999999999998</v>
      </c>
      <c r="L822" s="12">
        <v>0.46</v>
      </c>
      <c r="M822" s="12">
        <v>8.9599999999999999E-2</v>
      </c>
      <c r="N822" s="12">
        <v>52</v>
      </c>
      <c r="O822" s="12">
        <v>130</v>
      </c>
      <c r="P822" s="13">
        <v>182</v>
      </c>
    </row>
    <row r="823" spans="1:16" x14ac:dyDescent="0.25">
      <c r="A823" s="6">
        <v>822</v>
      </c>
      <c r="B823" s="7">
        <v>40580</v>
      </c>
      <c r="C823" s="8">
        <v>16</v>
      </c>
      <c r="D823" s="8" t="b">
        <v>0</v>
      </c>
      <c r="E823" s="8" t="str">
        <f t="shared" si="36"/>
        <v>Working Day</v>
      </c>
      <c r="F823" s="8">
        <v>0</v>
      </c>
      <c r="G823" s="8" t="str">
        <f t="shared" si="37"/>
        <v>Sun</v>
      </c>
      <c r="H823" s="8">
        <v>1</v>
      </c>
      <c r="I823" s="8" t="str">
        <f t="shared" si="38"/>
        <v>mist/cloudy</v>
      </c>
      <c r="J823" s="8">
        <v>0.34</v>
      </c>
      <c r="K823" s="8">
        <v>0.34849999999999998</v>
      </c>
      <c r="L823" s="8">
        <v>0.49</v>
      </c>
      <c r="M823" s="8">
        <v>0.1045</v>
      </c>
      <c r="N823" s="8">
        <v>42</v>
      </c>
      <c r="O823" s="8">
        <v>115</v>
      </c>
      <c r="P823" s="9">
        <v>157</v>
      </c>
    </row>
    <row r="824" spans="1:16" x14ac:dyDescent="0.25">
      <c r="A824" s="10">
        <v>823</v>
      </c>
      <c r="B824" s="11">
        <v>40580</v>
      </c>
      <c r="C824" s="12">
        <v>17</v>
      </c>
      <c r="D824" s="12" t="b">
        <v>0</v>
      </c>
      <c r="E824" s="12" t="str">
        <f t="shared" si="36"/>
        <v>Working Day</v>
      </c>
      <c r="F824" s="12">
        <v>0</v>
      </c>
      <c r="G824" s="12" t="str">
        <f t="shared" si="37"/>
        <v>Sun</v>
      </c>
      <c r="H824" s="12">
        <v>1</v>
      </c>
      <c r="I824" s="12" t="str">
        <f t="shared" si="38"/>
        <v>mist/cloudy</v>
      </c>
      <c r="J824" s="12">
        <v>0.34</v>
      </c>
      <c r="K824" s="12">
        <v>0.36359999999999998</v>
      </c>
      <c r="L824" s="12">
        <v>0.46</v>
      </c>
      <c r="M824" s="12">
        <v>0</v>
      </c>
      <c r="N824" s="12">
        <v>24</v>
      </c>
      <c r="O824" s="12">
        <v>97</v>
      </c>
      <c r="P824" s="13">
        <v>121</v>
      </c>
    </row>
    <row r="825" spans="1:16" x14ac:dyDescent="0.25">
      <c r="A825" s="6">
        <v>824</v>
      </c>
      <c r="B825" s="7">
        <v>40580</v>
      </c>
      <c r="C825" s="8">
        <v>18</v>
      </c>
      <c r="D825" s="8" t="b">
        <v>0</v>
      </c>
      <c r="E825" s="8" t="str">
        <f t="shared" si="36"/>
        <v>Working Day</v>
      </c>
      <c r="F825" s="8">
        <v>0</v>
      </c>
      <c r="G825" s="8" t="str">
        <f t="shared" si="37"/>
        <v>Sun</v>
      </c>
      <c r="H825" s="8">
        <v>1</v>
      </c>
      <c r="I825" s="8" t="str">
        <f t="shared" si="38"/>
        <v>mist/cloudy</v>
      </c>
      <c r="J825" s="8">
        <v>0.3</v>
      </c>
      <c r="K825" s="8">
        <v>0.30299999999999999</v>
      </c>
      <c r="L825" s="8">
        <v>0.56000000000000005</v>
      </c>
      <c r="M825" s="8">
        <v>0.16420000000000001</v>
      </c>
      <c r="N825" s="8">
        <v>13</v>
      </c>
      <c r="O825" s="8">
        <v>65</v>
      </c>
      <c r="P825" s="9">
        <v>78</v>
      </c>
    </row>
    <row r="826" spans="1:16" x14ac:dyDescent="0.25">
      <c r="A826" s="10">
        <v>825</v>
      </c>
      <c r="B826" s="11">
        <v>40580</v>
      </c>
      <c r="C826" s="12">
        <v>19</v>
      </c>
      <c r="D826" s="12" t="b">
        <v>0</v>
      </c>
      <c r="E826" s="12" t="str">
        <f t="shared" si="36"/>
        <v>Working Day</v>
      </c>
      <c r="F826" s="12">
        <v>0</v>
      </c>
      <c r="G826" s="12" t="str">
        <f t="shared" si="37"/>
        <v>Sun</v>
      </c>
      <c r="H826" s="12">
        <v>1</v>
      </c>
      <c r="I826" s="12" t="str">
        <f t="shared" si="38"/>
        <v>mist/cloudy</v>
      </c>
      <c r="J826" s="12">
        <v>0.28000000000000003</v>
      </c>
      <c r="K826" s="12">
        <v>0.28789999999999999</v>
      </c>
      <c r="L826" s="12">
        <v>0.61</v>
      </c>
      <c r="M826" s="12">
        <v>0.1343</v>
      </c>
      <c r="N826" s="12">
        <v>1</v>
      </c>
      <c r="O826" s="12">
        <v>20</v>
      </c>
      <c r="P826" s="13">
        <v>21</v>
      </c>
    </row>
    <row r="827" spans="1:16" x14ac:dyDescent="0.25">
      <c r="A827" s="6">
        <v>826</v>
      </c>
      <c r="B827" s="7">
        <v>40580</v>
      </c>
      <c r="C827" s="8">
        <v>20</v>
      </c>
      <c r="D827" s="8" t="b">
        <v>0</v>
      </c>
      <c r="E827" s="8" t="str">
        <f t="shared" si="36"/>
        <v>Working Day</v>
      </c>
      <c r="F827" s="8">
        <v>0</v>
      </c>
      <c r="G827" s="8" t="str">
        <f t="shared" si="37"/>
        <v>Sun</v>
      </c>
      <c r="H827" s="8">
        <v>1</v>
      </c>
      <c r="I827" s="8" t="str">
        <f t="shared" si="38"/>
        <v>mist/cloudy</v>
      </c>
      <c r="J827" s="8">
        <v>0.28000000000000003</v>
      </c>
      <c r="K827" s="8">
        <v>0.28789999999999999</v>
      </c>
      <c r="L827" s="8">
        <v>0.61</v>
      </c>
      <c r="M827" s="8">
        <v>0.1045</v>
      </c>
      <c r="N827" s="8">
        <v>5</v>
      </c>
      <c r="O827" s="8">
        <v>21</v>
      </c>
      <c r="P827" s="9">
        <v>26</v>
      </c>
    </row>
    <row r="828" spans="1:16" x14ac:dyDescent="0.25">
      <c r="A828" s="10">
        <v>827</v>
      </c>
      <c r="B828" s="11">
        <v>40580</v>
      </c>
      <c r="C828" s="12">
        <v>21</v>
      </c>
      <c r="D828" s="12" t="b">
        <v>0</v>
      </c>
      <c r="E828" s="12" t="str">
        <f t="shared" si="36"/>
        <v>Working Day</v>
      </c>
      <c r="F828" s="12">
        <v>0</v>
      </c>
      <c r="G828" s="12" t="str">
        <f t="shared" si="37"/>
        <v>Sun</v>
      </c>
      <c r="H828" s="12">
        <v>1</v>
      </c>
      <c r="I828" s="12" t="str">
        <f t="shared" si="38"/>
        <v>mist/cloudy</v>
      </c>
      <c r="J828" s="12">
        <v>0.26</v>
      </c>
      <c r="K828" s="12">
        <v>0.30299999999999999</v>
      </c>
      <c r="L828" s="12">
        <v>0.6</v>
      </c>
      <c r="M828" s="12">
        <v>0</v>
      </c>
      <c r="N828" s="12">
        <v>5</v>
      </c>
      <c r="O828" s="12">
        <v>22</v>
      </c>
      <c r="P828" s="13">
        <v>27</v>
      </c>
    </row>
    <row r="829" spans="1:16" x14ac:dyDescent="0.25">
      <c r="A829" s="6">
        <v>828</v>
      </c>
      <c r="B829" s="7">
        <v>40580</v>
      </c>
      <c r="C829" s="8">
        <v>22</v>
      </c>
      <c r="D829" s="8" t="b">
        <v>0</v>
      </c>
      <c r="E829" s="8" t="str">
        <f t="shared" si="36"/>
        <v>Working Day</v>
      </c>
      <c r="F829" s="8">
        <v>0</v>
      </c>
      <c r="G829" s="8" t="str">
        <f t="shared" si="37"/>
        <v>Sun</v>
      </c>
      <c r="H829" s="8">
        <v>1</v>
      </c>
      <c r="I829" s="8" t="str">
        <f t="shared" si="38"/>
        <v>mist/cloudy</v>
      </c>
      <c r="J829" s="8">
        <v>0.26</v>
      </c>
      <c r="K829" s="8">
        <v>0.30299999999999999</v>
      </c>
      <c r="L829" s="8">
        <v>0.6</v>
      </c>
      <c r="M829" s="8">
        <v>0</v>
      </c>
      <c r="N829" s="8">
        <v>5</v>
      </c>
      <c r="O829" s="8">
        <v>57</v>
      </c>
      <c r="P829" s="9">
        <v>62</v>
      </c>
    </row>
    <row r="830" spans="1:16" x14ac:dyDescent="0.25">
      <c r="A830" s="10">
        <v>829</v>
      </c>
      <c r="B830" s="11">
        <v>40580</v>
      </c>
      <c r="C830" s="12">
        <v>23</v>
      </c>
      <c r="D830" s="12" t="b">
        <v>0</v>
      </c>
      <c r="E830" s="12" t="str">
        <f t="shared" si="36"/>
        <v>Working Day</v>
      </c>
      <c r="F830" s="12">
        <v>0</v>
      </c>
      <c r="G830" s="12" t="str">
        <f t="shared" si="37"/>
        <v>Sun</v>
      </c>
      <c r="H830" s="12">
        <v>1</v>
      </c>
      <c r="I830" s="12" t="str">
        <f t="shared" si="38"/>
        <v>mist/cloudy</v>
      </c>
      <c r="J830" s="12">
        <v>0.24</v>
      </c>
      <c r="K830" s="12">
        <v>0.28789999999999999</v>
      </c>
      <c r="L830" s="12">
        <v>0.65</v>
      </c>
      <c r="M830" s="12">
        <v>0</v>
      </c>
      <c r="N830" s="12">
        <v>4</v>
      </c>
      <c r="O830" s="12">
        <v>26</v>
      </c>
      <c r="P830" s="13">
        <v>30</v>
      </c>
    </row>
    <row r="831" spans="1:16" x14ac:dyDescent="0.25">
      <c r="A831" s="6">
        <v>830</v>
      </c>
      <c r="B831" s="7">
        <v>40581</v>
      </c>
      <c r="C831" s="8">
        <v>0</v>
      </c>
      <c r="D831" s="8" t="b">
        <v>0</v>
      </c>
      <c r="E831" s="8" t="str">
        <f t="shared" si="36"/>
        <v>Working Day</v>
      </c>
      <c r="F831" s="8">
        <v>1</v>
      </c>
      <c r="G831" s="8" t="str">
        <f t="shared" si="37"/>
        <v>Mon</v>
      </c>
      <c r="H831" s="8">
        <v>1</v>
      </c>
      <c r="I831" s="8" t="str">
        <f t="shared" si="38"/>
        <v>mist/cloudy</v>
      </c>
      <c r="J831" s="8">
        <v>0.24</v>
      </c>
      <c r="K831" s="8">
        <v>0.28789999999999999</v>
      </c>
      <c r="L831" s="8">
        <v>0.65</v>
      </c>
      <c r="M831" s="8">
        <v>0</v>
      </c>
      <c r="N831" s="8">
        <v>1</v>
      </c>
      <c r="O831" s="8">
        <v>14</v>
      </c>
      <c r="P831" s="9">
        <v>15</v>
      </c>
    </row>
    <row r="832" spans="1:16" x14ac:dyDescent="0.25">
      <c r="A832" s="10">
        <v>831</v>
      </c>
      <c r="B832" s="11">
        <v>40581</v>
      </c>
      <c r="C832" s="12">
        <v>1</v>
      </c>
      <c r="D832" s="12" t="b">
        <v>0</v>
      </c>
      <c r="E832" s="12" t="str">
        <f t="shared" si="36"/>
        <v>Working Day</v>
      </c>
      <c r="F832" s="12">
        <v>1</v>
      </c>
      <c r="G832" s="12" t="str">
        <f t="shared" si="37"/>
        <v>Mon</v>
      </c>
      <c r="H832" s="12">
        <v>1</v>
      </c>
      <c r="I832" s="12" t="str">
        <f t="shared" si="38"/>
        <v>mist/cloudy</v>
      </c>
      <c r="J832" s="12">
        <v>0.22</v>
      </c>
      <c r="K832" s="12">
        <v>0.2727</v>
      </c>
      <c r="L832" s="12">
        <v>0.75</v>
      </c>
      <c r="M832" s="12">
        <v>0</v>
      </c>
      <c r="N832" s="12">
        <v>1</v>
      </c>
      <c r="O832" s="12">
        <v>4</v>
      </c>
      <c r="P832" s="13">
        <v>5</v>
      </c>
    </row>
    <row r="833" spans="1:16" x14ac:dyDescent="0.25">
      <c r="A833" s="6">
        <v>832</v>
      </c>
      <c r="B833" s="7">
        <v>40581</v>
      </c>
      <c r="C833" s="8">
        <v>2</v>
      </c>
      <c r="D833" s="8" t="b">
        <v>0</v>
      </c>
      <c r="E833" s="8" t="str">
        <f t="shared" si="36"/>
        <v>Working Day</v>
      </c>
      <c r="F833" s="8">
        <v>1</v>
      </c>
      <c r="G833" s="8" t="str">
        <f t="shared" si="37"/>
        <v>Mon</v>
      </c>
      <c r="H833" s="8">
        <v>1</v>
      </c>
      <c r="I833" s="8" t="str">
        <f t="shared" si="38"/>
        <v>mist/cloudy</v>
      </c>
      <c r="J833" s="8">
        <v>0.2</v>
      </c>
      <c r="K833" s="8">
        <v>0.2576</v>
      </c>
      <c r="L833" s="8">
        <v>0.8</v>
      </c>
      <c r="M833" s="8">
        <v>0</v>
      </c>
      <c r="N833" s="8">
        <v>0</v>
      </c>
      <c r="O833" s="8">
        <v>3</v>
      </c>
      <c r="P833" s="9">
        <v>3</v>
      </c>
    </row>
    <row r="834" spans="1:16" x14ac:dyDescent="0.25">
      <c r="A834" s="10">
        <v>833</v>
      </c>
      <c r="B834" s="11">
        <v>40581</v>
      </c>
      <c r="C834" s="12">
        <v>3</v>
      </c>
      <c r="D834" s="12" t="b">
        <v>0</v>
      </c>
      <c r="E834" s="12" t="str">
        <f t="shared" ref="E834:E897" si="39">IF(D834=FALSE,"Working Day","Holiday")</f>
        <v>Working Day</v>
      </c>
      <c r="F834" s="12">
        <v>1</v>
      </c>
      <c r="G834" s="12" t="str">
        <f t="shared" ref="G834:G897" si="40">TEXT(F834+1, "ddd")</f>
        <v>Mon</v>
      </c>
      <c r="H834" s="12">
        <v>1</v>
      </c>
      <c r="I834" s="12" t="str">
        <f t="shared" si="38"/>
        <v>mist/cloudy</v>
      </c>
      <c r="J834" s="12">
        <v>0.2</v>
      </c>
      <c r="K834" s="12">
        <v>0.2576</v>
      </c>
      <c r="L834" s="12">
        <v>0.86</v>
      </c>
      <c r="M834" s="12">
        <v>0</v>
      </c>
      <c r="N834" s="12">
        <v>0</v>
      </c>
      <c r="O834" s="12">
        <v>1</v>
      </c>
      <c r="P834" s="13">
        <v>1</v>
      </c>
    </row>
    <row r="835" spans="1:16" x14ac:dyDescent="0.25">
      <c r="A835" s="6">
        <v>834</v>
      </c>
      <c r="B835" s="7">
        <v>40581</v>
      </c>
      <c r="C835" s="8">
        <v>4</v>
      </c>
      <c r="D835" s="8" t="b">
        <v>0</v>
      </c>
      <c r="E835" s="8" t="str">
        <f t="shared" si="39"/>
        <v>Working Day</v>
      </c>
      <c r="F835" s="8">
        <v>1</v>
      </c>
      <c r="G835" s="8" t="str">
        <f t="shared" si="40"/>
        <v>Mon</v>
      </c>
      <c r="H835" s="8">
        <v>1</v>
      </c>
      <c r="I835" s="8" t="str">
        <f t="shared" ref="I835:I898" si="41">IF(H835=0, "clear", IF(H835=1, "mist/cloudy", IF(H835=2, "light rain", IF(H835=3, "heavy rain", IF(H835=4, "extreme weather condition", "Unknown")))))</f>
        <v>mist/cloudy</v>
      </c>
      <c r="J835" s="8">
        <v>0.2</v>
      </c>
      <c r="K835" s="8">
        <v>0.2576</v>
      </c>
      <c r="L835" s="8">
        <v>0.86</v>
      </c>
      <c r="M835" s="8">
        <v>0</v>
      </c>
      <c r="N835" s="8">
        <v>1</v>
      </c>
      <c r="O835" s="8">
        <v>1</v>
      </c>
      <c r="P835" s="9">
        <v>2</v>
      </c>
    </row>
    <row r="836" spans="1:16" x14ac:dyDescent="0.25">
      <c r="A836" s="10">
        <v>835</v>
      </c>
      <c r="B836" s="11">
        <v>40581</v>
      </c>
      <c r="C836" s="12">
        <v>5</v>
      </c>
      <c r="D836" s="12" t="b">
        <v>0</v>
      </c>
      <c r="E836" s="12" t="str">
        <f t="shared" si="39"/>
        <v>Working Day</v>
      </c>
      <c r="F836" s="12">
        <v>1</v>
      </c>
      <c r="G836" s="12" t="str">
        <f t="shared" si="40"/>
        <v>Mon</v>
      </c>
      <c r="H836" s="12">
        <v>1</v>
      </c>
      <c r="I836" s="12" t="str">
        <f t="shared" si="41"/>
        <v>mist/cloudy</v>
      </c>
      <c r="J836" s="12">
        <v>0.2</v>
      </c>
      <c r="K836" s="12">
        <v>0.2576</v>
      </c>
      <c r="L836" s="12">
        <v>0.86</v>
      </c>
      <c r="M836" s="12">
        <v>0</v>
      </c>
      <c r="N836" s="12">
        <v>1</v>
      </c>
      <c r="O836" s="12">
        <v>9</v>
      </c>
      <c r="P836" s="13">
        <v>10</v>
      </c>
    </row>
    <row r="837" spans="1:16" x14ac:dyDescent="0.25">
      <c r="A837" s="6">
        <v>836</v>
      </c>
      <c r="B837" s="7">
        <v>40581</v>
      </c>
      <c r="C837" s="8">
        <v>6</v>
      </c>
      <c r="D837" s="8" t="b">
        <v>0</v>
      </c>
      <c r="E837" s="8" t="str">
        <f t="shared" si="39"/>
        <v>Working Day</v>
      </c>
      <c r="F837" s="8">
        <v>1</v>
      </c>
      <c r="G837" s="8" t="str">
        <f t="shared" si="40"/>
        <v>Mon</v>
      </c>
      <c r="H837" s="8">
        <v>1</v>
      </c>
      <c r="I837" s="8" t="str">
        <f t="shared" si="41"/>
        <v>mist/cloudy</v>
      </c>
      <c r="J837" s="8">
        <v>0.18</v>
      </c>
      <c r="K837" s="8">
        <v>0.2424</v>
      </c>
      <c r="L837" s="8">
        <v>0.93</v>
      </c>
      <c r="M837" s="8">
        <v>0</v>
      </c>
      <c r="N837" s="8">
        <v>1</v>
      </c>
      <c r="O837" s="8">
        <v>29</v>
      </c>
      <c r="P837" s="9">
        <v>30</v>
      </c>
    </row>
    <row r="838" spans="1:16" x14ac:dyDescent="0.25">
      <c r="A838" s="10">
        <v>837</v>
      </c>
      <c r="B838" s="11">
        <v>40581</v>
      </c>
      <c r="C838" s="12">
        <v>7</v>
      </c>
      <c r="D838" s="12" t="b">
        <v>0</v>
      </c>
      <c r="E838" s="12" t="str">
        <f t="shared" si="39"/>
        <v>Working Day</v>
      </c>
      <c r="F838" s="12">
        <v>1</v>
      </c>
      <c r="G838" s="12" t="str">
        <f t="shared" si="40"/>
        <v>Mon</v>
      </c>
      <c r="H838" s="12">
        <v>1</v>
      </c>
      <c r="I838" s="12" t="str">
        <f t="shared" si="41"/>
        <v>mist/cloudy</v>
      </c>
      <c r="J838" s="12">
        <v>0.18</v>
      </c>
      <c r="K838" s="12">
        <v>0.2424</v>
      </c>
      <c r="L838" s="12">
        <v>0.86</v>
      </c>
      <c r="M838" s="12">
        <v>0</v>
      </c>
      <c r="N838" s="12">
        <v>6</v>
      </c>
      <c r="O838" s="12">
        <v>89</v>
      </c>
      <c r="P838" s="13">
        <v>95</v>
      </c>
    </row>
    <row r="839" spans="1:16" x14ac:dyDescent="0.25">
      <c r="A839" s="6">
        <v>838</v>
      </c>
      <c r="B839" s="7">
        <v>40581</v>
      </c>
      <c r="C839" s="8">
        <v>8</v>
      </c>
      <c r="D839" s="8" t="b">
        <v>0</v>
      </c>
      <c r="E839" s="8" t="str">
        <f t="shared" si="39"/>
        <v>Working Day</v>
      </c>
      <c r="F839" s="8">
        <v>1</v>
      </c>
      <c r="G839" s="8" t="str">
        <f t="shared" si="40"/>
        <v>Mon</v>
      </c>
      <c r="H839" s="8">
        <v>2</v>
      </c>
      <c r="I839" s="8" t="str">
        <f t="shared" si="41"/>
        <v>light rain</v>
      </c>
      <c r="J839" s="8">
        <v>0.16</v>
      </c>
      <c r="K839" s="8">
        <v>0.2273</v>
      </c>
      <c r="L839" s="8">
        <v>1</v>
      </c>
      <c r="M839" s="8">
        <v>0</v>
      </c>
      <c r="N839" s="8">
        <v>7</v>
      </c>
      <c r="O839" s="8">
        <v>223</v>
      </c>
      <c r="P839" s="9">
        <v>230</v>
      </c>
    </row>
    <row r="840" spans="1:16" x14ac:dyDescent="0.25">
      <c r="A840" s="10">
        <v>839</v>
      </c>
      <c r="B840" s="11">
        <v>40581</v>
      </c>
      <c r="C840" s="12">
        <v>9</v>
      </c>
      <c r="D840" s="12" t="b">
        <v>0</v>
      </c>
      <c r="E840" s="12" t="str">
        <f t="shared" si="39"/>
        <v>Working Day</v>
      </c>
      <c r="F840" s="12">
        <v>1</v>
      </c>
      <c r="G840" s="12" t="str">
        <f t="shared" si="40"/>
        <v>Mon</v>
      </c>
      <c r="H840" s="12">
        <v>1</v>
      </c>
      <c r="I840" s="12" t="str">
        <f t="shared" si="41"/>
        <v>mist/cloudy</v>
      </c>
      <c r="J840" s="12">
        <v>0.22</v>
      </c>
      <c r="K840" s="12">
        <v>0.2727</v>
      </c>
      <c r="L840" s="12">
        <v>0.8</v>
      </c>
      <c r="M840" s="12">
        <v>0</v>
      </c>
      <c r="N840" s="12">
        <v>3</v>
      </c>
      <c r="O840" s="12">
        <v>115</v>
      </c>
      <c r="P840" s="13">
        <v>118</v>
      </c>
    </row>
    <row r="841" spans="1:16" x14ac:dyDescent="0.25">
      <c r="A841" s="6">
        <v>840</v>
      </c>
      <c r="B841" s="7">
        <v>40581</v>
      </c>
      <c r="C841" s="8">
        <v>10</v>
      </c>
      <c r="D841" s="8" t="b">
        <v>0</v>
      </c>
      <c r="E841" s="8" t="str">
        <f t="shared" si="39"/>
        <v>Working Day</v>
      </c>
      <c r="F841" s="8">
        <v>1</v>
      </c>
      <c r="G841" s="8" t="str">
        <f t="shared" si="40"/>
        <v>Mon</v>
      </c>
      <c r="H841" s="8">
        <v>1</v>
      </c>
      <c r="I841" s="8" t="str">
        <f t="shared" si="41"/>
        <v>mist/cloudy</v>
      </c>
      <c r="J841" s="8">
        <v>0.24</v>
      </c>
      <c r="K841" s="8">
        <v>0.2576</v>
      </c>
      <c r="L841" s="8">
        <v>0.75</v>
      </c>
      <c r="M841" s="8">
        <v>0.1045</v>
      </c>
      <c r="N841" s="8">
        <v>6</v>
      </c>
      <c r="O841" s="8">
        <v>49</v>
      </c>
      <c r="P841" s="9">
        <v>55</v>
      </c>
    </row>
    <row r="842" spans="1:16" x14ac:dyDescent="0.25">
      <c r="A842" s="10">
        <v>841</v>
      </c>
      <c r="B842" s="11">
        <v>40581</v>
      </c>
      <c r="C842" s="12">
        <v>11</v>
      </c>
      <c r="D842" s="12" t="b">
        <v>0</v>
      </c>
      <c r="E842" s="12" t="str">
        <f t="shared" si="39"/>
        <v>Working Day</v>
      </c>
      <c r="F842" s="12">
        <v>1</v>
      </c>
      <c r="G842" s="12" t="str">
        <f t="shared" si="40"/>
        <v>Mon</v>
      </c>
      <c r="H842" s="12">
        <v>1</v>
      </c>
      <c r="I842" s="12" t="str">
        <f t="shared" si="41"/>
        <v>mist/cloudy</v>
      </c>
      <c r="J842" s="12">
        <v>0.3</v>
      </c>
      <c r="K842" s="12">
        <v>0.31819999999999998</v>
      </c>
      <c r="L842" s="12">
        <v>0.65</v>
      </c>
      <c r="M842" s="12">
        <v>8.9599999999999999E-2</v>
      </c>
      <c r="N842" s="12">
        <v>11</v>
      </c>
      <c r="O842" s="12">
        <v>36</v>
      </c>
      <c r="P842" s="13">
        <v>47</v>
      </c>
    </row>
    <row r="843" spans="1:16" x14ac:dyDescent="0.25">
      <c r="A843" s="6">
        <v>842</v>
      </c>
      <c r="B843" s="7">
        <v>40581</v>
      </c>
      <c r="C843" s="8">
        <v>12</v>
      </c>
      <c r="D843" s="8" t="b">
        <v>0</v>
      </c>
      <c r="E843" s="8" t="str">
        <f t="shared" si="39"/>
        <v>Working Day</v>
      </c>
      <c r="F843" s="8">
        <v>1</v>
      </c>
      <c r="G843" s="8" t="str">
        <f t="shared" si="40"/>
        <v>Mon</v>
      </c>
      <c r="H843" s="8">
        <v>2</v>
      </c>
      <c r="I843" s="8" t="str">
        <f t="shared" si="41"/>
        <v>light rain</v>
      </c>
      <c r="J843" s="8">
        <v>0.32</v>
      </c>
      <c r="K843" s="8">
        <v>0.34849999999999998</v>
      </c>
      <c r="L843" s="8">
        <v>0.62</v>
      </c>
      <c r="M843" s="8">
        <v>0</v>
      </c>
      <c r="N843" s="8">
        <v>7</v>
      </c>
      <c r="O843" s="8">
        <v>59</v>
      </c>
      <c r="P843" s="9">
        <v>66</v>
      </c>
    </row>
    <row r="844" spans="1:16" x14ac:dyDescent="0.25">
      <c r="A844" s="10">
        <v>843</v>
      </c>
      <c r="B844" s="11">
        <v>40581</v>
      </c>
      <c r="C844" s="12">
        <v>13</v>
      </c>
      <c r="D844" s="12" t="b">
        <v>0</v>
      </c>
      <c r="E844" s="12" t="str">
        <f t="shared" si="39"/>
        <v>Working Day</v>
      </c>
      <c r="F844" s="12">
        <v>1</v>
      </c>
      <c r="G844" s="12" t="str">
        <f t="shared" si="40"/>
        <v>Mon</v>
      </c>
      <c r="H844" s="12">
        <v>2</v>
      </c>
      <c r="I844" s="12" t="str">
        <f t="shared" si="41"/>
        <v>light rain</v>
      </c>
      <c r="J844" s="12">
        <v>0.36</v>
      </c>
      <c r="K844" s="12">
        <v>0.36359999999999998</v>
      </c>
      <c r="L844" s="12">
        <v>0.56999999999999995</v>
      </c>
      <c r="M844" s="12">
        <v>8.9599999999999999E-2</v>
      </c>
      <c r="N844" s="12">
        <v>10</v>
      </c>
      <c r="O844" s="12">
        <v>54</v>
      </c>
      <c r="P844" s="13">
        <v>64</v>
      </c>
    </row>
    <row r="845" spans="1:16" x14ac:dyDescent="0.25">
      <c r="A845" s="6">
        <v>844</v>
      </c>
      <c r="B845" s="7">
        <v>40581</v>
      </c>
      <c r="C845" s="8">
        <v>14</v>
      </c>
      <c r="D845" s="8" t="b">
        <v>0</v>
      </c>
      <c r="E845" s="8" t="str">
        <f t="shared" si="39"/>
        <v>Working Day</v>
      </c>
      <c r="F845" s="8">
        <v>1</v>
      </c>
      <c r="G845" s="8" t="str">
        <f t="shared" si="40"/>
        <v>Mon</v>
      </c>
      <c r="H845" s="8">
        <v>2</v>
      </c>
      <c r="I845" s="8" t="str">
        <f t="shared" si="41"/>
        <v>light rain</v>
      </c>
      <c r="J845" s="8">
        <v>0.36</v>
      </c>
      <c r="K845" s="8">
        <v>0.36359999999999998</v>
      </c>
      <c r="L845" s="8">
        <v>0.56999999999999995</v>
      </c>
      <c r="M845" s="8">
        <v>8.9599999999999999E-2</v>
      </c>
      <c r="N845" s="8">
        <v>8</v>
      </c>
      <c r="O845" s="8">
        <v>52</v>
      </c>
      <c r="P845" s="9">
        <v>60</v>
      </c>
    </row>
    <row r="846" spans="1:16" x14ac:dyDescent="0.25">
      <c r="A846" s="10">
        <v>845</v>
      </c>
      <c r="B846" s="11">
        <v>40581</v>
      </c>
      <c r="C846" s="12">
        <v>15</v>
      </c>
      <c r="D846" s="12" t="b">
        <v>0</v>
      </c>
      <c r="E846" s="12" t="str">
        <f t="shared" si="39"/>
        <v>Working Day</v>
      </c>
      <c r="F846" s="12">
        <v>1</v>
      </c>
      <c r="G846" s="12" t="str">
        <f t="shared" si="40"/>
        <v>Mon</v>
      </c>
      <c r="H846" s="12">
        <v>2</v>
      </c>
      <c r="I846" s="12" t="str">
        <f t="shared" si="41"/>
        <v>light rain</v>
      </c>
      <c r="J846" s="12">
        <v>0.38</v>
      </c>
      <c r="K846" s="12">
        <v>0.39389999999999997</v>
      </c>
      <c r="L846" s="12">
        <v>0.54</v>
      </c>
      <c r="M846" s="12">
        <v>8.9599999999999999E-2</v>
      </c>
      <c r="N846" s="12">
        <v>4</v>
      </c>
      <c r="O846" s="12">
        <v>46</v>
      </c>
      <c r="P846" s="13">
        <v>50</v>
      </c>
    </row>
    <row r="847" spans="1:16" x14ac:dyDescent="0.25">
      <c r="A847" s="6">
        <v>846</v>
      </c>
      <c r="B847" s="7">
        <v>40581</v>
      </c>
      <c r="C847" s="8">
        <v>16</v>
      </c>
      <c r="D847" s="8" t="b">
        <v>0</v>
      </c>
      <c r="E847" s="8" t="str">
        <f t="shared" si="39"/>
        <v>Working Day</v>
      </c>
      <c r="F847" s="8">
        <v>1</v>
      </c>
      <c r="G847" s="8" t="str">
        <f t="shared" si="40"/>
        <v>Mon</v>
      </c>
      <c r="H847" s="8">
        <v>2</v>
      </c>
      <c r="I847" s="8" t="str">
        <f t="shared" si="41"/>
        <v>light rain</v>
      </c>
      <c r="J847" s="8">
        <v>0.36</v>
      </c>
      <c r="K847" s="8">
        <v>0.34849999999999998</v>
      </c>
      <c r="L847" s="8">
        <v>0.56999999999999995</v>
      </c>
      <c r="M847" s="8">
        <v>0.1343</v>
      </c>
      <c r="N847" s="8">
        <v>16</v>
      </c>
      <c r="O847" s="8">
        <v>98</v>
      </c>
      <c r="P847" s="9">
        <v>114</v>
      </c>
    </row>
    <row r="848" spans="1:16" x14ac:dyDescent="0.25">
      <c r="A848" s="10">
        <v>847</v>
      </c>
      <c r="B848" s="11">
        <v>40581</v>
      </c>
      <c r="C848" s="12">
        <v>17</v>
      </c>
      <c r="D848" s="12" t="b">
        <v>0</v>
      </c>
      <c r="E848" s="12" t="str">
        <f t="shared" si="39"/>
        <v>Working Day</v>
      </c>
      <c r="F848" s="12">
        <v>1</v>
      </c>
      <c r="G848" s="12" t="str">
        <f t="shared" si="40"/>
        <v>Mon</v>
      </c>
      <c r="H848" s="12">
        <v>2</v>
      </c>
      <c r="I848" s="12" t="str">
        <f t="shared" si="41"/>
        <v>light rain</v>
      </c>
      <c r="J848" s="12">
        <v>0.32</v>
      </c>
      <c r="K848" s="12">
        <v>0.31819999999999998</v>
      </c>
      <c r="L848" s="12">
        <v>0.7</v>
      </c>
      <c r="M848" s="12">
        <v>0.16420000000000001</v>
      </c>
      <c r="N848" s="12">
        <v>9</v>
      </c>
      <c r="O848" s="12">
        <v>207</v>
      </c>
      <c r="P848" s="13">
        <v>216</v>
      </c>
    </row>
    <row r="849" spans="1:16" x14ac:dyDescent="0.25">
      <c r="A849" s="6">
        <v>848</v>
      </c>
      <c r="B849" s="7">
        <v>40581</v>
      </c>
      <c r="C849" s="8">
        <v>18</v>
      </c>
      <c r="D849" s="8" t="b">
        <v>0</v>
      </c>
      <c r="E849" s="8" t="str">
        <f t="shared" si="39"/>
        <v>Working Day</v>
      </c>
      <c r="F849" s="8">
        <v>1</v>
      </c>
      <c r="G849" s="8" t="str">
        <f t="shared" si="40"/>
        <v>Mon</v>
      </c>
      <c r="H849" s="8">
        <v>2</v>
      </c>
      <c r="I849" s="8" t="str">
        <f t="shared" si="41"/>
        <v>light rain</v>
      </c>
      <c r="J849" s="8">
        <v>0.34</v>
      </c>
      <c r="K849" s="8">
        <v>0.33329999999999999</v>
      </c>
      <c r="L849" s="8">
        <v>0.66</v>
      </c>
      <c r="M849" s="8">
        <v>0.1343</v>
      </c>
      <c r="N849" s="8">
        <v>5</v>
      </c>
      <c r="O849" s="8">
        <v>170</v>
      </c>
      <c r="P849" s="9">
        <v>175</v>
      </c>
    </row>
    <row r="850" spans="1:16" x14ac:dyDescent="0.25">
      <c r="A850" s="10">
        <v>849</v>
      </c>
      <c r="B850" s="11">
        <v>40581</v>
      </c>
      <c r="C850" s="12">
        <v>19</v>
      </c>
      <c r="D850" s="12" t="b">
        <v>0</v>
      </c>
      <c r="E850" s="12" t="str">
        <f t="shared" si="39"/>
        <v>Working Day</v>
      </c>
      <c r="F850" s="12">
        <v>1</v>
      </c>
      <c r="G850" s="12" t="str">
        <f t="shared" si="40"/>
        <v>Mon</v>
      </c>
      <c r="H850" s="12">
        <v>2</v>
      </c>
      <c r="I850" s="12" t="str">
        <f t="shared" si="41"/>
        <v>light rain</v>
      </c>
      <c r="J850" s="12">
        <v>0.32</v>
      </c>
      <c r="K850" s="12">
        <v>0.34849999999999998</v>
      </c>
      <c r="L850" s="12">
        <v>0.7</v>
      </c>
      <c r="M850" s="12">
        <v>0</v>
      </c>
      <c r="N850" s="12">
        <v>5</v>
      </c>
      <c r="O850" s="12">
        <v>123</v>
      </c>
      <c r="P850" s="13">
        <v>128</v>
      </c>
    </row>
    <row r="851" spans="1:16" x14ac:dyDescent="0.25">
      <c r="A851" s="6">
        <v>850</v>
      </c>
      <c r="B851" s="7">
        <v>40581</v>
      </c>
      <c r="C851" s="8">
        <v>20</v>
      </c>
      <c r="D851" s="8" t="b">
        <v>0</v>
      </c>
      <c r="E851" s="8" t="str">
        <f t="shared" si="39"/>
        <v>Working Day</v>
      </c>
      <c r="F851" s="8">
        <v>1</v>
      </c>
      <c r="G851" s="8" t="str">
        <f t="shared" si="40"/>
        <v>Mon</v>
      </c>
      <c r="H851" s="8">
        <v>2</v>
      </c>
      <c r="I851" s="8" t="str">
        <f t="shared" si="41"/>
        <v>light rain</v>
      </c>
      <c r="J851" s="8">
        <v>0.32</v>
      </c>
      <c r="K851" s="8">
        <v>0.33329999999999999</v>
      </c>
      <c r="L851" s="8">
        <v>0.7</v>
      </c>
      <c r="M851" s="8">
        <v>0.1045</v>
      </c>
      <c r="N851" s="8">
        <v>6</v>
      </c>
      <c r="O851" s="8">
        <v>82</v>
      </c>
      <c r="P851" s="9">
        <v>88</v>
      </c>
    </row>
    <row r="852" spans="1:16" x14ac:dyDescent="0.25">
      <c r="A852" s="10">
        <v>851</v>
      </c>
      <c r="B852" s="11">
        <v>40581</v>
      </c>
      <c r="C852" s="12">
        <v>21</v>
      </c>
      <c r="D852" s="12" t="b">
        <v>0</v>
      </c>
      <c r="E852" s="12" t="str">
        <f t="shared" si="39"/>
        <v>Working Day</v>
      </c>
      <c r="F852" s="12">
        <v>1</v>
      </c>
      <c r="G852" s="12" t="str">
        <f t="shared" si="40"/>
        <v>Mon</v>
      </c>
      <c r="H852" s="12">
        <v>1</v>
      </c>
      <c r="I852" s="12" t="str">
        <f t="shared" si="41"/>
        <v>mist/cloudy</v>
      </c>
      <c r="J852" s="12">
        <v>0.32</v>
      </c>
      <c r="K852" s="12">
        <v>0.34849999999999998</v>
      </c>
      <c r="L852" s="12">
        <v>0.7</v>
      </c>
      <c r="M852" s="12">
        <v>0</v>
      </c>
      <c r="N852" s="12">
        <v>3</v>
      </c>
      <c r="O852" s="12">
        <v>75</v>
      </c>
      <c r="P852" s="13">
        <v>78</v>
      </c>
    </row>
    <row r="853" spans="1:16" x14ac:dyDescent="0.25">
      <c r="A853" s="6">
        <v>852</v>
      </c>
      <c r="B853" s="7">
        <v>40581</v>
      </c>
      <c r="C853" s="8">
        <v>22</v>
      </c>
      <c r="D853" s="8" t="b">
        <v>0</v>
      </c>
      <c r="E853" s="8" t="str">
        <f t="shared" si="39"/>
        <v>Working Day</v>
      </c>
      <c r="F853" s="8">
        <v>1</v>
      </c>
      <c r="G853" s="8" t="str">
        <f t="shared" si="40"/>
        <v>Mon</v>
      </c>
      <c r="H853" s="8">
        <v>1</v>
      </c>
      <c r="I853" s="8" t="str">
        <f t="shared" si="41"/>
        <v>mist/cloudy</v>
      </c>
      <c r="J853" s="8">
        <v>0.28000000000000003</v>
      </c>
      <c r="K853" s="8">
        <v>0.30299999999999999</v>
      </c>
      <c r="L853" s="8">
        <v>0.81</v>
      </c>
      <c r="M853" s="8">
        <v>8.9599999999999999E-2</v>
      </c>
      <c r="N853" s="8">
        <v>3</v>
      </c>
      <c r="O853" s="8">
        <v>34</v>
      </c>
      <c r="P853" s="9">
        <v>37</v>
      </c>
    </row>
    <row r="854" spans="1:16" x14ac:dyDescent="0.25">
      <c r="A854" s="10">
        <v>853</v>
      </c>
      <c r="B854" s="11">
        <v>40581</v>
      </c>
      <c r="C854" s="12">
        <v>23</v>
      </c>
      <c r="D854" s="12" t="b">
        <v>0</v>
      </c>
      <c r="E854" s="12" t="str">
        <f t="shared" si="39"/>
        <v>Working Day</v>
      </c>
      <c r="F854" s="12">
        <v>1</v>
      </c>
      <c r="G854" s="12" t="str">
        <f t="shared" si="40"/>
        <v>Mon</v>
      </c>
      <c r="H854" s="12">
        <v>2</v>
      </c>
      <c r="I854" s="12" t="str">
        <f t="shared" si="41"/>
        <v>light rain</v>
      </c>
      <c r="J854" s="12">
        <v>0.3</v>
      </c>
      <c r="K854" s="12">
        <v>0.33329999999999999</v>
      </c>
      <c r="L854" s="12">
        <v>0.81</v>
      </c>
      <c r="M854" s="12">
        <v>0</v>
      </c>
      <c r="N854" s="12">
        <v>6</v>
      </c>
      <c r="O854" s="12">
        <v>19</v>
      </c>
      <c r="P854" s="13">
        <v>25</v>
      </c>
    </row>
    <row r="855" spans="1:16" x14ac:dyDescent="0.25">
      <c r="A855" s="6">
        <v>854</v>
      </c>
      <c r="B855" s="7">
        <v>40582</v>
      </c>
      <c r="C855" s="8">
        <v>0</v>
      </c>
      <c r="D855" s="8" t="b">
        <v>0</v>
      </c>
      <c r="E855" s="8" t="str">
        <f t="shared" si="39"/>
        <v>Working Day</v>
      </c>
      <c r="F855" s="8">
        <v>2</v>
      </c>
      <c r="G855" s="8" t="str">
        <f t="shared" si="40"/>
        <v>Tue</v>
      </c>
      <c r="H855" s="8">
        <v>2</v>
      </c>
      <c r="I855" s="8" t="str">
        <f t="shared" si="41"/>
        <v>light rain</v>
      </c>
      <c r="J855" s="8">
        <v>0.28000000000000003</v>
      </c>
      <c r="K855" s="8">
        <v>0.31819999999999998</v>
      </c>
      <c r="L855" s="8">
        <v>0.87</v>
      </c>
      <c r="M855" s="8">
        <v>0</v>
      </c>
      <c r="N855" s="8">
        <v>4</v>
      </c>
      <c r="O855" s="8">
        <v>6</v>
      </c>
      <c r="P855" s="9">
        <v>10</v>
      </c>
    </row>
    <row r="856" spans="1:16" x14ac:dyDescent="0.25">
      <c r="A856" s="10">
        <v>855</v>
      </c>
      <c r="B856" s="11">
        <v>40582</v>
      </c>
      <c r="C856" s="12">
        <v>1</v>
      </c>
      <c r="D856" s="12" t="b">
        <v>0</v>
      </c>
      <c r="E856" s="12" t="str">
        <f t="shared" si="39"/>
        <v>Working Day</v>
      </c>
      <c r="F856" s="12">
        <v>2</v>
      </c>
      <c r="G856" s="12" t="str">
        <f t="shared" si="40"/>
        <v>Tue</v>
      </c>
      <c r="H856" s="12">
        <v>2</v>
      </c>
      <c r="I856" s="12" t="str">
        <f t="shared" si="41"/>
        <v>light rain</v>
      </c>
      <c r="J856" s="12">
        <v>0.28000000000000003</v>
      </c>
      <c r="K856" s="12">
        <v>0.31819999999999998</v>
      </c>
      <c r="L856" s="12">
        <v>0.87</v>
      </c>
      <c r="M856" s="12">
        <v>0</v>
      </c>
      <c r="N856" s="12">
        <v>0</v>
      </c>
      <c r="O856" s="12">
        <v>4</v>
      </c>
      <c r="P856" s="13">
        <v>4</v>
      </c>
    </row>
    <row r="857" spans="1:16" x14ac:dyDescent="0.25">
      <c r="A857" s="6">
        <v>856</v>
      </c>
      <c r="B857" s="7">
        <v>40582</v>
      </c>
      <c r="C857" s="8">
        <v>2</v>
      </c>
      <c r="D857" s="8" t="b">
        <v>0</v>
      </c>
      <c r="E857" s="8" t="str">
        <f t="shared" si="39"/>
        <v>Working Day</v>
      </c>
      <c r="F857" s="8">
        <v>2</v>
      </c>
      <c r="G857" s="8" t="str">
        <f t="shared" si="40"/>
        <v>Tue</v>
      </c>
      <c r="H857" s="8">
        <v>2</v>
      </c>
      <c r="I857" s="8" t="str">
        <f t="shared" si="41"/>
        <v>light rain</v>
      </c>
      <c r="J857" s="8">
        <v>0.26</v>
      </c>
      <c r="K857" s="8">
        <v>0.2727</v>
      </c>
      <c r="L857" s="8">
        <v>0.93</v>
      </c>
      <c r="M857" s="8">
        <v>0.1045</v>
      </c>
      <c r="N857" s="8">
        <v>1</v>
      </c>
      <c r="O857" s="8">
        <v>1</v>
      </c>
      <c r="P857" s="9">
        <v>2</v>
      </c>
    </row>
    <row r="858" spans="1:16" x14ac:dyDescent="0.25">
      <c r="A858" s="10">
        <v>857</v>
      </c>
      <c r="B858" s="11">
        <v>40582</v>
      </c>
      <c r="C858" s="12">
        <v>3</v>
      </c>
      <c r="D858" s="12" t="b">
        <v>0</v>
      </c>
      <c r="E858" s="12" t="str">
        <f t="shared" si="39"/>
        <v>Working Day</v>
      </c>
      <c r="F858" s="12">
        <v>2</v>
      </c>
      <c r="G858" s="12" t="str">
        <f t="shared" si="40"/>
        <v>Tue</v>
      </c>
      <c r="H858" s="12">
        <v>3</v>
      </c>
      <c r="I858" s="12" t="str">
        <f t="shared" si="41"/>
        <v>heavy rain</v>
      </c>
      <c r="J858" s="12">
        <v>0.28000000000000003</v>
      </c>
      <c r="K858" s="12">
        <v>0.2727</v>
      </c>
      <c r="L858" s="12">
        <v>0.93</v>
      </c>
      <c r="M858" s="12">
        <v>0.16420000000000001</v>
      </c>
      <c r="N858" s="12">
        <v>0</v>
      </c>
      <c r="O858" s="12">
        <v>1</v>
      </c>
      <c r="P858" s="13">
        <v>1</v>
      </c>
    </row>
    <row r="859" spans="1:16" x14ac:dyDescent="0.25">
      <c r="A859" s="6">
        <v>858</v>
      </c>
      <c r="B859" s="7">
        <v>40582</v>
      </c>
      <c r="C859" s="8">
        <v>4</v>
      </c>
      <c r="D859" s="8" t="b">
        <v>0</v>
      </c>
      <c r="E859" s="8" t="str">
        <f t="shared" si="39"/>
        <v>Working Day</v>
      </c>
      <c r="F859" s="8">
        <v>2</v>
      </c>
      <c r="G859" s="8" t="str">
        <f t="shared" si="40"/>
        <v>Tue</v>
      </c>
      <c r="H859" s="8">
        <v>1</v>
      </c>
      <c r="I859" s="8" t="str">
        <f t="shared" si="41"/>
        <v>mist/cloudy</v>
      </c>
      <c r="J859" s="8">
        <v>0.26</v>
      </c>
      <c r="K859" s="8">
        <v>0.2576</v>
      </c>
      <c r="L859" s="8">
        <v>0.93</v>
      </c>
      <c r="M859" s="8">
        <v>0.16420000000000001</v>
      </c>
      <c r="N859" s="8">
        <v>0</v>
      </c>
      <c r="O859" s="8">
        <v>3</v>
      </c>
      <c r="P859" s="9">
        <v>3</v>
      </c>
    </row>
    <row r="860" spans="1:16" x14ac:dyDescent="0.25">
      <c r="A860" s="10">
        <v>859</v>
      </c>
      <c r="B860" s="11">
        <v>40582</v>
      </c>
      <c r="C860" s="12">
        <v>5</v>
      </c>
      <c r="D860" s="12" t="b">
        <v>0</v>
      </c>
      <c r="E860" s="12" t="str">
        <f t="shared" si="39"/>
        <v>Working Day</v>
      </c>
      <c r="F860" s="12">
        <v>2</v>
      </c>
      <c r="G860" s="12" t="str">
        <f t="shared" si="40"/>
        <v>Tue</v>
      </c>
      <c r="H860" s="12">
        <v>1</v>
      </c>
      <c r="I860" s="12" t="str">
        <f t="shared" si="41"/>
        <v>mist/cloudy</v>
      </c>
      <c r="J860" s="12">
        <v>0.26</v>
      </c>
      <c r="K860" s="12">
        <v>0.2273</v>
      </c>
      <c r="L860" s="12">
        <v>0.81</v>
      </c>
      <c r="M860" s="12">
        <v>0.32840000000000003</v>
      </c>
      <c r="N860" s="12">
        <v>0</v>
      </c>
      <c r="O860" s="12">
        <v>2</v>
      </c>
      <c r="P860" s="13">
        <v>2</v>
      </c>
    </row>
    <row r="861" spans="1:16" x14ac:dyDescent="0.25">
      <c r="A861" s="6">
        <v>860</v>
      </c>
      <c r="B861" s="7">
        <v>40582</v>
      </c>
      <c r="C861" s="8">
        <v>6</v>
      </c>
      <c r="D861" s="8" t="b">
        <v>0</v>
      </c>
      <c r="E861" s="8" t="str">
        <f t="shared" si="39"/>
        <v>Working Day</v>
      </c>
      <c r="F861" s="8">
        <v>2</v>
      </c>
      <c r="G861" s="8" t="str">
        <f t="shared" si="40"/>
        <v>Tue</v>
      </c>
      <c r="H861" s="8">
        <v>1</v>
      </c>
      <c r="I861" s="8" t="str">
        <f t="shared" si="41"/>
        <v>mist/cloudy</v>
      </c>
      <c r="J861" s="8">
        <v>0.26</v>
      </c>
      <c r="K861" s="8">
        <v>0.2273</v>
      </c>
      <c r="L861" s="8">
        <v>0.7</v>
      </c>
      <c r="M861" s="8">
        <v>0.32840000000000003</v>
      </c>
      <c r="N861" s="8">
        <v>0</v>
      </c>
      <c r="O861" s="8">
        <v>39</v>
      </c>
      <c r="P861" s="9">
        <v>39</v>
      </c>
    </row>
    <row r="862" spans="1:16" x14ac:dyDescent="0.25">
      <c r="A862" s="10">
        <v>861</v>
      </c>
      <c r="B862" s="11">
        <v>40582</v>
      </c>
      <c r="C862" s="12">
        <v>7</v>
      </c>
      <c r="D862" s="12" t="b">
        <v>0</v>
      </c>
      <c r="E862" s="12" t="str">
        <f t="shared" si="39"/>
        <v>Working Day</v>
      </c>
      <c r="F862" s="12">
        <v>2</v>
      </c>
      <c r="G862" s="12" t="str">
        <f t="shared" si="40"/>
        <v>Tue</v>
      </c>
      <c r="H862" s="12">
        <v>1</v>
      </c>
      <c r="I862" s="12" t="str">
        <f t="shared" si="41"/>
        <v>mist/cloudy</v>
      </c>
      <c r="J862" s="12">
        <v>0.24</v>
      </c>
      <c r="K862" s="12">
        <v>0.19700000000000001</v>
      </c>
      <c r="L862" s="12">
        <v>0.65</v>
      </c>
      <c r="M862" s="12">
        <v>0.41789999999999999</v>
      </c>
      <c r="N862" s="12">
        <v>3</v>
      </c>
      <c r="O862" s="12">
        <v>97</v>
      </c>
      <c r="P862" s="13">
        <v>100</v>
      </c>
    </row>
    <row r="863" spans="1:16" x14ac:dyDescent="0.25">
      <c r="A863" s="6">
        <v>862</v>
      </c>
      <c r="B863" s="7">
        <v>40582</v>
      </c>
      <c r="C863" s="8">
        <v>8</v>
      </c>
      <c r="D863" s="8" t="b">
        <v>0</v>
      </c>
      <c r="E863" s="8" t="str">
        <f t="shared" si="39"/>
        <v>Working Day</v>
      </c>
      <c r="F863" s="8">
        <v>2</v>
      </c>
      <c r="G863" s="8" t="str">
        <f t="shared" si="40"/>
        <v>Tue</v>
      </c>
      <c r="H863" s="8">
        <v>1</v>
      </c>
      <c r="I863" s="8" t="str">
        <f t="shared" si="41"/>
        <v>mist/cloudy</v>
      </c>
      <c r="J863" s="8">
        <v>0.24</v>
      </c>
      <c r="K863" s="8">
        <v>0.19700000000000001</v>
      </c>
      <c r="L863" s="8">
        <v>0.56000000000000005</v>
      </c>
      <c r="M863" s="8">
        <v>0.49249999999999999</v>
      </c>
      <c r="N863" s="8">
        <v>7</v>
      </c>
      <c r="O863" s="8">
        <v>236</v>
      </c>
      <c r="P863" s="9">
        <v>243</v>
      </c>
    </row>
    <row r="864" spans="1:16" x14ac:dyDescent="0.25">
      <c r="A864" s="10">
        <v>863</v>
      </c>
      <c r="B864" s="11">
        <v>40582</v>
      </c>
      <c r="C864" s="12">
        <v>9</v>
      </c>
      <c r="D864" s="12" t="b">
        <v>0</v>
      </c>
      <c r="E864" s="12" t="str">
        <f t="shared" si="39"/>
        <v>Working Day</v>
      </c>
      <c r="F864" s="12">
        <v>2</v>
      </c>
      <c r="G864" s="12" t="str">
        <f t="shared" si="40"/>
        <v>Tue</v>
      </c>
      <c r="H864" s="12">
        <v>1</v>
      </c>
      <c r="I864" s="12" t="str">
        <f t="shared" si="41"/>
        <v>mist/cloudy</v>
      </c>
      <c r="J864" s="12">
        <v>0.24</v>
      </c>
      <c r="K864" s="12">
        <v>0.19700000000000001</v>
      </c>
      <c r="L864" s="12">
        <v>0.52</v>
      </c>
      <c r="M864" s="12">
        <v>0.49249999999999999</v>
      </c>
      <c r="N864" s="12">
        <v>7</v>
      </c>
      <c r="O864" s="12">
        <v>128</v>
      </c>
      <c r="P864" s="13">
        <v>135</v>
      </c>
    </row>
    <row r="865" spans="1:16" x14ac:dyDescent="0.25">
      <c r="A865" s="6">
        <v>864</v>
      </c>
      <c r="B865" s="7">
        <v>40582</v>
      </c>
      <c r="C865" s="8">
        <v>10</v>
      </c>
      <c r="D865" s="8" t="b">
        <v>0</v>
      </c>
      <c r="E865" s="8" t="str">
        <f t="shared" si="39"/>
        <v>Working Day</v>
      </c>
      <c r="F865" s="8">
        <v>2</v>
      </c>
      <c r="G865" s="8" t="str">
        <f t="shared" si="40"/>
        <v>Tue</v>
      </c>
      <c r="H865" s="8">
        <v>1</v>
      </c>
      <c r="I865" s="8" t="str">
        <f t="shared" si="41"/>
        <v>mist/cloudy</v>
      </c>
      <c r="J865" s="8">
        <v>0.22</v>
      </c>
      <c r="K865" s="8">
        <v>0.18179999999999999</v>
      </c>
      <c r="L865" s="8">
        <v>0.47</v>
      </c>
      <c r="M865" s="8">
        <v>0.55220000000000002</v>
      </c>
      <c r="N865" s="8">
        <v>4</v>
      </c>
      <c r="O865" s="8">
        <v>44</v>
      </c>
      <c r="P865" s="9">
        <v>48</v>
      </c>
    </row>
    <row r="866" spans="1:16" x14ac:dyDescent="0.25">
      <c r="A866" s="10">
        <v>865</v>
      </c>
      <c r="B866" s="11">
        <v>40582</v>
      </c>
      <c r="C866" s="12">
        <v>11</v>
      </c>
      <c r="D866" s="12" t="b">
        <v>0</v>
      </c>
      <c r="E866" s="12" t="str">
        <f t="shared" si="39"/>
        <v>Working Day</v>
      </c>
      <c r="F866" s="12">
        <v>2</v>
      </c>
      <c r="G866" s="12" t="str">
        <f t="shared" si="40"/>
        <v>Tue</v>
      </c>
      <c r="H866" s="12">
        <v>1</v>
      </c>
      <c r="I866" s="12" t="str">
        <f t="shared" si="41"/>
        <v>mist/cloudy</v>
      </c>
      <c r="J866" s="12">
        <v>0.22</v>
      </c>
      <c r="K866" s="12">
        <v>0.18179999999999999</v>
      </c>
      <c r="L866" s="12">
        <v>0.47</v>
      </c>
      <c r="M866" s="12">
        <v>0.4627</v>
      </c>
      <c r="N866" s="12">
        <v>1</v>
      </c>
      <c r="O866" s="12">
        <v>49</v>
      </c>
      <c r="P866" s="13">
        <v>50</v>
      </c>
    </row>
    <row r="867" spans="1:16" x14ac:dyDescent="0.25">
      <c r="A867" s="6">
        <v>866</v>
      </c>
      <c r="B867" s="7">
        <v>40582</v>
      </c>
      <c r="C867" s="8">
        <v>12</v>
      </c>
      <c r="D867" s="8" t="b">
        <v>0</v>
      </c>
      <c r="E867" s="8" t="str">
        <f t="shared" si="39"/>
        <v>Working Day</v>
      </c>
      <c r="F867" s="8">
        <v>2</v>
      </c>
      <c r="G867" s="8" t="str">
        <f t="shared" si="40"/>
        <v>Tue</v>
      </c>
      <c r="H867" s="8">
        <v>1</v>
      </c>
      <c r="I867" s="8" t="str">
        <f t="shared" si="41"/>
        <v>mist/cloudy</v>
      </c>
      <c r="J867" s="8">
        <v>0.24</v>
      </c>
      <c r="K867" s="8">
        <v>0.19700000000000001</v>
      </c>
      <c r="L867" s="8">
        <v>0.38</v>
      </c>
      <c r="M867" s="8">
        <v>0.49249999999999999</v>
      </c>
      <c r="N867" s="8">
        <v>2</v>
      </c>
      <c r="O867" s="8">
        <v>63</v>
      </c>
      <c r="P867" s="9">
        <v>65</v>
      </c>
    </row>
    <row r="868" spans="1:16" x14ac:dyDescent="0.25">
      <c r="A868" s="10">
        <v>867</v>
      </c>
      <c r="B868" s="11">
        <v>40582</v>
      </c>
      <c r="C868" s="12">
        <v>13</v>
      </c>
      <c r="D868" s="12" t="b">
        <v>0</v>
      </c>
      <c r="E868" s="12" t="str">
        <f t="shared" si="39"/>
        <v>Working Day</v>
      </c>
      <c r="F868" s="12">
        <v>2</v>
      </c>
      <c r="G868" s="12" t="str">
        <f t="shared" si="40"/>
        <v>Tue</v>
      </c>
      <c r="H868" s="12">
        <v>2</v>
      </c>
      <c r="I868" s="12" t="str">
        <f t="shared" si="41"/>
        <v>light rain</v>
      </c>
      <c r="J868" s="12">
        <v>0.24</v>
      </c>
      <c r="K868" s="12">
        <v>0.19700000000000001</v>
      </c>
      <c r="L868" s="12">
        <v>0.32</v>
      </c>
      <c r="M868" s="12">
        <v>0.44779999999999998</v>
      </c>
      <c r="N868" s="12">
        <v>2</v>
      </c>
      <c r="O868" s="12">
        <v>48</v>
      </c>
      <c r="P868" s="13">
        <v>50</v>
      </c>
    </row>
    <row r="869" spans="1:16" x14ac:dyDescent="0.25">
      <c r="A869" s="6">
        <v>868</v>
      </c>
      <c r="B869" s="7">
        <v>40582</v>
      </c>
      <c r="C869" s="8">
        <v>14</v>
      </c>
      <c r="D869" s="8" t="b">
        <v>0</v>
      </c>
      <c r="E869" s="8" t="str">
        <f t="shared" si="39"/>
        <v>Working Day</v>
      </c>
      <c r="F869" s="8">
        <v>2</v>
      </c>
      <c r="G869" s="8" t="str">
        <f t="shared" si="40"/>
        <v>Tue</v>
      </c>
      <c r="H869" s="8">
        <v>1</v>
      </c>
      <c r="I869" s="8" t="str">
        <f t="shared" si="41"/>
        <v>mist/cloudy</v>
      </c>
      <c r="J869" s="8">
        <v>0.22</v>
      </c>
      <c r="K869" s="8">
        <v>0.19700000000000001</v>
      </c>
      <c r="L869" s="8">
        <v>0.37</v>
      </c>
      <c r="M869" s="8">
        <v>0.41789999999999999</v>
      </c>
      <c r="N869" s="8">
        <v>3</v>
      </c>
      <c r="O869" s="8">
        <v>61</v>
      </c>
      <c r="P869" s="9">
        <v>64</v>
      </c>
    </row>
    <row r="870" spans="1:16" x14ac:dyDescent="0.25">
      <c r="A870" s="10">
        <v>869</v>
      </c>
      <c r="B870" s="11">
        <v>40582</v>
      </c>
      <c r="C870" s="12">
        <v>15</v>
      </c>
      <c r="D870" s="12" t="b">
        <v>0</v>
      </c>
      <c r="E870" s="12" t="str">
        <f t="shared" si="39"/>
        <v>Working Day</v>
      </c>
      <c r="F870" s="12">
        <v>2</v>
      </c>
      <c r="G870" s="12" t="str">
        <f t="shared" si="40"/>
        <v>Tue</v>
      </c>
      <c r="H870" s="12">
        <v>1</v>
      </c>
      <c r="I870" s="12" t="str">
        <f t="shared" si="41"/>
        <v>mist/cloudy</v>
      </c>
      <c r="J870" s="12">
        <v>0.22</v>
      </c>
      <c r="K870" s="12">
        <v>0.19700000000000001</v>
      </c>
      <c r="L870" s="12">
        <v>0.35</v>
      </c>
      <c r="M870" s="12">
        <v>0.3881</v>
      </c>
      <c r="N870" s="12">
        <v>6</v>
      </c>
      <c r="O870" s="12">
        <v>45</v>
      </c>
      <c r="P870" s="13">
        <v>51</v>
      </c>
    </row>
    <row r="871" spans="1:16" x14ac:dyDescent="0.25">
      <c r="A871" s="6">
        <v>870</v>
      </c>
      <c r="B871" s="7">
        <v>40582</v>
      </c>
      <c r="C871" s="8">
        <v>16</v>
      </c>
      <c r="D871" s="8" t="b">
        <v>0</v>
      </c>
      <c r="E871" s="8" t="str">
        <f t="shared" si="39"/>
        <v>Working Day</v>
      </c>
      <c r="F871" s="8">
        <v>2</v>
      </c>
      <c r="G871" s="8" t="str">
        <f t="shared" si="40"/>
        <v>Tue</v>
      </c>
      <c r="H871" s="8">
        <v>1</v>
      </c>
      <c r="I871" s="8" t="str">
        <f t="shared" si="41"/>
        <v>mist/cloudy</v>
      </c>
      <c r="J871" s="8">
        <v>0.22</v>
      </c>
      <c r="K871" s="8">
        <v>0.18179999999999999</v>
      </c>
      <c r="L871" s="8">
        <v>0.35</v>
      </c>
      <c r="M871" s="8">
        <v>0.52239999999999998</v>
      </c>
      <c r="N871" s="8">
        <v>4</v>
      </c>
      <c r="O871" s="8">
        <v>79</v>
      </c>
      <c r="P871" s="9">
        <v>83</v>
      </c>
    </row>
    <row r="872" spans="1:16" x14ac:dyDescent="0.25">
      <c r="A872" s="10">
        <v>871</v>
      </c>
      <c r="B872" s="11">
        <v>40582</v>
      </c>
      <c r="C872" s="12">
        <v>17</v>
      </c>
      <c r="D872" s="12" t="b">
        <v>0</v>
      </c>
      <c r="E872" s="12" t="str">
        <f t="shared" si="39"/>
        <v>Working Day</v>
      </c>
      <c r="F872" s="12">
        <v>2</v>
      </c>
      <c r="G872" s="12" t="str">
        <f t="shared" si="40"/>
        <v>Tue</v>
      </c>
      <c r="H872" s="12">
        <v>1</v>
      </c>
      <c r="I872" s="12" t="str">
        <f t="shared" si="41"/>
        <v>mist/cloudy</v>
      </c>
      <c r="J872" s="12">
        <v>0.22</v>
      </c>
      <c r="K872" s="12">
        <v>0.18179999999999999</v>
      </c>
      <c r="L872" s="12">
        <v>0.32</v>
      </c>
      <c r="M872" s="12">
        <v>0.58209999999999995</v>
      </c>
      <c r="N872" s="12">
        <v>4</v>
      </c>
      <c r="O872" s="12">
        <v>172</v>
      </c>
      <c r="P872" s="13">
        <v>176</v>
      </c>
    </row>
    <row r="873" spans="1:16" x14ac:dyDescent="0.25">
      <c r="A873" s="6">
        <v>872</v>
      </c>
      <c r="B873" s="7">
        <v>40582</v>
      </c>
      <c r="C873" s="8">
        <v>18</v>
      </c>
      <c r="D873" s="8" t="b">
        <v>0</v>
      </c>
      <c r="E873" s="8" t="str">
        <f t="shared" si="39"/>
        <v>Working Day</v>
      </c>
      <c r="F873" s="8">
        <v>2</v>
      </c>
      <c r="G873" s="8" t="str">
        <f t="shared" si="40"/>
        <v>Tue</v>
      </c>
      <c r="H873" s="8">
        <v>1</v>
      </c>
      <c r="I873" s="8" t="str">
        <f t="shared" si="41"/>
        <v>mist/cloudy</v>
      </c>
      <c r="J873" s="8">
        <v>0.2</v>
      </c>
      <c r="K873" s="8">
        <v>0.18179999999999999</v>
      </c>
      <c r="L873" s="8">
        <v>0.32</v>
      </c>
      <c r="M873" s="8">
        <v>0.3881</v>
      </c>
      <c r="N873" s="8">
        <v>1</v>
      </c>
      <c r="O873" s="8">
        <v>151</v>
      </c>
      <c r="P873" s="9">
        <v>152</v>
      </c>
    </row>
    <row r="874" spans="1:16" x14ac:dyDescent="0.25">
      <c r="A874" s="10">
        <v>873</v>
      </c>
      <c r="B874" s="11">
        <v>40582</v>
      </c>
      <c r="C874" s="12">
        <v>19</v>
      </c>
      <c r="D874" s="12" t="b">
        <v>0</v>
      </c>
      <c r="E874" s="12" t="str">
        <f t="shared" si="39"/>
        <v>Working Day</v>
      </c>
      <c r="F874" s="12">
        <v>2</v>
      </c>
      <c r="G874" s="12" t="str">
        <f t="shared" si="40"/>
        <v>Tue</v>
      </c>
      <c r="H874" s="12">
        <v>1</v>
      </c>
      <c r="I874" s="12" t="str">
        <f t="shared" si="41"/>
        <v>mist/cloudy</v>
      </c>
      <c r="J874" s="12">
        <v>0.16</v>
      </c>
      <c r="K874" s="12">
        <v>0.1212</v>
      </c>
      <c r="L874" s="12">
        <v>0.4</v>
      </c>
      <c r="M874" s="12">
        <v>0.4627</v>
      </c>
      <c r="N874" s="12">
        <v>1</v>
      </c>
      <c r="O874" s="12">
        <v>100</v>
      </c>
      <c r="P874" s="13">
        <v>101</v>
      </c>
    </row>
    <row r="875" spans="1:16" x14ac:dyDescent="0.25">
      <c r="A875" s="6">
        <v>874</v>
      </c>
      <c r="B875" s="7">
        <v>40582</v>
      </c>
      <c r="C875" s="8">
        <v>20</v>
      </c>
      <c r="D875" s="8" t="b">
        <v>0</v>
      </c>
      <c r="E875" s="8" t="str">
        <f t="shared" si="39"/>
        <v>Working Day</v>
      </c>
      <c r="F875" s="8">
        <v>2</v>
      </c>
      <c r="G875" s="8" t="str">
        <f t="shared" si="40"/>
        <v>Tue</v>
      </c>
      <c r="H875" s="8">
        <v>1</v>
      </c>
      <c r="I875" s="8" t="str">
        <f t="shared" si="41"/>
        <v>mist/cloudy</v>
      </c>
      <c r="J875" s="8">
        <v>0.16</v>
      </c>
      <c r="K875" s="8">
        <v>0.13639999999999999</v>
      </c>
      <c r="L875" s="8">
        <v>0.4</v>
      </c>
      <c r="M875" s="8">
        <v>0.32840000000000003</v>
      </c>
      <c r="N875" s="8">
        <v>3</v>
      </c>
      <c r="O875" s="8">
        <v>53</v>
      </c>
      <c r="P875" s="9">
        <v>56</v>
      </c>
    </row>
    <row r="876" spans="1:16" x14ac:dyDescent="0.25">
      <c r="A876" s="10">
        <v>875</v>
      </c>
      <c r="B876" s="11">
        <v>40582</v>
      </c>
      <c r="C876" s="12">
        <v>21</v>
      </c>
      <c r="D876" s="12" t="b">
        <v>0</v>
      </c>
      <c r="E876" s="12" t="str">
        <f t="shared" si="39"/>
        <v>Working Day</v>
      </c>
      <c r="F876" s="12">
        <v>2</v>
      </c>
      <c r="G876" s="12" t="str">
        <f t="shared" si="40"/>
        <v>Tue</v>
      </c>
      <c r="H876" s="12">
        <v>1</v>
      </c>
      <c r="I876" s="12" t="str">
        <f t="shared" si="41"/>
        <v>mist/cloudy</v>
      </c>
      <c r="J876" s="12">
        <v>0.14000000000000001</v>
      </c>
      <c r="K876" s="12">
        <v>0.1061</v>
      </c>
      <c r="L876" s="12">
        <v>0.33</v>
      </c>
      <c r="M876" s="12">
        <v>0.4627</v>
      </c>
      <c r="N876" s="12">
        <v>8</v>
      </c>
      <c r="O876" s="12">
        <v>46</v>
      </c>
      <c r="P876" s="13">
        <v>54</v>
      </c>
    </row>
    <row r="877" spans="1:16" x14ac:dyDescent="0.25">
      <c r="A877" s="6">
        <v>876</v>
      </c>
      <c r="B877" s="7">
        <v>40582</v>
      </c>
      <c r="C877" s="8">
        <v>22</v>
      </c>
      <c r="D877" s="8" t="b">
        <v>0</v>
      </c>
      <c r="E877" s="8" t="str">
        <f t="shared" si="39"/>
        <v>Working Day</v>
      </c>
      <c r="F877" s="8">
        <v>2</v>
      </c>
      <c r="G877" s="8" t="str">
        <f t="shared" si="40"/>
        <v>Tue</v>
      </c>
      <c r="H877" s="8">
        <v>1</v>
      </c>
      <c r="I877" s="8" t="str">
        <f t="shared" si="41"/>
        <v>mist/cloudy</v>
      </c>
      <c r="J877" s="8">
        <v>0.12</v>
      </c>
      <c r="K877" s="8">
        <v>0.1061</v>
      </c>
      <c r="L877" s="8">
        <v>0.33</v>
      </c>
      <c r="M877" s="8">
        <v>0.35820000000000002</v>
      </c>
      <c r="N877" s="8">
        <v>0</v>
      </c>
      <c r="O877" s="8">
        <v>29</v>
      </c>
      <c r="P877" s="9">
        <v>29</v>
      </c>
    </row>
    <row r="878" spans="1:16" x14ac:dyDescent="0.25">
      <c r="A878" s="10">
        <v>877</v>
      </c>
      <c r="B878" s="11">
        <v>40582</v>
      </c>
      <c r="C878" s="12">
        <v>23</v>
      </c>
      <c r="D878" s="12" t="b">
        <v>0</v>
      </c>
      <c r="E878" s="12" t="str">
        <f t="shared" si="39"/>
        <v>Working Day</v>
      </c>
      <c r="F878" s="12">
        <v>2</v>
      </c>
      <c r="G878" s="12" t="str">
        <f t="shared" si="40"/>
        <v>Tue</v>
      </c>
      <c r="H878" s="12">
        <v>1</v>
      </c>
      <c r="I878" s="12" t="str">
        <f t="shared" si="41"/>
        <v>mist/cloudy</v>
      </c>
      <c r="J878" s="12">
        <v>0.12</v>
      </c>
      <c r="K878" s="12">
        <v>0.1061</v>
      </c>
      <c r="L878" s="12">
        <v>0.33</v>
      </c>
      <c r="M878" s="12">
        <v>0.32840000000000003</v>
      </c>
      <c r="N878" s="12">
        <v>3</v>
      </c>
      <c r="O878" s="12">
        <v>9</v>
      </c>
      <c r="P878" s="13">
        <v>12</v>
      </c>
    </row>
    <row r="879" spans="1:16" x14ac:dyDescent="0.25">
      <c r="A879" s="6">
        <v>878</v>
      </c>
      <c r="B879" s="7">
        <v>40583</v>
      </c>
      <c r="C879" s="8">
        <v>0</v>
      </c>
      <c r="D879" s="8" t="b">
        <v>0</v>
      </c>
      <c r="E879" s="8" t="str">
        <f t="shared" si="39"/>
        <v>Working Day</v>
      </c>
      <c r="F879" s="8">
        <v>3</v>
      </c>
      <c r="G879" s="8" t="str">
        <f t="shared" si="40"/>
        <v>Wed</v>
      </c>
      <c r="H879" s="8">
        <v>1</v>
      </c>
      <c r="I879" s="8" t="str">
        <f t="shared" si="41"/>
        <v>mist/cloudy</v>
      </c>
      <c r="J879" s="8">
        <v>0.1</v>
      </c>
      <c r="K879" s="8">
        <v>7.5800000000000006E-2</v>
      </c>
      <c r="L879" s="8">
        <v>0.36</v>
      </c>
      <c r="M879" s="8">
        <v>0.35820000000000002</v>
      </c>
      <c r="N879" s="8">
        <v>0</v>
      </c>
      <c r="O879" s="8">
        <v>17</v>
      </c>
      <c r="P879" s="9">
        <v>17</v>
      </c>
    </row>
    <row r="880" spans="1:16" x14ac:dyDescent="0.25">
      <c r="A880" s="10">
        <v>879</v>
      </c>
      <c r="B880" s="11">
        <v>40583</v>
      </c>
      <c r="C880" s="12">
        <v>1</v>
      </c>
      <c r="D880" s="12" t="b">
        <v>0</v>
      </c>
      <c r="E880" s="12" t="str">
        <f t="shared" si="39"/>
        <v>Working Day</v>
      </c>
      <c r="F880" s="12">
        <v>3</v>
      </c>
      <c r="G880" s="12" t="str">
        <f t="shared" si="40"/>
        <v>Wed</v>
      </c>
      <c r="H880" s="12">
        <v>1</v>
      </c>
      <c r="I880" s="12" t="str">
        <f t="shared" si="41"/>
        <v>mist/cloudy</v>
      </c>
      <c r="J880" s="12">
        <v>0.1</v>
      </c>
      <c r="K880" s="12">
        <v>0.1061</v>
      </c>
      <c r="L880" s="12">
        <v>0.36</v>
      </c>
      <c r="M880" s="12">
        <v>0.22389999999999999</v>
      </c>
      <c r="N880" s="12">
        <v>0</v>
      </c>
      <c r="O880" s="12">
        <v>7</v>
      </c>
      <c r="P880" s="13">
        <v>7</v>
      </c>
    </row>
    <row r="881" spans="1:16" x14ac:dyDescent="0.25">
      <c r="A881" s="6">
        <v>880</v>
      </c>
      <c r="B881" s="7">
        <v>40583</v>
      </c>
      <c r="C881" s="8">
        <v>2</v>
      </c>
      <c r="D881" s="8" t="b">
        <v>0</v>
      </c>
      <c r="E881" s="8" t="str">
        <f t="shared" si="39"/>
        <v>Working Day</v>
      </c>
      <c r="F881" s="8">
        <v>3</v>
      </c>
      <c r="G881" s="8" t="str">
        <f t="shared" si="40"/>
        <v>Wed</v>
      </c>
      <c r="H881" s="8">
        <v>1</v>
      </c>
      <c r="I881" s="8" t="str">
        <f t="shared" si="41"/>
        <v>mist/cloudy</v>
      </c>
      <c r="J881" s="8">
        <v>0.08</v>
      </c>
      <c r="K881" s="8">
        <v>7.5800000000000006E-2</v>
      </c>
      <c r="L881" s="8">
        <v>0.38</v>
      </c>
      <c r="M881" s="8">
        <v>0.28360000000000002</v>
      </c>
      <c r="N881" s="8">
        <v>1</v>
      </c>
      <c r="O881" s="8">
        <v>2</v>
      </c>
      <c r="P881" s="9">
        <v>3</v>
      </c>
    </row>
    <row r="882" spans="1:16" x14ac:dyDescent="0.25">
      <c r="A882" s="10">
        <v>881</v>
      </c>
      <c r="B882" s="11">
        <v>40583</v>
      </c>
      <c r="C882" s="12">
        <v>3</v>
      </c>
      <c r="D882" s="12" t="b">
        <v>0</v>
      </c>
      <c r="E882" s="12" t="str">
        <f t="shared" si="39"/>
        <v>Working Day</v>
      </c>
      <c r="F882" s="12">
        <v>3</v>
      </c>
      <c r="G882" s="12" t="str">
        <f t="shared" si="40"/>
        <v>Wed</v>
      </c>
      <c r="H882" s="12">
        <v>1</v>
      </c>
      <c r="I882" s="12" t="str">
        <f t="shared" si="41"/>
        <v>mist/cloudy</v>
      </c>
      <c r="J882" s="12">
        <v>0.06</v>
      </c>
      <c r="K882" s="12">
        <v>7.5800000000000006E-2</v>
      </c>
      <c r="L882" s="12">
        <v>0.45</v>
      </c>
      <c r="M882" s="12">
        <v>0.1343</v>
      </c>
      <c r="N882" s="12">
        <v>0</v>
      </c>
      <c r="O882" s="12">
        <v>2</v>
      </c>
      <c r="P882" s="13">
        <v>2</v>
      </c>
    </row>
    <row r="883" spans="1:16" x14ac:dyDescent="0.25">
      <c r="A883" s="6">
        <v>882</v>
      </c>
      <c r="B883" s="7">
        <v>40583</v>
      </c>
      <c r="C883" s="8">
        <v>5</v>
      </c>
      <c r="D883" s="8" t="b">
        <v>0</v>
      </c>
      <c r="E883" s="8" t="str">
        <f t="shared" si="39"/>
        <v>Working Day</v>
      </c>
      <c r="F883" s="8">
        <v>3</v>
      </c>
      <c r="G883" s="8" t="str">
        <f t="shared" si="40"/>
        <v>Wed</v>
      </c>
      <c r="H883" s="8">
        <v>1</v>
      </c>
      <c r="I883" s="8" t="str">
        <f t="shared" si="41"/>
        <v>mist/cloudy</v>
      </c>
      <c r="J883" s="8">
        <v>0.06</v>
      </c>
      <c r="K883" s="8">
        <v>0.1061</v>
      </c>
      <c r="L883" s="8">
        <v>0.45</v>
      </c>
      <c r="M883" s="8">
        <v>0.1045</v>
      </c>
      <c r="N883" s="8">
        <v>0</v>
      </c>
      <c r="O883" s="8">
        <v>7</v>
      </c>
      <c r="P883" s="9">
        <v>7</v>
      </c>
    </row>
    <row r="884" spans="1:16" x14ac:dyDescent="0.25">
      <c r="A884" s="10">
        <v>883</v>
      </c>
      <c r="B884" s="11">
        <v>40583</v>
      </c>
      <c r="C884" s="12">
        <v>6</v>
      </c>
      <c r="D884" s="12" t="b">
        <v>0</v>
      </c>
      <c r="E884" s="12" t="str">
        <f t="shared" si="39"/>
        <v>Working Day</v>
      </c>
      <c r="F884" s="12">
        <v>3</v>
      </c>
      <c r="G884" s="12" t="str">
        <f t="shared" si="40"/>
        <v>Wed</v>
      </c>
      <c r="H884" s="12">
        <v>1</v>
      </c>
      <c r="I884" s="12" t="str">
        <f t="shared" si="41"/>
        <v>mist/cloudy</v>
      </c>
      <c r="J884" s="12">
        <v>0.06</v>
      </c>
      <c r="K884" s="12">
        <v>0.1515</v>
      </c>
      <c r="L884" s="12">
        <v>0.45</v>
      </c>
      <c r="M884" s="12">
        <v>0</v>
      </c>
      <c r="N884" s="12">
        <v>0</v>
      </c>
      <c r="O884" s="12">
        <v>43</v>
      </c>
      <c r="P884" s="13">
        <v>43</v>
      </c>
    </row>
    <row r="885" spans="1:16" x14ac:dyDescent="0.25">
      <c r="A885" s="6">
        <v>884</v>
      </c>
      <c r="B885" s="7">
        <v>40583</v>
      </c>
      <c r="C885" s="8">
        <v>7</v>
      </c>
      <c r="D885" s="8" t="b">
        <v>0</v>
      </c>
      <c r="E885" s="8" t="str">
        <f t="shared" si="39"/>
        <v>Working Day</v>
      </c>
      <c r="F885" s="8">
        <v>3</v>
      </c>
      <c r="G885" s="8" t="str">
        <f t="shared" si="40"/>
        <v>Wed</v>
      </c>
      <c r="H885" s="8">
        <v>1</v>
      </c>
      <c r="I885" s="8" t="str">
        <f t="shared" si="41"/>
        <v>mist/cloudy</v>
      </c>
      <c r="J885" s="8">
        <v>0.06</v>
      </c>
      <c r="K885" s="8">
        <v>0.1061</v>
      </c>
      <c r="L885" s="8">
        <v>0.49</v>
      </c>
      <c r="M885" s="8">
        <v>0.1045</v>
      </c>
      <c r="N885" s="8">
        <v>4</v>
      </c>
      <c r="O885" s="8">
        <v>95</v>
      </c>
      <c r="P885" s="9">
        <v>99</v>
      </c>
    </row>
    <row r="886" spans="1:16" x14ac:dyDescent="0.25">
      <c r="A886" s="10">
        <v>885</v>
      </c>
      <c r="B886" s="11">
        <v>40583</v>
      </c>
      <c r="C886" s="12">
        <v>8</v>
      </c>
      <c r="D886" s="12" t="b">
        <v>0</v>
      </c>
      <c r="E886" s="12" t="str">
        <f t="shared" si="39"/>
        <v>Working Day</v>
      </c>
      <c r="F886" s="12">
        <v>3</v>
      </c>
      <c r="G886" s="12" t="str">
        <f t="shared" si="40"/>
        <v>Wed</v>
      </c>
      <c r="H886" s="12">
        <v>1</v>
      </c>
      <c r="I886" s="12" t="str">
        <f t="shared" si="41"/>
        <v>mist/cloudy</v>
      </c>
      <c r="J886" s="12">
        <v>0.1</v>
      </c>
      <c r="K886" s="12">
        <v>0.13639999999999999</v>
      </c>
      <c r="L886" s="12">
        <v>0.42</v>
      </c>
      <c r="M886" s="12">
        <v>0</v>
      </c>
      <c r="N886" s="12">
        <v>1</v>
      </c>
      <c r="O886" s="12">
        <v>198</v>
      </c>
      <c r="P886" s="13">
        <v>199</v>
      </c>
    </row>
    <row r="887" spans="1:16" x14ac:dyDescent="0.25">
      <c r="A887" s="6">
        <v>886</v>
      </c>
      <c r="B887" s="7">
        <v>40583</v>
      </c>
      <c r="C887" s="8">
        <v>9</v>
      </c>
      <c r="D887" s="8" t="b">
        <v>0</v>
      </c>
      <c r="E887" s="8" t="str">
        <f t="shared" si="39"/>
        <v>Working Day</v>
      </c>
      <c r="F887" s="8">
        <v>3</v>
      </c>
      <c r="G887" s="8" t="str">
        <f t="shared" si="40"/>
        <v>Wed</v>
      </c>
      <c r="H887" s="8">
        <v>1</v>
      </c>
      <c r="I887" s="8" t="str">
        <f t="shared" si="41"/>
        <v>mist/cloudy</v>
      </c>
      <c r="J887" s="8">
        <v>0.12</v>
      </c>
      <c r="K887" s="8">
        <v>0.13639999999999999</v>
      </c>
      <c r="L887" s="8">
        <v>0.39</v>
      </c>
      <c r="M887" s="8">
        <v>0.16420000000000001</v>
      </c>
      <c r="N887" s="8">
        <v>4</v>
      </c>
      <c r="O887" s="8">
        <v>119</v>
      </c>
      <c r="P887" s="9">
        <v>123</v>
      </c>
    </row>
    <row r="888" spans="1:16" x14ac:dyDescent="0.25">
      <c r="A888" s="10">
        <v>887</v>
      </c>
      <c r="B888" s="11">
        <v>40583</v>
      </c>
      <c r="C888" s="12">
        <v>10</v>
      </c>
      <c r="D888" s="12" t="b">
        <v>0</v>
      </c>
      <c r="E888" s="12" t="str">
        <f t="shared" si="39"/>
        <v>Working Day</v>
      </c>
      <c r="F888" s="12">
        <v>3</v>
      </c>
      <c r="G888" s="12" t="str">
        <f t="shared" si="40"/>
        <v>Wed</v>
      </c>
      <c r="H888" s="12">
        <v>1</v>
      </c>
      <c r="I888" s="12" t="str">
        <f t="shared" si="41"/>
        <v>mist/cloudy</v>
      </c>
      <c r="J888" s="12">
        <v>0.14000000000000001</v>
      </c>
      <c r="K888" s="12">
        <v>0.18179999999999999</v>
      </c>
      <c r="L888" s="12">
        <v>0.36</v>
      </c>
      <c r="M888" s="12">
        <v>0</v>
      </c>
      <c r="N888" s="12">
        <v>8</v>
      </c>
      <c r="O888" s="12">
        <v>51</v>
      </c>
      <c r="P888" s="13">
        <v>59</v>
      </c>
    </row>
    <row r="889" spans="1:16" x14ac:dyDescent="0.25">
      <c r="A889" s="6">
        <v>888</v>
      </c>
      <c r="B889" s="7">
        <v>40583</v>
      </c>
      <c r="C889" s="8">
        <v>11</v>
      </c>
      <c r="D889" s="8" t="b">
        <v>0</v>
      </c>
      <c r="E889" s="8" t="str">
        <f t="shared" si="39"/>
        <v>Working Day</v>
      </c>
      <c r="F889" s="8">
        <v>3</v>
      </c>
      <c r="G889" s="8" t="str">
        <f t="shared" si="40"/>
        <v>Wed</v>
      </c>
      <c r="H889" s="8">
        <v>2</v>
      </c>
      <c r="I889" s="8" t="str">
        <f t="shared" si="41"/>
        <v>light rain</v>
      </c>
      <c r="J889" s="8">
        <v>0.14000000000000001</v>
      </c>
      <c r="K889" s="8">
        <v>0.1515</v>
      </c>
      <c r="L889" s="8">
        <v>0.43</v>
      </c>
      <c r="M889" s="8">
        <v>0.16420000000000001</v>
      </c>
      <c r="N889" s="8">
        <v>1</v>
      </c>
      <c r="O889" s="8">
        <v>40</v>
      </c>
      <c r="P889" s="9">
        <v>41</v>
      </c>
    </row>
    <row r="890" spans="1:16" x14ac:dyDescent="0.25">
      <c r="A890" s="10">
        <v>889</v>
      </c>
      <c r="B890" s="11">
        <v>40583</v>
      </c>
      <c r="C890" s="12">
        <v>12</v>
      </c>
      <c r="D890" s="12" t="b">
        <v>0</v>
      </c>
      <c r="E890" s="12" t="str">
        <f t="shared" si="39"/>
        <v>Working Day</v>
      </c>
      <c r="F890" s="12">
        <v>3</v>
      </c>
      <c r="G890" s="12" t="str">
        <f t="shared" si="40"/>
        <v>Wed</v>
      </c>
      <c r="H890" s="12">
        <v>2</v>
      </c>
      <c r="I890" s="12" t="str">
        <f t="shared" si="41"/>
        <v>light rain</v>
      </c>
      <c r="J890" s="12">
        <v>0.18</v>
      </c>
      <c r="K890" s="12">
        <v>0.18179999999999999</v>
      </c>
      <c r="L890" s="12">
        <v>0.4</v>
      </c>
      <c r="M890" s="12">
        <v>0.22389999999999999</v>
      </c>
      <c r="N890" s="12">
        <v>4</v>
      </c>
      <c r="O890" s="12">
        <v>57</v>
      </c>
      <c r="P890" s="13">
        <v>61</v>
      </c>
    </row>
    <row r="891" spans="1:16" x14ac:dyDescent="0.25">
      <c r="A891" s="6">
        <v>890</v>
      </c>
      <c r="B891" s="7">
        <v>40583</v>
      </c>
      <c r="C891" s="8">
        <v>13</v>
      </c>
      <c r="D891" s="8" t="b">
        <v>0</v>
      </c>
      <c r="E891" s="8" t="str">
        <f t="shared" si="39"/>
        <v>Working Day</v>
      </c>
      <c r="F891" s="8">
        <v>3</v>
      </c>
      <c r="G891" s="8" t="str">
        <f t="shared" si="40"/>
        <v>Wed</v>
      </c>
      <c r="H891" s="8">
        <v>1</v>
      </c>
      <c r="I891" s="8" t="str">
        <f t="shared" si="41"/>
        <v>mist/cloudy</v>
      </c>
      <c r="J891" s="8">
        <v>0.18</v>
      </c>
      <c r="K891" s="8">
        <v>0.16669999999999999</v>
      </c>
      <c r="L891" s="8">
        <v>0.4</v>
      </c>
      <c r="M891" s="8">
        <v>0.25369999999999998</v>
      </c>
      <c r="N891" s="8">
        <v>2</v>
      </c>
      <c r="O891" s="8">
        <v>67</v>
      </c>
      <c r="P891" s="9">
        <v>69</v>
      </c>
    </row>
    <row r="892" spans="1:16" x14ac:dyDescent="0.25">
      <c r="A892" s="10">
        <v>891</v>
      </c>
      <c r="B892" s="11">
        <v>40583</v>
      </c>
      <c r="C892" s="12">
        <v>14</v>
      </c>
      <c r="D892" s="12" t="b">
        <v>0</v>
      </c>
      <c r="E892" s="12" t="str">
        <f t="shared" si="39"/>
        <v>Working Day</v>
      </c>
      <c r="F892" s="12">
        <v>3</v>
      </c>
      <c r="G892" s="12" t="str">
        <f t="shared" si="40"/>
        <v>Wed</v>
      </c>
      <c r="H892" s="12">
        <v>1</v>
      </c>
      <c r="I892" s="12" t="str">
        <f t="shared" si="41"/>
        <v>mist/cloudy</v>
      </c>
      <c r="J892" s="12">
        <v>0.2</v>
      </c>
      <c r="K892" s="12">
        <v>0.18179999999999999</v>
      </c>
      <c r="L892" s="12">
        <v>0.34</v>
      </c>
      <c r="M892" s="12">
        <v>0.29849999999999999</v>
      </c>
      <c r="N892" s="12">
        <v>2</v>
      </c>
      <c r="O892" s="12">
        <v>56</v>
      </c>
      <c r="P892" s="13">
        <v>58</v>
      </c>
    </row>
    <row r="893" spans="1:16" x14ac:dyDescent="0.25">
      <c r="A893" s="6">
        <v>892</v>
      </c>
      <c r="B893" s="7">
        <v>40583</v>
      </c>
      <c r="C893" s="8">
        <v>15</v>
      </c>
      <c r="D893" s="8" t="b">
        <v>0</v>
      </c>
      <c r="E893" s="8" t="str">
        <f t="shared" si="39"/>
        <v>Working Day</v>
      </c>
      <c r="F893" s="8">
        <v>3</v>
      </c>
      <c r="G893" s="8" t="str">
        <f t="shared" si="40"/>
        <v>Wed</v>
      </c>
      <c r="H893" s="8">
        <v>2</v>
      </c>
      <c r="I893" s="8" t="str">
        <f t="shared" si="41"/>
        <v>light rain</v>
      </c>
      <c r="J893" s="8">
        <v>0.2</v>
      </c>
      <c r="K893" s="8">
        <v>0.18179999999999999</v>
      </c>
      <c r="L893" s="8">
        <v>0.34</v>
      </c>
      <c r="M893" s="8">
        <v>0.28360000000000002</v>
      </c>
      <c r="N893" s="8">
        <v>3</v>
      </c>
      <c r="O893" s="8">
        <v>61</v>
      </c>
      <c r="P893" s="9">
        <v>64</v>
      </c>
    </row>
    <row r="894" spans="1:16" x14ac:dyDescent="0.25">
      <c r="A894" s="10">
        <v>893</v>
      </c>
      <c r="B894" s="11">
        <v>40583</v>
      </c>
      <c r="C894" s="12">
        <v>16</v>
      </c>
      <c r="D894" s="12" t="b">
        <v>0</v>
      </c>
      <c r="E894" s="12" t="str">
        <f t="shared" si="39"/>
        <v>Working Day</v>
      </c>
      <c r="F894" s="12">
        <v>3</v>
      </c>
      <c r="G894" s="12" t="str">
        <f t="shared" si="40"/>
        <v>Wed</v>
      </c>
      <c r="H894" s="12">
        <v>2</v>
      </c>
      <c r="I894" s="12" t="str">
        <f t="shared" si="41"/>
        <v>light rain</v>
      </c>
      <c r="J894" s="12">
        <v>0.2</v>
      </c>
      <c r="K894" s="12">
        <v>0.19700000000000001</v>
      </c>
      <c r="L894" s="12">
        <v>0.37</v>
      </c>
      <c r="M894" s="12">
        <v>0.25369999999999998</v>
      </c>
      <c r="N894" s="12">
        <v>7</v>
      </c>
      <c r="O894" s="12">
        <v>72</v>
      </c>
      <c r="P894" s="13">
        <v>79</v>
      </c>
    </row>
    <row r="895" spans="1:16" x14ac:dyDescent="0.25">
      <c r="A895" s="6">
        <v>894</v>
      </c>
      <c r="B895" s="7">
        <v>40583</v>
      </c>
      <c r="C895" s="8">
        <v>17</v>
      </c>
      <c r="D895" s="8" t="b">
        <v>0</v>
      </c>
      <c r="E895" s="8" t="str">
        <f t="shared" si="39"/>
        <v>Working Day</v>
      </c>
      <c r="F895" s="8">
        <v>3</v>
      </c>
      <c r="G895" s="8" t="str">
        <f t="shared" si="40"/>
        <v>Wed</v>
      </c>
      <c r="H895" s="8">
        <v>2</v>
      </c>
      <c r="I895" s="8" t="str">
        <f t="shared" si="41"/>
        <v>light rain</v>
      </c>
      <c r="J895" s="8">
        <v>0.2</v>
      </c>
      <c r="K895" s="8">
        <v>0.19700000000000001</v>
      </c>
      <c r="L895" s="8">
        <v>0.34</v>
      </c>
      <c r="M895" s="8">
        <v>0.25369999999999998</v>
      </c>
      <c r="N895" s="8">
        <v>9</v>
      </c>
      <c r="O895" s="8">
        <v>157</v>
      </c>
      <c r="P895" s="9">
        <v>166</v>
      </c>
    </row>
    <row r="896" spans="1:16" x14ac:dyDescent="0.25">
      <c r="A896" s="10">
        <v>895</v>
      </c>
      <c r="B896" s="11">
        <v>40583</v>
      </c>
      <c r="C896" s="12">
        <v>18</v>
      </c>
      <c r="D896" s="12" t="b">
        <v>0</v>
      </c>
      <c r="E896" s="12" t="str">
        <f t="shared" si="39"/>
        <v>Working Day</v>
      </c>
      <c r="F896" s="12">
        <v>3</v>
      </c>
      <c r="G896" s="12" t="str">
        <f t="shared" si="40"/>
        <v>Wed</v>
      </c>
      <c r="H896" s="12">
        <v>2</v>
      </c>
      <c r="I896" s="12" t="str">
        <f t="shared" si="41"/>
        <v>light rain</v>
      </c>
      <c r="J896" s="12">
        <v>0.18</v>
      </c>
      <c r="K896" s="12">
        <v>0.16669999999999999</v>
      </c>
      <c r="L896" s="12">
        <v>0.47</v>
      </c>
      <c r="M896" s="12">
        <v>0.29849999999999999</v>
      </c>
      <c r="N896" s="12">
        <v>2</v>
      </c>
      <c r="O896" s="12">
        <v>168</v>
      </c>
      <c r="P896" s="13">
        <v>170</v>
      </c>
    </row>
    <row r="897" spans="1:16" x14ac:dyDescent="0.25">
      <c r="A897" s="6">
        <v>896</v>
      </c>
      <c r="B897" s="7">
        <v>40583</v>
      </c>
      <c r="C897" s="8">
        <v>19</v>
      </c>
      <c r="D897" s="8" t="b">
        <v>0</v>
      </c>
      <c r="E897" s="8" t="str">
        <f t="shared" si="39"/>
        <v>Working Day</v>
      </c>
      <c r="F897" s="8">
        <v>3</v>
      </c>
      <c r="G897" s="8" t="str">
        <f t="shared" si="40"/>
        <v>Wed</v>
      </c>
      <c r="H897" s="8">
        <v>3</v>
      </c>
      <c r="I897" s="8" t="str">
        <f t="shared" si="41"/>
        <v>heavy rain</v>
      </c>
      <c r="J897" s="8">
        <v>0.14000000000000001</v>
      </c>
      <c r="K897" s="8">
        <v>0.1212</v>
      </c>
      <c r="L897" s="8">
        <v>0.86</v>
      </c>
      <c r="M897" s="8">
        <v>0.25369999999999998</v>
      </c>
      <c r="N897" s="8">
        <v>1</v>
      </c>
      <c r="O897" s="8">
        <v>87</v>
      </c>
      <c r="P897" s="9">
        <v>88</v>
      </c>
    </row>
    <row r="898" spans="1:16" x14ac:dyDescent="0.25">
      <c r="A898" s="10">
        <v>897</v>
      </c>
      <c r="B898" s="11">
        <v>40583</v>
      </c>
      <c r="C898" s="12">
        <v>20</v>
      </c>
      <c r="D898" s="12" t="b">
        <v>0</v>
      </c>
      <c r="E898" s="12" t="str">
        <f t="shared" ref="E898:E961" si="42">IF(D898=FALSE,"Working Day","Holiday")</f>
        <v>Working Day</v>
      </c>
      <c r="F898" s="12">
        <v>3</v>
      </c>
      <c r="G898" s="12" t="str">
        <f t="shared" ref="G898:G961" si="43">TEXT(F898+1, "ddd")</f>
        <v>Wed</v>
      </c>
      <c r="H898" s="12">
        <v>3</v>
      </c>
      <c r="I898" s="12" t="str">
        <f t="shared" si="41"/>
        <v>heavy rain</v>
      </c>
      <c r="J898" s="12">
        <v>0.14000000000000001</v>
      </c>
      <c r="K898" s="12">
        <v>0.1515</v>
      </c>
      <c r="L898" s="12">
        <v>0.86</v>
      </c>
      <c r="M898" s="12">
        <v>0.16420000000000001</v>
      </c>
      <c r="N898" s="12">
        <v>0</v>
      </c>
      <c r="O898" s="12">
        <v>84</v>
      </c>
      <c r="P898" s="13">
        <v>84</v>
      </c>
    </row>
    <row r="899" spans="1:16" x14ac:dyDescent="0.25">
      <c r="A899" s="6">
        <v>898</v>
      </c>
      <c r="B899" s="7">
        <v>40583</v>
      </c>
      <c r="C899" s="8">
        <v>21</v>
      </c>
      <c r="D899" s="8" t="b">
        <v>0</v>
      </c>
      <c r="E899" s="8" t="str">
        <f t="shared" si="42"/>
        <v>Working Day</v>
      </c>
      <c r="F899" s="8">
        <v>3</v>
      </c>
      <c r="G899" s="8" t="str">
        <f t="shared" si="43"/>
        <v>Wed</v>
      </c>
      <c r="H899" s="8">
        <v>2</v>
      </c>
      <c r="I899" s="8" t="str">
        <f t="shared" ref="I899:I962" si="44">IF(H899=0, "clear", IF(H899=1, "mist/cloudy", IF(H899=2, "light rain", IF(H899=3, "heavy rain", IF(H899=4, "extreme weather condition", "Unknown")))))</f>
        <v>light rain</v>
      </c>
      <c r="J899" s="8">
        <v>0.14000000000000001</v>
      </c>
      <c r="K899" s="8">
        <v>0.1515</v>
      </c>
      <c r="L899" s="8">
        <v>0.86</v>
      </c>
      <c r="M899" s="8">
        <v>0.16420000000000001</v>
      </c>
      <c r="N899" s="8">
        <v>0</v>
      </c>
      <c r="O899" s="8">
        <v>83</v>
      </c>
      <c r="P899" s="9">
        <v>83</v>
      </c>
    </row>
    <row r="900" spans="1:16" x14ac:dyDescent="0.25">
      <c r="A900" s="10">
        <v>899</v>
      </c>
      <c r="B900" s="11">
        <v>40583</v>
      </c>
      <c r="C900" s="12">
        <v>22</v>
      </c>
      <c r="D900" s="12" t="b">
        <v>0</v>
      </c>
      <c r="E900" s="12" t="str">
        <f t="shared" si="42"/>
        <v>Working Day</v>
      </c>
      <c r="F900" s="12">
        <v>3</v>
      </c>
      <c r="G900" s="12" t="str">
        <f t="shared" si="43"/>
        <v>Wed</v>
      </c>
      <c r="H900" s="12">
        <v>3</v>
      </c>
      <c r="I900" s="12" t="str">
        <f t="shared" si="44"/>
        <v>heavy rain</v>
      </c>
      <c r="J900" s="12">
        <v>0.16</v>
      </c>
      <c r="K900" s="12">
        <v>0.16669999999999999</v>
      </c>
      <c r="L900" s="12">
        <v>0.8</v>
      </c>
      <c r="M900" s="12">
        <v>0.16420000000000001</v>
      </c>
      <c r="N900" s="12">
        <v>4</v>
      </c>
      <c r="O900" s="12">
        <v>42</v>
      </c>
      <c r="P900" s="13">
        <v>46</v>
      </c>
    </row>
    <row r="901" spans="1:16" x14ac:dyDescent="0.25">
      <c r="A901" s="6">
        <v>900</v>
      </c>
      <c r="B901" s="7">
        <v>40583</v>
      </c>
      <c r="C901" s="8">
        <v>23</v>
      </c>
      <c r="D901" s="8" t="b">
        <v>0</v>
      </c>
      <c r="E901" s="8" t="str">
        <f t="shared" si="42"/>
        <v>Working Day</v>
      </c>
      <c r="F901" s="8">
        <v>3</v>
      </c>
      <c r="G901" s="8" t="str">
        <f t="shared" si="43"/>
        <v>Wed</v>
      </c>
      <c r="H901" s="8">
        <v>3</v>
      </c>
      <c r="I901" s="8" t="str">
        <f t="shared" si="44"/>
        <v>heavy rain</v>
      </c>
      <c r="J901" s="8">
        <v>0.16</v>
      </c>
      <c r="K901" s="8">
        <v>0.1515</v>
      </c>
      <c r="L901" s="8">
        <v>0.8</v>
      </c>
      <c r="M901" s="8">
        <v>0.19400000000000001</v>
      </c>
      <c r="N901" s="8">
        <v>0</v>
      </c>
      <c r="O901" s="8">
        <v>37</v>
      </c>
      <c r="P901" s="9">
        <v>37</v>
      </c>
    </row>
    <row r="902" spans="1:16" x14ac:dyDescent="0.25">
      <c r="A902" s="10">
        <v>901</v>
      </c>
      <c r="B902" s="11">
        <v>40584</v>
      </c>
      <c r="C902" s="12">
        <v>0</v>
      </c>
      <c r="D902" s="12" t="b">
        <v>0</v>
      </c>
      <c r="E902" s="12" t="str">
        <f t="shared" si="42"/>
        <v>Working Day</v>
      </c>
      <c r="F902" s="12">
        <v>4</v>
      </c>
      <c r="G902" s="12" t="str">
        <f t="shared" si="43"/>
        <v>Thu</v>
      </c>
      <c r="H902" s="12">
        <v>3</v>
      </c>
      <c r="I902" s="12" t="str">
        <f t="shared" si="44"/>
        <v>heavy rain</v>
      </c>
      <c r="J902" s="12">
        <v>0.14000000000000001</v>
      </c>
      <c r="K902" s="12">
        <v>0.13639999999999999</v>
      </c>
      <c r="L902" s="12">
        <v>0.86</v>
      </c>
      <c r="M902" s="12">
        <v>0.19400000000000001</v>
      </c>
      <c r="N902" s="12">
        <v>0</v>
      </c>
      <c r="O902" s="12">
        <v>16</v>
      </c>
      <c r="P902" s="13">
        <v>16</v>
      </c>
    </row>
    <row r="903" spans="1:16" x14ac:dyDescent="0.25">
      <c r="A903" s="6">
        <v>902</v>
      </c>
      <c r="B903" s="7">
        <v>40584</v>
      </c>
      <c r="C903" s="8">
        <v>1</v>
      </c>
      <c r="D903" s="8" t="b">
        <v>0</v>
      </c>
      <c r="E903" s="8" t="str">
        <f t="shared" si="42"/>
        <v>Working Day</v>
      </c>
      <c r="F903" s="8">
        <v>4</v>
      </c>
      <c r="G903" s="8" t="str">
        <f t="shared" si="43"/>
        <v>Thu</v>
      </c>
      <c r="H903" s="8">
        <v>3</v>
      </c>
      <c r="I903" s="8" t="str">
        <f t="shared" si="44"/>
        <v>heavy rain</v>
      </c>
      <c r="J903" s="8">
        <v>0.14000000000000001</v>
      </c>
      <c r="K903" s="8">
        <v>0.1515</v>
      </c>
      <c r="L903" s="8">
        <v>0.8</v>
      </c>
      <c r="M903" s="8">
        <v>0.1343</v>
      </c>
      <c r="N903" s="8">
        <v>0</v>
      </c>
      <c r="O903" s="8">
        <v>7</v>
      </c>
      <c r="P903" s="9">
        <v>7</v>
      </c>
    </row>
    <row r="904" spans="1:16" x14ac:dyDescent="0.25">
      <c r="A904" s="10">
        <v>903</v>
      </c>
      <c r="B904" s="11">
        <v>40584</v>
      </c>
      <c r="C904" s="12">
        <v>2</v>
      </c>
      <c r="D904" s="12" t="b">
        <v>0</v>
      </c>
      <c r="E904" s="12" t="str">
        <f t="shared" si="42"/>
        <v>Working Day</v>
      </c>
      <c r="F904" s="12">
        <v>4</v>
      </c>
      <c r="G904" s="12" t="str">
        <f t="shared" si="43"/>
        <v>Thu</v>
      </c>
      <c r="H904" s="12">
        <v>3</v>
      </c>
      <c r="I904" s="12" t="str">
        <f t="shared" si="44"/>
        <v>heavy rain</v>
      </c>
      <c r="J904" s="12">
        <v>0.14000000000000001</v>
      </c>
      <c r="K904" s="12">
        <v>0.1515</v>
      </c>
      <c r="L904" s="12">
        <v>0.8</v>
      </c>
      <c r="M904" s="12">
        <v>0.1343</v>
      </c>
      <c r="N904" s="12">
        <v>0</v>
      </c>
      <c r="O904" s="12">
        <v>3</v>
      </c>
      <c r="P904" s="13">
        <v>3</v>
      </c>
    </row>
    <row r="905" spans="1:16" x14ac:dyDescent="0.25">
      <c r="A905" s="6">
        <v>904</v>
      </c>
      <c r="B905" s="7">
        <v>40584</v>
      </c>
      <c r="C905" s="8">
        <v>4</v>
      </c>
      <c r="D905" s="8" t="b">
        <v>0</v>
      </c>
      <c r="E905" s="8" t="str">
        <f t="shared" si="42"/>
        <v>Working Day</v>
      </c>
      <c r="F905" s="8">
        <v>4</v>
      </c>
      <c r="G905" s="8" t="str">
        <f t="shared" si="43"/>
        <v>Thu</v>
      </c>
      <c r="H905" s="8">
        <v>2</v>
      </c>
      <c r="I905" s="8" t="str">
        <f t="shared" si="44"/>
        <v>light rain</v>
      </c>
      <c r="J905" s="8">
        <v>0.14000000000000001</v>
      </c>
      <c r="K905" s="8">
        <v>0.13639999999999999</v>
      </c>
      <c r="L905" s="8">
        <v>0.59</v>
      </c>
      <c r="M905" s="8">
        <v>0.22389999999999999</v>
      </c>
      <c r="N905" s="8">
        <v>0</v>
      </c>
      <c r="O905" s="8">
        <v>1</v>
      </c>
      <c r="P905" s="9">
        <v>1</v>
      </c>
    </row>
    <row r="906" spans="1:16" x14ac:dyDescent="0.25">
      <c r="A906" s="10">
        <v>905</v>
      </c>
      <c r="B906" s="11">
        <v>40584</v>
      </c>
      <c r="C906" s="12">
        <v>5</v>
      </c>
      <c r="D906" s="12" t="b">
        <v>0</v>
      </c>
      <c r="E906" s="12" t="str">
        <f t="shared" si="42"/>
        <v>Working Day</v>
      </c>
      <c r="F906" s="12">
        <v>4</v>
      </c>
      <c r="G906" s="12" t="str">
        <f t="shared" si="43"/>
        <v>Thu</v>
      </c>
      <c r="H906" s="12">
        <v>2</v>
      </c>
      <c r="I906" s="12" t="str">
        <f t="shared" si="44"/>
        <v>light rain</v>
      </c>
      <c r="J906" s="12">
        <v>0.12</v>
      </c>
      <c r="K906" s="12">
        <v>0.1212</v>
      </c>
      <c r="L906" s="12">
        <v>0.5</v>
      </c>
      <c r="M906" s="12">
        <v>0.22389999999999999</v>
      </c>
      <c r="N906" s="12">
        <v>0</v>
      </c>
      <c r="O906" s="12">
        <v>6</v>
      </c>
      <c r="P906" s="13">
        <v>6</v>
      </c>
    </row>
    <row r="907" spans="1:16" x14ac:dyDescent="0.25">
      <c r="A907" s="6">
        <v>906</v>
      </c>
      <c r="B907" s="7">
        <v>40584</v>
      </c>
      <c r="C907" s="8">
        <v>6</v>
      </c>
      <c r="D907" s="8" t="b">
        <v>0</v>
      </c>
      <c r="E907" s="8" t="str">
        <f t="shared" si="42"/>
        <v>Working Day</v>
      </c>
      <c r="F907" s="8">
        <v>4</v>
      </c>
      <c r="G907" s="8" t="str">
        <f t="shared" si="43"/>
        <v>Thu</v>
      </c>
      <c r="H907" s="8">
        <v>2</v>
      </c>
      <c r="I907" s="8" t="str">
        <f t="shared" si="44"/>
        <v>light rain</v>
      </c>
      <c r="J907" s="8">
        <v>0.12</v>
      </c>
      <c r="K907" s="8">
        <v>0.1212</v>
      </c>
      <c r="L907" s="8">
        <v>0.54</v>
      </c>
      <c r="M907" s="8">
        <v>0.28360000000000002</v>
      </c>
      <c r="N907" s="8">
        <v>0</v>
      </c>
      <c r="O907" s="8">
        <v>26</v>
      </c>
      <c r="P907" s="9">
        <v>26</v>
      </c>
    </row>
    <row r="908" spans="1:16" x14ac:dyDescent="0.25">
      <c r="A908" s="10">
        <v>907</v>
      </c>
      <c r="B908" s="11">
        <v>40584</v>
      </c>
      <c r="C908" s="12">
        <v>7</v>
      </c>
      <c r="D908" s="12" t="b">
        <v>0</v>
      </c>
      <c r="E908" s="12" t="str">
        <f t="shared" si="42"/>
        <v>Working Day</v>
      </c>
      <c r="F908" s="12">
        <v>4</v>
      </c>
      <c r="G908" s="12" t="str">
        <f t="shared" si="43"/>
        <v>Thu</v>
      </c>
      <c r="H908" s="12">
        <v>1</v>
      </c>
      <c r="I908" s="12" t="str">
        <f t="shared" si="44"/>
        <v>mist/cloudy</v>
      </c>
      <c r="J908" s="12">
        <v>0.1</v>
      </c>
      <c r="K908" s="12">
        <v>7.5800000000000006E-2</v>
      </c>
      <c r="L908" s="12">
        <v>0.5</v>
      </c>
      <c r="M908" s="12">
        <v>0.41789999999999999</v>
      </c>
      <c r="N908" s="12">
        <v>0</v>
      </c>
      <c r="O908" s="12">
        <v>99</v>
      </c>
      <c r="P908" s="13">
        <v>99</v>
      </c>
    </row>
    <row r="909" spans="1:16" x14ac:dyDescent="0.25">
      <c r="A909" s="6">
        <v>908</v>
      </c>
      <c r="B909" s="7">
        <v>40584</v>
      </c>
      <c r="C909" s="8">
        <v>8</v>
      </c>
      <c r="D909" s="8" t="b">
        <v>0</v>
      </c>
      <c r="E909" s="8" t="str">
        <f t="shared" si="42"/>
        <v>Working Day</v>
      </c>
      <c r="F909" s="8">
        <v>4</v>
      </c>
      <c r="G909" s="8" t="str">
        <f t="shared" si="43"/>
        <v>Thu</v>
      </c>
      <c r="H909" s="8">
        <v>1</v>
      </c>
      <c r="I909" s="8" t="str">
        <f t="shared" si="44"/>
        <v>mist/cloudy</v>
      </c>
      <c r="J909" s="8">
        <v>0.1</v>
      </c>
      <c r="K909" s="8">
        <v>7.5800000000000006E-2</v>
      </c>
      <c r="L909" s="8">
        <v>0.49</v>
      </c>
      <c r="M909" s="8">
        <v>0.32840000000000003</v>
      </c>
      <c r="N909" s="8">
        <v>5</v>
      </c>
      <c r="O909" s="8">
        <v>173</v>
      </c>
      <c r="P909" s="9">
        <v>178</v>
      </c>
    </row>
    <row r="910" spans="1:16" x14ac:dyDescent="0.25">
      <c r="A910" s="10">
        <v>909</v>
      </c>
      <c r="B910" s="11">
        <v>40584</v>
      </c>
      <c r="C910" s="12">
        <v>9</v>
      </c>
      <c r="D910" s="12" t="b">
        <v>0</v>
      </c>
      <c r="E910" s="12" t="str">
        <f t="shared" si="42"/>
        <v>Working Day</v>
      </c>
      <c r="F910" s="12">
        <v>4</v>
      </c>
      <c r="G910" s="12" t="str">
        <f t="shared" si="43"/>
        <v>Thu</v>
      </c>
      <c r="H910" s="12">
        <v>1</v>
      </c>
      <c r="I910" s="12" t="str">
        <f t="shared" si="44"/>
        <v>mist/cloudy</v>
      </c>
      <c r="J910" s="12">
        <v>0.12</v>
      </c>
      <c r="K910" s="12">
        <v>0.1061</v>
      </c>
      <c r="L910" s="12">
        <v>0.42</v>
      </c>
      <c r="M910" s="12">
        <v>0.35820000000000002</v>
      </c>
      <c r="N910" s="12">
        <v>1</v>
      </c>
      <c r="O910" s="12">
        <v>121</v>
      </c>
      <c r="P910" s="13">
        <v>122</v>
      </c>
    </row>
    <row r="911" spans="1:16" x14ac:dyDescent="0.25">
      <c r="A911" s="6">
        <v>910</v>
      </c>
      <c r="B911" s="7">
        <v>40584</v>
      </c>
      <c r="C911" s="8">
        <v>10</v>
      </c>
      <c r="D911" s="8" t="b">
        <v>0</v>
      </c>
      <c r="E911" s="8" t="str">
        <f t="shared" si="42"/>
        <v>Working Day</v>
      </c>
      <c r="F911" s="8">
        <v>4</v>
      </c>
      <c r="G911" s="8" t="str">
        <f t="shared" si="43"/>
        <v>Thu</v>
      </c>
      <c r="H911" s="8">
        <v>1</v>
      </c>
      <c r="I911" s="8" t="str">
        <f t="shared" si="44"/>
        <v>mist/cloudy</v>
      </c>
      <c r="J911" s="8">
        <v>0.12</v>
      </c>
      <c r="K911" s="8">
        <v>0.1061</v>
      </c>
      <c r="L911" s="8">
        <v>0.42</v>
      </c>
      <c r="M911" s="8">
        <v>0.29849999999999999</v>
      </c>
      <c r="N911" s="8">
        <v>1</v>
      </c>
      <c r="O911" s="8">
        <v>34</v>
      </c>
      <c r="P911" s="9">
        <v>35</v>
      </c>
    </row>
    <row r="912" spans="1:16" x14ac:dyDescent="0.25">
      <c r="A912" s="10">
        <v>911</v>
      </c>
      <c r="B912" s="11">
        <v>40584</v>
      </c>
      <c r="C912" s="12">
        <v>11</v>
      </c>
      <c r="D912" s="12" t="b">
        <v>0</v>
      </c>
      <c r="E912" s="12" t="str">
        <f t="shared" si="42"/>
        <v>Working Day</v>
      </c>
      <c r="F912" s="12">
        <v>4</v>
      </c>
      <c r="G912" s="12" t="str">
        <f t="shared" si="43"/>
        <v>Thu</v>
      </c>
      <c r="H912" s="12">
        <v>1</v>
      </c>
      <c r="I912" s="12" t="str">
        <f t="shared" si="44"/>
        <v>mist/cloudy</v>
      </c>
      <c r="J912" s="12">
        <v>0.14000000000000001</v>
      </c>
      <c r="K912" s="12">
        <v>0.1212</v>
      </c>
      <c r="L912" s="12">
        <v>0.39</v>
      </c>
      <c r="M912" s="12">
        <v>0.35820000000000002</v>
      </c>
      <c r="N912" s="12">
        <v>1</v>
      </c>
      <c r="O912" s="12">
        <v>44</v>
      </c>
      <c r="P912" s="13">
        <v>45</v>
      </c>
    </row>
    <row r="913" spans="1:16" x14ac:dyDescent="0.25">
      <c r="A913" s="6">
        <v>912</v>
      </c>
      <c r="B913" s="7">
        <v>40584</v>
      </c>
      <c r="C913" s="8">
        <v>12</v>
      </c>
      <c r="D913" s="8" t="b">
        <v>0</v>
      </c>
      <c r="E913" s="8" t="str">
        <f t="shared" si="42"/>
        <v>Working Day</v>
      </c>
      <c r="F913" s="8">
        <v>4</v>
      </c>
      <c r="G913" s="8" t="str">
        <f t="shared" si="43"/>
        <v>Thu</v>
      </c>
      <c r="H913" s="8">
        <v>1</v>
      </c>
      <c r="I913" s="8" t="str">
        <f t="shared" si="44"/>
        <v>mist/cloudy</v>
      </c>
      <c r="J913" s="8">
        <v>0.16</v>
      </c>
      <c r="K913" s="8">
        <v>0.13639999999999999</v>
      </c>
      <c r="L913" s="8">
        <v>0.34</v>
      </c>
      <c r="M913" s="8">
        <v>0.3881</v>
      </c>
      <c r="N913" s="8">
        <v>4</v>
      </c>
      <c r="O913" s="8">
        <v>65</v>
      </c>
      <c r="P913" s="9">
        <v>69</v>
      </c>
    </row>
    <row r="914" spans="1:16" x14ac:dyDescent="0.25">
      <c r="A914" s="10">
        <v>913</v>
      </c>
      <c r="B914" s="11">
        <v>40584</v>
      </c>
      <c r="C914" s="12">
        <v>13</v>
      </c>
      <c r="D914" s="12" t="b">
        <v>0</v>
      </c>
      <c r="E914" s="12" t="str">
        <f t="shared" si="42"/>
        <v>Working Day</v>
      </c>
      <c r="F914" s="12">
        <v>4</v>
      </c>
      <c r="G914" s="12" t="str">
        <f t="shared" si="43"/>
        <v>Thu</v>
      </c>
      <c r="H914" s="12">
        <v>1</v>
      </c>
      <c r="I914" s="12" t="str">
        <f t="shared" si="44"/>
        <v>mist/cloudy</v>
      </c>
      <c r="J914" s="12">
        <v>0.18</v>
      </c>
      <c r="K914" s="12">
        <v>0.16669999999999999</v>
      </c>
      <c r="L914" s="12">
        <v>0.28999999999999998</v>
      </c>
      <c r="M914" s="12">
        <v>0.29849999999999999</v>
      </c>
      <c r="N914" s="12">
        <v>3</v>
      </c>
      <c r="O914" s="12">
        <v>59</v>
      </c>
      <c r="P914" s="13">
        <v>62</v>
      </c>
    </row>
    <row r="915" spans="1:16" x14ac:dyDescent="0.25">
      <c r="A915" s="6">
        <v>914</v>
      </c>
      <c r="B915" s="7">
        <v>40584</v>
      </c>
      <c r="C915" s="8">
        <v>14</v>
      </c>
      <c r="D915" s="8" t="b">
        <v>0</v>
      </c>
      <c r="E915" s="8" t="str">
        <f t="shared" si="42"/>
        <v>Working Day</v>
      </c>
      <c r="F915" s="8">
        <v>4</v>
      </c>
      <c r="G915" s="8" t="str">
        <f t="shared" si="43"/>
        <v>Thu</v>
      </c>
      <c r="H915" s="8">
        <v>1</v>
      </c>
      <c r="I915" s="8" t="str">
        <f t="shared" si="44"/>
        <v>mist/cloudy</v>
      </c>
      <c r="J915" s="8">
        <v>0.2</v>
      </c>
      <c r="K915" s="8">
        <v>0.18179999999999999</v>
      </c>
      <c r="L915" s="8">
        <v>0.27</v>
      </c>
      <c r="M915" s="8">
        <v>0.28360000000000002</v>
      </c>
      <c r="N915" s="8">
        <v>6</v>
      </c>
      <c r="O915" s="8">
        <v>42</v>
      </c>
      <c r="P915" s="9">
        <v>48</v>
      </c>
    </row>
    <row r="916" spans="1:16" x14ac:dyDescent="0.25">
      <c r="A916" s="10">
        <v>915</v>
      </c>
      <c r="B916" s="11">
        <v>40584</v>
      </c>
      <c r="C916" s="12">
        <v>15</v>
      </c>
      <c r="D916" s="12" t="b">
        <v>0</v>
      </c>
      <c r="E916" s="12" t="str">
        <f t="shared" si="42"/>
        <v>Working Day</v>
      </c>
      <c r="F916" s="12">
        <v>4</v>
      </c>
      <c r="G916" s="12" t="str">
        <f t="shared" si="43"/>
        <v>Thu</v>
      </c>
      <c r="H916" s="12">
        <v>1</v>
      </c>
      <c r="I916" s="12" t="str">
        <f t="shared" si="44"/>
        <v>mist/cloudy</v>
      </c>
      <c r="J916" s="12">
        <v>0.2</v>
      </c>
      <c r="K916" s="12">
        <v>0.19700000000000001</v>
      </c>
      <c r="L916" s="12">
        <v>0.25</v>
      </c>
      <c r="M916" s="12">
        <v>0.25369999999999998</v>
      </c>
      <c r="N916" s="12">
        <v>0</v>
      </c>
      <c r="O916" s="12">
        <v>50</v>
      </c>
      <c r="P916" s="13">
        <v>50</v>
      </c>
    </row>
    <row r="917" spans="1:16" x14ac:dyDescent="0.25">
      <c r="A917" s="6">
        <v>916</v>
      </c>
      <c r="B917" s="7">
        <v>40584</v>
      </c>
      <c r="C917" s="8">
        <v>16</v>
      </c>
      <c r="D917" s="8" t="b">
        <v>0</v>
      </c>
      <c r="E917" s="8" t="str">
        <f t="shared" si="42"/>
        <v>Working Day</v>
      </c>
      <c r="F917" s="8">
        <v>4</v>
      </c>
      <c r="G917" s="8" t="str">
        <f t="shared" si="43"/>
        <v>Thu</v>
      </c>
      <c r="H917" s="8">
        <v>1</v>
      </c>
      <c r="I917" s="8" t="str">
        <f t="shared" si="44"/>
        <v>mist/cloudy</v>
      </c>
      <c r="J917" s="8">
        <v>0.2</v>
      </c>
      <c r="K917" s="8">
        <v>0.18179999999999999</v>
      </c>
      <c r="L917" s="8">
        <v>0.27</v>
      </c>
      <c r="M917" s="8">
        <v>0.29849999999999999</v>
      </c>
      <c r="N917" s="8">
        <v>4</v>
      </c>
      <c r="O917" s="8">
        <v>76</v>
      </c>
      <c r="P917" s="9">
        <v>80</v>
      </c>
    </row>
    <row r="918" spans="1:16" x14ac:dyDescent="0.25">
      <c r="A918" s="10">
        <v>917</v>
      </c>
      <c r="B918" s="11">
        <v>40584</v>
      </c>
      <c r="C918" s="12">
        <v>17</v>
      </c>
      <c r="D918" s="12" t="b">
        <v>0</v>
      </c>
      <c r="E918" s="12" t="str">
        <f t="shared" si="42"/>
        <v>Working Day</v>
      </c>
      <c r="F918" s="12">
        <v>4</v>
      </c>
      <c r="G918" s="12" t="str">
        <f t="shared" si="43"/>
        <v>Thu</v>
      </c>
      <c r="H918" s="12">
        <v>1</v>
      </c>
      <c r="I918" s="12" t="str">
        <f t="shared" si="44"/>
        <v>mist/cloudy</v>
      </c>
      <c r="J918" s="12">
        <v>0.18</v>
      </c>
      <c r="K918" s="12">
        <v>0.18179999999999999</v>
      </c>
      <c r="L918" s="12">
        <v>0.26</v>
      </c>
      <c r="M918" s="12">
        <v>0.19400000000000001</v>
      </c>
      <c r="N918" s="12">
        <v>6</v>
      </c>
      <c r="O918" s="12">
        <v>159</v>
      </c>
      <c r="P918" s="13">
        <v>165</v>
      </c>
    </row>
    <row r="919" spans="1:16" x14ac:dyDescent="0.25">
      <c r="A919" s="6">
        <v>918</v>
      </c>
      <c r="B919" s="7">
        <v>40584</v>
      </c>
      <c r="C919" s="8">
        <v>18</v>
      </c>
      <c r="D919" s="8" t="b">
        <v>0</v>
      </c>
      <c r="E919" s="8" t="str">
        <f t="shared" si="42"/>
        <v>Working Day</v>
      </c>
      <c r="F919" s="8">
        <v>4</v>
      </c>
      <c r="G919" s="8" t="str">
        <f t="shared" si="43"/>
        <v>Thu</v>
      </c>
      <c r="H919" s="8">
        <v>1</v>
      </c>
      <c r="I919" s="8" t="str">
        <f t="shared" si="44"/>
        <v>mist/cloudy</v>
      </c>
      <c r="J919" s="8">
        <v>0.16</v>
      </c>
      <c r="K919" s="8">
        <v>0.18179999999999999</v>
      </c>
      <c r="L919" s="8">
        <v>0.28000000000000003</v>
      </c>
      <c r="M919" s="8">
        <v>0.1343</v>
      </c>
      <c r="N919" s="8">
        <v>3</v>
      </c>
      <c r="O919" s="8">
        <v>157</v>
      </c>
      <c r="P919" s="9">
        <v>160</v>
      </c>
    </row>
    <row r="920" spans="1:16" x14ac:dyDescent="0.25">
      <c r="A920" s="10">
        <v>919</v>
      </c>
      <c r="B920" s="11">
        <v>40584</v>
      </c>
      <c r="C920" s="12">
        <v>19</v>
      </c>
      <c r="D920" s="12" t="b">
        <v>0</v>
      </c>
      <c r="E920" s="12" t="str">
        <f t="shared" si="42"/>
        <v>Working Day</v>
      </c>
      <c r="F920" s="12">
        <v>4</v>
      </c>
      <c r="G920" s="12" t="str">
        <f t="shared" si="43"/>
        <v>Thu</v>
      </c>
      <c r="H920" s="12">
        <v>1</v>
      </c>
      <c r="I920" s="12" t="str">
        <f t="shared" si="44"/>
        <v>mist/cloudy</v>
      </c>
      <c r="J920" s="12">
        <v>0.14000000000000001</v>
      </c>
      <c r="K920" s="12">
        <v>0.16669999999999999</v>
      </c>
      <c r="L920" s="12">
        <v>0.28000000000000003</v>
      </c>
      <c r="M920" s="12">
        <v>0.1045</v>
      </c>
      <c r="N920" s="12">
        <v>2</v>
      </c>
      <c r="O920" s="12">
        <v>110</v>
      </c>
      <c r="P920" s="13">
        <v>112</v>
      </c>
    </row>
    <row r="921" spans="1:16" x14ac:dyDescent="0.25">
      <c r="A921" s="6">
        <v>920</v>
      </c>
      <c r="B921" s="7">
        <v>40584</v>
      </c>
      <c r="C921" s="8">
        <v>20</v>
      </c>
      <c r="D921" s="8" t="b">
        <v>0</v>
      </c>
      <c r="E921" s="8" t="str">
        <f t="shared" si="42"/>
        <v>Working Day</v>
      </c>
      <c r="F921" s="8">
        <v>4</v>
      </c>
      <c r="G921" s="8" t="str">
        <f t="shared" si="43"/>
        <v>Thu</v>
      </c>
      <c r="H921" s="8">
        <v>1</v>
      </c>
      <c r="I921" s="8" t="str">
        <f t="shared" si="44"/>
        <v>mist/cloudy</v>
      </c>
      <c r="J921" s="8">
        <v>0.14000000000000001</v>
      </c>
      <c r="K921" s="8">
        <v>0.18179999999999999</v>
      </c>
      <c r="L921" s="8">
        <v>0.31</v>
      </c>
      <c r="M921" s="8">
        <v>8.9599999999999999E-2</v>
      </c>
      <c r="N921" s="8">
        <v>4</v>
      </c>
      <c r="O921" s="8">
        <v>93</v>
      </c>
      <c r="P921" s="9">
        <v>97</v>
      </c>
    </row>
    <row r="922" spans="1:16" x14ac:dyDescent="0.25">
      <c r="A922" s="10">
        <v>921</v>
      </c>
      <c r="B922" s="11">
        <v>40584</v>
      </c>
      <c r="C922" s="12">
        <v>21</v>
      </c>
      <c r="D922" s="12" t="b">
        <v>0</v>
      </c>
      <c r="E922" s="12" t="str">
        <f t="shared" si="42"/>
        <v>Working Day</v>
      </c>
      <c r="F922" s="12">
        <v>4</v>
      </c>
      <c r="G922" s="12" t="str">
        <f t="shared" si="43"/>
        <v>Thu</v>
      </c>
      <c r="H922" s="12">
        <v>1</v>
      </c>
      <c r="I922" s="12" t="str">
        <f t="shared" si="44"/>
        <v>mist/cloudy</v>
      </c>
      <c r="J922" s="12">
        <v>0.14000000000000001</v>
      </c>
      <c r="K922" s="12">
        <v>0.21210000000000001</v>
      </c>
      <c r="L922" s="12">
        <v>0.39</v>
      </c>
      <c r="M922" s="12">
        <v>0</v>
      </c>
      <c r="N922" s="12">
        <v>2</v>
      </c>
      <c r="O922" s="12">
        <v>70</v>
      </c>
      <c r="P922" s="13">
        <v>72</v>
      </c>
    </row>
    <row r="923" spans="1:16" x14ac:dyDescent="0.25">
      <c r="A923" s="6">
        <v>922</v>
      </c>
      <c r="B923" s="7">
        <v>40584</v>
      </c>
      <c r="C923" s="8">
        <v>22</v>
      </c>
      <c r="D923" s="8" t="b">
        <v>0</v>
      </c>
      <c r="E923" s="8" t="str">
        <f t="shared" si="42"/>
        <v>Working Day</v>
      </c>
      <c r="F923" s="8">
        <v>4</v>
      </c>
      <c r="G923" s="8" t="str">
        <f t="shared" si="43"/>
        <v>Thu</v>
      </c>
      <c r="H923" s="8">
        <v>1</v>
      </c>
      <c r="I923" s="8" t="str">
        <f t="shared" si="44"/>
        <v>mist/cloudy</v>
      </c>
      <c r="J923" s="8">
        <v>0.12</v>
      </c>
      <c r="K923" s="8">
        <v>0.19700000000000001</v>
      </c>
      <c r="L923" s="8">
        <v>0.39</v>
      </c>
      <c r="M923" s="8">
        <v>0</v>
      </c>
      <c r="N923" s="8">
        <v>4</v>
      </c>
      <c r="O923" s="8">
        <v>47</v>
      </c>
      <c r="P923" s="9">
        <v>51</v>
      </c>
    </row>
    <row r="924" spans="1:16" x14ac:dyDescent="0.25">
      <c r="A924" s="10">
        <v>923</v>
      </c>
      <c r="B924" s="11">
        <v>40584</v>
      </c>
      <c r="C924" s="12">
        <v>23</v>
      </c>
      <c r="D924" s="12" t="b">
        <v>0</v>
      </c>
      <c r="E924" s="12" t="str">
        <f t="shared" si="42"/>
        <v>Working Day</v>
      </c>
      <c r="F924" s="12">
        <v>4</v>
      </c>
      <c r="G924" s="12" t="str">
        <f t="shared" si="43"/>
        <v>Thu</v>
      </c>
      <c r="H924" s="12">
        <v>1</v>
      </c>
      <c r="I924" s="12" t="str">
        <f t="shared" si="44"/>
        <v>mist/cloudy</v>
      </c>
      <c r="J924" s="12">
        <v>0.12</v>
      </c>
      <c r="K924" s="12">
        <v>0.1515</v>
      </c>
      <c r="L924" s="12">
        <v>0.42</v>
      </c>
      <c r="M924" s="12">
        <v>0.1045</v>
      </c>
      <c r="N924" s="12">
        <v>1</v>
      </c>
      <c r="O924" s="12">
        <v>33</v>
      </c>
      <c r="P924" s="13">
        <v>34</v>
      </c>
    </row>
    <row r="925" spans="1:16" x14ac:dyDescent="0.25">
      <c r="A925" s="6">
        <v>924</v>
      </c>
      <c r="B925" s="7">
        <v>40585</v>
      </c>
      <c r="C925" s="8">
        <v>0</v>
      </c>
      <c r="D925" s="8" t="b">
        <v>0</v>
      </c>
      <c r="E925" s="8" t="str">
        <f t="shared" si="42"/>
        <v>Working Day</v>
      </c>
      <c r="F925" s="8">
        <v>5</v>
      </c>
      <c r="G925" s="8" t="str">
        <f t="shared" si="43"/>
        <v>Fri</v>
      </c>
      <c r="H925" s="8">
        <v>1</v>
      </c>
      <c r="I925" s="8" t="str">
        <f t="shared" si="44"/>
        <v>mist/cloudy</v>
      </c>
      <c r="J925" s="8">
        <v>0.1</v>
      </c>
      <c r="K925" s="8">
        <v>0.13639999999999999</v>
      </c>
      <c r="L925" s="8">
        <v>0.49</v>
      </c>
      <c r="M925" s="8">
        <v>0.1045</v>
      </c>
      <c r="N925" s="8">
        <v>2</v>
      </c>
      <c r="O925" s="8">
        <v>12</v>
      </c>
      <c r="P925" s="9">
        <v>14</v>
      </c>
    </row>
    <row r="926" spans="1:16" x14ac:dyDescent="0.25">
      <c r="A926" s="10">
        <v>925</v>
      </c>
      <c r="B926" s="11">
        <v>40585</v>
      </c>
      <c r="C926" s="12">
        <v>1</v>
      </c>
      <c r="D926" s="12" t="b">
        <v>0</v>
      </c>
      <c r="E926" s="12" t="str">
        <f t="shared" si="42"/>
        <v>Working Day</v>
      </c>
      <c r="F926" s="12">
        <v>5</v>
      </c>
      <c r="G926" s="12" t="str">
        <f t="shared" si="43"/>
        <v>Fri</v>
      </c>
      <c r="H926" s="12">
        <v>1</v>
      </c>
      <c r="I926" s="12" t="str">
        <f t="shared" si="44"/>
        <v>mist/cloudy</v>
      </c>
      <c r="J926" s="12">
        <v>0.1</v>
      </c>
      <c r="K926" s="12">
        <v>0.13639999999999999</v>
      </c>
      <c r="L926" s="12">
        <v>0.54</v>
      </c>
      <c r="M926" s="12">
        <v>8.9599999999999999E-2</v>
      </c>
      <c r="N926" s="12">
        <v>1</v>
      </c>
      <c r="O926" s="12">
        <v>6</v>
      </c>
      <c r="P926" s="13">
        <v>7</v>
      </c>
    </row>
    <row r="927" spans="1:16" x14ac:dyDescent="0.25">
      <c r="A927" s="6">
        <v>926</v>
      </c>
      <c r="B927" s="7">
        <v>40585</v>
      </c>
      <c r="C927" s="8">
        <v>2</v>
      </c>
      <c r="D927" s="8" t="b">
        <v>0</v>
      </c>
      <c r="E927" s="8" t="str">
        <f t="shared" si="42"/>
        <v>Working Day</v>
      </c>
      <c r="F927" s="8">
        <v>5</v>
      </c>
      <c r="G927" s="8" t="str">
        <f t="shared" si="43"/>
        <v>Fri</v>
      </c>
      <c r="H927" s="8">
        <v>1</v>
      </c>
      <c r="I927" s="8" t="str">
        <f t="shared" si="44"/>
        <v>mist/cloudy</v>
      </c>
      <c r="J927" s="8">
        <v>0.1</v>
      </c>
      <c r="K927" s="8">
        <v>0.13639999999999999</v>
      </c>
      <c r="L927" s="8">
        <v>0.54</v>
      </c>
      <c r="M927" s="8">
        <v>8.9599999999999999E-2</v>
      </c>
      <c r="N927" s="8">
        <v>0</v>
      </c>
      <c r="O927" s="8">
        <v>3</v>
      </c>
      <c r="P927" s="9">
        <v>3</v>
      </c>
    </row>
    <row r="928" spans="1:16" x14ac:dyDescent="0.25">
      <c r="A928" s="10">
        <v>927</v>
      </c>
      <c r="B928" s="11">
        <v>40585</v>
      </c>
      <c r="C928" s="12">
        <v>5</v>
      </c>
      <c r="D928" s="12" t="b">
        <v>0</v>
      </c>
      <c r="E928" s="12" t="str">
        <f t="shared" si="42"/>
        <v>Working Day</v>
      </c>
      <c r="F928" s="12">
        <v>5</v>
      </c>
      <c r="G928" s="12" t="str">
        <f t="shared" si="43"/>
        <v>Fri</v>
      </c>
      <c r="H928" s="12">
        <v>1</v>
      </c>
      <c r="I928" s="12" t="str">
        <f t="shared" si="44"/>
        <v>mist/cloudy</v>
      </c>
      <c r="J928" s="12">
        <v>0.08</v>
      </c>
      <c r="K928" s="12">
        <v>0.1212</v>
      </c>
      <c r="L928" s="12">
        <v>0.63</v>
      </c>
      <c r="M928" s="12">
        <v>8.9599999999999999E-2</v>
      </c>
      <c r="N928" s="12">
        <v>0</v>
      </c>
      <c r="O928" s="12">
        <v>4</v>
      </c>
      <c r="P928" s="13">
        <v>4</v>
      </c>
    </row>
    <row r="929" spans="1:16" x14ac:dyDescent="0.25">
      <c r="A929" s="6">
        <v>928</v>
      </c>
      <c r="B929" s="7">
        <v>40585</v>
      </c>
      <c r="C929" s="8">
        <v>6</v>
      </c>
      <c r="D929" s="8" t="b">
        <v>0</v>
      </c>
      <c r="E929" s="8" t="str">
        <f t="shared" si="42"/>
        <v>Working Day</v>
      </c>
      <c r="F929" s="8">
        <v>5</v>
      </c>
      <c r="G929" s="8" t="str">
        <f t="shared" si="43"/>
        <v>Fri</v>
      </c>
      <c r="H929" s="8">
        <v>1</v>
      </c>
      <c r="I929" s="8" t="str">
        <f t="shared" si="44"/>
        <v>mist/cloudy</v>
      </c>
      <c r="J929" s="8">
        <v>0.1</v>
      </c>
      <c r="K929" s="8">
        <v>0.18179999999999999</v>
      </c>
      <c r="L929" s="8">
        <v>0.68</v>
      </c>
      <c r="M929" s="8">
        <v>0</v>
      </c>
      <c r="N929" s="8">
        <v>1</v>
      </c>
      <c r="O929" s="8">
        <v>23</v>
      </c>
      <c r="P929" s="9">
        <v>24</v>
      </c>
    </row>
    <row r="930" spans="1:16" x14ac:dyDescent="0.25">
      <c r="A930" s="10">
        <v>929</v>
      </c>
      <c r="B930" s="11">
        <v>40585</v>
      </c>
      <c r="C930" s="12">
        <v>7</v>
      </c>
      <c r="D930" s="12" t="b">
        <v>0</v>
      </c>
      <c r="E930" s="12" t="str">
        <f t="shared" si="42"/>
        <v>Working Day</v>
      </c>
      <c r="F930" s="12">
        <v>5</v>
      </c>
      <c r="G930" s="12" t="str">
        <f t="shared" si="43"/>
        <v>Fri</v>
      </c>
      <c r="H930" s="12">
        <v>1</v>
      </c>
      <c r="I930" s="12" t="str">
        <f t="shared" si="44"/>
        <v>mist/cloudy</v>
      </c>
      <c r="J930" s="12">
        <v>0.08</v>
      </c>
      <c r="K930" s="12">
        <v>0.16669999999999999</v>
      </c>
      <c r="L930" s="12">
        <v>0.73</v>
      </c>
      <c r="M930" s="12">
        <v>0</v>
      </c>
      <c r="N930" s="12">
        <v>1</v>
      </c>
      <c r="O930" s="12">
        <v>73</v>
      </c>
      <c r="P930" s="13">
        <v>74</v>
      </c>
    </row>
    <row r="931" spans="1:16" x14ac:dyDescent="0.25">
      <c r="A931" s="6">
        <v>930</v>
      </c>
      <c r="B931" s="7">
        <v>40585</v>
      </c>
      <c r="C931" s="8">
        <v>8</v>
      </c>
      <c r="D931" s="8" t="b">
        <v>0</v>
      </c>
      <c r="E931" s="8" t="str">
        <f t="shared" si="42"/>
        <v>Working Day</v>
      </c>
      <c r="F931" s="8">
        <v>5</v>
      </c>
      <c r="G931" s="8" t="str">
        <f t="shared" si="43"/>
        <v>Fri</v>
      </c>
      <c r="H931" s="8">
        <v>1</v>
      </c>
      <c r="I931" s="8" t="str">
        <f t="shared" si="44"/>
        <v>mist/cloudy</v>
      </c>
      <c r="J931" s="8">
        <v>0.1</v>
      </c>
      <c r="K931" s="8">
        <v>0.1212</v>
      </c>
      <c r="L931" s="8">
        <v>0.74</v>
      </c>
      <c r="M931" s="8">
        <v>0.16420000000000001</v>
      </c>
      <c r="N931" s="8">
        <v>4</v>
      </c>
      <c r="O931" s="8">
        <v>212</v>
      </c>
      <c r="P931" s="9">
        <v>216</v>
      </c>
    </row>
    <row r="932" spans="1:16" x14ac:dyDescent="0.25">
      <c r="A932" s="10">
        <v>931</v>
      </c>
      <c r="B932" s="11">
        <v>40585</v>
      </c>
      <c r="C932" s="12">
        <v>9</v>
      </c>
      <c r="D932" s="12" t="b">
        <v>0</v>
      </c>
      <c r="E932" s="12" t="str">
        <f t="shared" si="42"/>
        <v>Working Day</v>
      </c>
      <c r="F932" s="12">
        <v>5</v>
      </c>
      <c r="G932" s="12" t="str">
        <f t="shared" si="43"/>
        <v>Fri</v>
      </c>
      <c r="H932" s="12">
        <v>1</v>
      </c>
      <c r="I932" s="12" t="str">
        <f t="shared" si="44"/>
        <v>mist/cloudy</v>
      </c>
      <c r="J932" s="12">
        <v>0.12</v>
      </c>
      <c r="K932" s="12">
        <v>0.1212</v>
      </c>
      <c r="L932" s="12">
        <v>0.74</v>
      </c>
      <c r="M932" s="12">
        <v>0.22389999999999999</v>
      </c>
      <c r="N932" s="12">
        <v>8</v>
      </c>
      <c r="O932" s="12">
        <v>132</v>
      </c>
      <c r="P932" s="13">
        <v>140</v>
      </c>
    </row>
    <row r="933" spans="1:16" x14ac:dyDescent="0.25">
      <c r="A933" s="6">
        <v>932</v>
      </c>
      <c r="B933" s="7">
        <v>40585</v>
      </c>
      <c r="C933" s="8">
        <v>10</v>
      </c>
      <c r="D933" s="8" t="b">
        <v>0</v>
      </c>
      <c r="E933" s="8" t="str">
        <f t="shared" si="42"/>
        <v>Working Day</v>
      </c>
      <c r="F933" s="8">
        <v>5</v>
      </c>
      <c r="G933" s="8" t="str">
        <f t="shared" si="43"/>
        <v>Fri</v>
      </c>
      <c r="H933" s="8">
        <v>1</v>
      </c>
      <c r="I933" s="8" t="str">
        <f t="shared" si="44"/>
        <v>mist/cloudy</v>
      </c>
      <c r="J933" s="8">
        <v>0.14000000000000001</v>
      </c>
      <c r="K933" s="8">
        <v>0.13639999999999999</v>
      </c>
      <c r="L933" s="8">
        <v>0.69</v>
      </c>
      <c r="M933" s="8">
        <v>0.19400000000000001</v>
      </c>
      <c r="N933" s="8">
        <v>5</v>
      </c>
      <c r="O933" s="8">
        <v>39</v>
      </c>
      <c r="P933" s="9">
        <v>44</v>
      </c>
    </row>
    <row r="934" spans="1:16" x14ac:dyDescent="0.25">
      <c r="A934" s="10">
        <v>933</v>
      </c>
      <c r="B934" s="11">
        <v>40585</v>
      </c>
      <c r="C934" s="12">
        <v>11</v>
      </c>
      <c r="D934" s="12" t="b">
        <v>0</v>
      </c>
      <c r="E934" s="12" t="str">
        <f t="shared" si="42"/>
        <v>Working Day</v>
      </c>
      <c r="F934" s="12">
        <v>5</v>
      </c>
      <c r="G934" s="12" t="str">
        <f t="shared" si="43"/>
        <v>Fri</v>
      </c>
      <c r="H934" s="12">
        <v>1</v>
      </c>
      <c r="I934" s="12" t="str">
        <f t="shared" si="44"/>
        <v>mist/cloudy</v>
      </c>
      <c r="J934" s="12">
        <v>0.22</v>
      </c>
      <c r="K934" s="12">
        <v>0.2273</v>
      </c>
      <c r="L934" s="12">
        <v>0.47</v>
      </c>
      <c r="M934" s="12">
        <v>0.1343</v>
      </c>
      <c r="N934" s="12">
        <v>12</v>
      </c>
      <c r="O934" s="12">
        <v>52</v>
      </c>
      <c r="P934" s="13">
        <v>64</v>
      </c>
    </row>
    <row r="935" spans="1:16" x14ac:dyDescent="0.25">
      <c r="A935" s="6">
        <v>934</v>
      </c>
      <c r="B935" s="7">
        <v>40585</v>
      </c>
      <c r="C935" s="8">
        <v>12</v>
      </c>
      <c r="D935" s="8" t="b">
        <v>0</v>
      </c>
      <c r="E935" s="8" t="str">
        <f t="shared" si="42"/>
        <v>Working Day</v>
      </c>
      <c r="F935" s="8">
        <v>5</v>
      </c>
      <c r="G935" s="8" t="str">
        <f t="shared" si="43"/>
        <v>Fri</v>
      </c>
      <c r="H935" s="8">
        <v>1</v>
      </c>
      <c r="I935" s="8" t="str">
        <f t="shared" si="44"/>
        <v>mist/cloudy</v>
      </c>
      <c r="J935" s="8">
        <v>0.22</v>
      </c>
      <c r="K935" s="8">
        <v>0.2273</v>
      </c>
      <c r="L935" s="8">
        <v>0.47</v>
      </c>
      <c r="M935" s="8">
        <v>0.1343</v>
      </c>
      <c r="N935" s="8">
        <v>7</v>
      </c>
      <c r="O935" s="8">
        <v>64</v>
      </c>
      <c r="P935" s="9">
        <v>71</v>
      </c>
    </row>
    <row r="936" spans="1:16" x14ac:dyDescent="0.25">
      <c r="A936" s="10">
        <v>935</v>
      </c>
      <c r="B936" s="11">
        <v>40585</v>
      </c>
      <c r="C936" s="12">
        <v>13</v>
      </c>
      <c r="D936" s="12" t="b">
        <v>0</v>
      </c>
      <c r="E936" s="12" t="str">
        <f t="shared" si="42"/>
        <v>Working Day</v>
      </c>
      <c r="F936" s="12">
        <v>5</v>
      </c>
      <c r="G936" s="12" t="str">
        <f t="shared" si="43"/>
        <v>Fri</v>
      </c>
      <c r="H936" s="12">
        <v>1</v>
      </c>
      <c r="I936" s="12" t="str">
        <f t="shared" si="44"/>
        <v>mist/cloudy</v>
      </c>
      <c r="J936" s="12">
        <v>0.24</v>
      </c>
      <c r="K936" s="12">
        <v>0.2273</v>
      </c>
      <c r="L936" s="12">
        <v>0.35</v>
      </c>
      <c r="M936" s="12">
        <v>0.19400000000000001</v>
      </c>
      <c r="N936" s="12">
        <v>21</v>
      </c>
      <c r="O936" s="12">
        <v>89</v>
      </c>
      <c r="P936" s="13">
        <v>110</v>
      </c>
    </row>
    <row r="937" spans="1:16" x14ac:dyDescent="0.25">
      <c r="A937" s="6">
        <v>936</v>
      </c>
      <c r="B937" s="7">
        <v>40585</v>
      </c>
      <c r="C937" s="8">
        <v>14</v>
      </c>
      <c r="D937" s="8" t="b">
        <v>0</v>
      </c>
      <c r="E937" s="8" t="str">
        <f t="shared" si="42"/>
        <v>Working Day</v>
      </c>
      <c r="F937" s="8">
        <v>5</v>
      </c>
      <c r="G937" s="8" t="str">
        <f t="shared" si="43"/>
        <v>Fri</v>
      </c>
      <c r="H937" s="8">
        <v>1</v>
      </c>
      <c r="I937" s="8" t="str">
        <f t="shared" si="44"/>
        <v>mist/cloudy</v>
      </c>
      <c r="J937" s="8">
        <v>0.3</v>
      </c>
      <c r="K937" s="8">
        <v>0.28789999999999999</v>
      </c>
      <c r="L937" s="8">
        <v>0.26</v>
      </c>
      <c r="M937" s="8">
        <v>0.25369999999999998</v>
      </c>
      <c r="N937" s="8">
        <v>17</v>
      </c>
      <c r="O937" s="8">
        <v>67</v>
      </c>
      <c r="P937" s="9">
        <v>84</v>
      </c>
    </row>
    <row r="938" spans="1:16" x14ac:dyDescent="0.25">
      <c r="A938" s="10">
        <v>937</v>
      </c>
      <c r="B938" s="11">
        <v>40585</v>
      </c>
      <c r="C938" s="12">
        <v>15</v>
      </c>
      <c r="D938" s="12" t="b">
        <v>0</v>
      </c>
      <c r="E938" s="12" t="str">
        <f t="shared" si="42"/>
        <v>Working Day</v>
      </c>
      <c r="F938" s="12">
        <v>5</v>
      </c>
      <c r="G938" s="12" t="str">
        <f t="shared" si="43"/>
        <v>Fri</v>
      </c>
      <c r="H938" s="12">
        <v>1</v>
      </c>
      <c r="I938" s="12" t="str">
        <f t="shared" si="44"/>
        <v>mist/cloudy</v>
      </c>
      <c r="J938" s="12">
        <v>0.32</v>
      </c>
      <c r="K938" s="12">
        <v>0.31819999999999998</v>
      </c>
      <c r="L938" s="12">
        <v>0.21</v>
      </c>
      <c r="M938" s="12">
        <v>0.16420000000000001</v>
      </c>
      <c r="N938" s="12">
        <v>12</v>
      </c>
      <c r="O938" s="12">
        <v>62</v>
      </c>
      <c r="P938" s="13">
        <v>74</v>
      </c>
    </row>
    <row r="939" spans="1:16" x14ac:dyDescent="0.25">
      <c r="A939" s="6">
        <v>938</v>
      </c>
      <c r="B939" s="7">
        <v>40585</v>
      </c>
      <c r="C939" s="8">
        <v>16</v>
      </c>
      <c r="D939" s="8" t="b">
        <v>0</v>
      </c>
      <c r="E939" s="8" t="str">
        <f t="shared" si="42"/>
        <v>Working Day</v>
      </c>
      <c r="F939" s="8">
        <v>5</v>
      </c>
      <c r="G939" s="8" t="str">
        <f t="shared" si="43"/>
        <v>Fri</v>
      </c>
      <c r="H939" s="8">
        <v>1</v>
      </c>
      <c r="I939" s="8" t="str">
        <f t="shared" si="44"/>
        <v>mist/cloudy</v>
      </c>
      <c r="J939" s="8">
        <v>0.3</v>
      </c>
      <c r="K939" s="8">
        <v>0.28789999999999999</v>
      </c>
      <c r="L939" s="8">
        <v>0.28000000000000003</v>
      </c>
      <c r="M939" s="8">
        <v>0.19400000000000001</v>
      </c>
      <c r="N939" s="8">
        <v>14</v>
      </c>
      <c r="O939" s="8">
        <v>111</v>
      </c>
      <c r="P939" s="9">
        <v>125</v>
      </c>
    </row>
    <row r="940" spans="1:16" x14ac:dyDescent="0.25">
      <c r="A940" s="10">
        <v>939</v>
      </c>
      <c r="B940" s="11">
        <v>40585</v>
      </c>
      <c r="C940" s="12">
        <v>17</v>
      </c>
      <c r="D940" s="12" t="b">
        <v>0</v>
      </c>
      <c r="E940" s="12" t="str">
        <f t="shared" si="42"/>
        <v>Working Day</v>
      </c>
      <c r="F940" s="12">
        <v>5</v>
      </c>
      <c r="G940" s="12" t="str">
        <f t="shared" si="43"/>
        <v>Fri</v>
      </c>
      <c r="H940" s="12">
        <v>1</v>
      </c>
      <c r="I940" s="12" t="str">
        <f t="shared" si="44"/>
        <v>mist/cloudy</v>
      </c>
      <c r="J940" s="12">
        <v>0.3</v>
      </c>
      <c r="K940" s="12">
        <v>0.33329999999999999</v>
      </c>
      <c r="L940" s="12">
        <v>0.24</v>
      </c>
      <c r="M940" s="12">
        <v>0</v>
      </c>
      <c r="N940" s="12">
        <v>18</v>
      </c>
      <c r="O940" s="12">
        <v>193</v>
      </c>
      <c r="P940" s="13">
        <v>211</v>
      </c>
    </row>
    <row r="941" spans="1:16" x14ac:dyDescent="0.25">
      <c r="A941" s="6">
        <v>940</v>
      </c>
      <c r="B941" s="7">
        <v>40585</v>
      </c>
      <c r="C941" s="8">
        <v>18</v>
      </c>
      <c r="D941" s="8" t="b">
        <v>0</v>
      </c>
      <c r="E941" s="8" t="str">
        <f t="shared" si="42"/>
        <v>Working Day</v>
      </c>
      <c r="F941" s="8">
        <v>5</v>
      </c>
      <c r="G941" s="8" t="str">
        <f t="shared" si="43"/>
        <v>Fri</v>
      </c>
      <c r="H941" s="8">
        <v>1</v>
      </c>
      <c r="I941" s="8" t="str">
        <f t="shared" si="44"/>
        <v>mist/cloudy</v>
      </c>
      <c r="J941" s="8">
        <v>0.28000000000000003</v>
      </c>
      <c r="K941" s="8">
        <v>0.31819999999999998</v>
      </c>
      <c r="L941" s="8">
        <v>0.28000000000000003</v>
      </c>
      <c r="M941" s="8">
        <v>0</v>
      </c>
      <c r="N941" s="8">
        <v>9</v>
      </c>
      <c r="O941" s="8">
        <v>165</v>
      </c>
      <c r="P941" s="9">
        <v>174</v>
      </c>
    </row>
    <row r="942" spans="1:16" x14ac:dyDescent="0.25">
      <c r="A942" s="10">
        <v>941</v>
      </c>
      <c r="B942" s="11">
        <v>40585</v>
      </c>
      <c r="C942" s="12">
        <v>19</v>
      </c>
      <c r="D942" s="12" t="b">
        <v>0</v>
      </c>
      <c r="E942" s="12" t="str">
        <f t="shared" si="42"/>
        <v>Working Day</v>
      </c>
      <c r="F942" s="12">
        <v>5</v>
      </c>
      <c r="G942" s="12" t="str">
        <f t="shared" si="43"/>
        <v>Fri</v>
      </c>
      <c r="H942" s="12">
        <v>1</v>
      </c>
      <c r="I942" s="12" t="str">
        <f t="shared" si="44"/>
        <v>mist/cloudy</v>
      </c>
      <c r="J942" s="12">
        <v>0.26</v>
      </c>
      <c r="K942" s="12">
        <v>0.30299999999999999</v>
      </c>
      <c r="L942" s="12">
        <v>0.33</v>
      </c>
      <c r="M942" s="12">
        <v>0</v>
      </c>
      <c r="N942" s="12">
        <v>7</v>
      </c>
      <c r="O942" s="12">
        <v>94</v>
      </c>
      <c r="P942" s="13">
        <v>101</v>
      </c>
    </row>
    <row r="943" spans="1:16" x14ac:dyDescent="0.25">
      <c r="A943" s="6">
        <v>942</v>
      </c>
      <c r="B943" s="7">
        <v>40585</v>
      </c>
      <c r="C943" s="8">
        <v>20</v>
      </c>
      <c r="D943" s="8" t="b">
        <v>0</v>
      </c>
      <c r="E943" s="8" t="str">
        <f t="shared" si="42"/>
        <v>Working Day</v>
      </c>
      <c r="F943" s="8">
        <v>5</v>
      </c>
      <c r="G943" s="8" t="str">
        <f t="shared" si="43"/>
        <v>Fri</v>
      </c>
      <c r="H943" s="8">
        <v>1</v>
      </c>
      <c r="I943" s="8" t="str">
        <f t="shared" si="44"/>
        <v>mist/cloudy</v>
      </c>
      <c r="J943" s="8">
        <v>0.22</v>
      </c>
      <c r="K943" s="8">
        <v>0.2273</v>
      </c>
      <c r="L943" s="8">
        <v>0.55000000000000004</v>
      </c>
      <c r="M943" s="8">
        <v>0.1343</v>
      </c>
      <c r="N943" s="8">
        <v>2</v>
      </c>
      <c r="O943" s="8">
        <v>61</v>
      </c>
      <c r="P943" s="9">
        <v>63</v>
      </c>
    </row>
    <row r="944" spans="1:16" x14ac:dyDescent="0.25">
      <c r="A944" s="10">
        <v>943</v>
      </c>
      <c r="B944" s="11">
        <v>40585</v>
      </c>
      <c r="C944" s="12">
        <v>21</v>
      </c>
      <c r="D944" s="12" t="b">
        <v>0</v>
      </c>
      <c r="E944" s="12" t="str">
        <f t="shared" si="42"/>
        <v>Working Day</v>
      </c>
      <c r="F944" s="12">
        <v>5</v>
      </c>
      <c r="G944" s="12" t="str">
        <f t="shared" si="43"/>
        <v>Fri</v>
      </c>
      <c r="H944" s="12">
        <v>1</v>
      </c>
      <c r="I944" s="12" t="str">
        <f t="shared" si="44"/>
        <v>mist/cloudy</v>
      </c>
      <c r="J944" s="12">
        <v>0.2</v>
      </c>
      <c r="K944" s="12">
        <v>0.21210000000000001</v>
      </c>
      <c r="L944" s="12">
        <v>0.59</v>
      </c>
      <c r="M944" s="12">
        <v>0.1343</v>
      </c>
      <c r="N944" s="12">
        <v>1</v>
      </c>
      <c r="O944" s="12">
        <v>46</v>
      </c>
      <c r="P944" s="13">
        <v>47</v>
      </c>
    </row>
    <row r="945" spans="1:16" x14ac:dyDescent="0.25">
      <c r="A945" s="6">
        <v>944</v>
      </c>
      <c r="B945" s="7">
        <v>40585</v>
      </c>
      <c r="C945" s="8">
        <v>22</v>
      </c>
      <c r="D945" s="8" t="b">
        <v>0</v>
      </c>
      <c r="E945" s="8" t="str">
        <f t="shared" si="42"/>
        <v>Working Day</v>
      </c>
      <c r="F945" s="8">
        <v>5</v>
      </c>
      <c r="G945" s="8" t="str">
        <f t="shared" si="43"/>
        <v>Fri</v>
      </c>
      <c r="H945" s="8">
        <v>1</v>
      </c>
      <c r="I945" s="8" t="str">
        <f t="shared" si="44"/>
        <v>mist/cloudy</v>
      </c>
      <c r="J945" s="8">
        <v>0.2</v>
      </c>
      <c r="K945" s="8">
        <v>0.2273</v>
      </c>
      <c r="L945" s="8">
        <v>0.64</v>
      </c>
      <c r="M945" s="8">
        <v>8.9599999999999999E-2</v>
      </c>
      <c r="N945" s="8">
        <v>2</v>
      </c>
      <c r="O945" s="8">
        <v>41</v>
      </c>
      <c r="P945" s="9">
        <v>43</v>
      </c>
    </row>
    <row r="946" spans="1:16" x14ac:dyDescent="0.25">
      <c r="A946" s="10">
        <v>945</v>
      </c>
      <c r="B946" s="11">
        <v>40585</v>
      </c>
      <c r="C946" s="12">
        <v>23</v>
      </c>
      <c r="D946" s="12" t="b">
        <v>0</v>
      </c>
      <c r="E946" s="12" t="str">
        <f t="shared" si="42"/>
        <v>Working Day</v>
      </c>
      <c r="F946" s="12">
        <v>5</v>
      </c>
      <c r="G946" s="12" t="str">
        <f t="shared" si="43"/>
        <v>Fri</v>
      </c>
      <c r="H946" s="12">
        <v>1</v>
      </c>
      <c r="I946" s="12" t="str">
        <f t="shared" si="44"/>
        <v>mist/cloudy</v>
      </c>
      <c r="J946" s="12">
        <v>0.18</v>
      </c>
      <c r="K946" s="12">
        <v>0.2424</v>
      </c>
      <c r="L946" s="12">
        <v>0.69</v>
      </c>
      <c r="M946" s="12">
        <v>0</v>
      </c>
      <c r="N946" s="12">
        <v>5</v>
      </c>
      <c r="O946" s="12">
        <v>48</v>
      </c>
      <c r="P946" s="13">
        <v>53</v>
      </c>
    </row>
    <row r="947" spans="1:16" x14ac:dyDescent="0.25">
      <c r="A947" s="6">
        <v>946</v>
      </c>
      <c r="B947" s="7">
        <v>40586</v>
      </c>
      <c r="C947" s="8">
        <v>0</v>
      </c>
      <c r="D947" s="8" t="b">
        <v>0</v>
      </c>
      <c r="E947" s="8" t="str">
        <f t="shared" si="42"/>
        <v>Working Day</v>
      </c>
      <c r="F947" s="8">
        <v>6</v>
      </c>
      <c r="G947" s="8" t="str">
        <f t="shared" si="43"/>
        <v>Sat</v>
      </c>
      <c r="H947" s="8">
        <v>1</v>
      </c>
      <c r="I947" s="8" t="str">
        <f t="shared" si="44"/>
        <v>mist/cloudy</v>
      </c>
      <c r="J947" s="8">
        <v>0.16</v>
      </c>
      <c r="K947" s="8">
        <v>0.19700000000000001</v>
      </c>
      <c r="L947" s="8">
        <v>0.69</v>
      </c>
      <c r="M947" s="8">
        <v>8.9599999999999999E-2</v>
      </c>
      <c r="N947" s="8">
        <v>3</v>
      </c>
      <c r="O947" s="8">
        <v>27</v>
      </c>
      <c r="P947" s="9">
        <v>30</v>
      </c>
    </row>
    <row r="948" spans="1:16" x14ac:dyDescent="0.25">
      <c r="A948" s="10">
        <v>947</v>
      </c>
      <c r="B948" s="11">
        <v>40586</v>
      </c>
      <c r="C948" s="12">
        <v>1</v>
      </c>
      <c r="D948" s="12" t="b">
        <v>0</v>
      </c>
      <c r="E948" s="12" t="str">
        <f t="shared" si="42"/>
        <v>Working Day</v>
      </c>
      <c r="F948" s="12">
        <v>6</v>
      </c>
      <c r="G948" s="12" t="str">
        <f t="shared" si="43"/>
        <v>Sat</v>
      </c>
      <c r="H948" s="12">
        <v>1</v>
      </c>
      <c r="I948" s="12" t="str">
        <f t="shared" si="44"/>
        <v>mist/cloudy</v>
      </c>
      <c r="J948" s="12">
        <v>0.14000000000000001</v>
      </c>
      <c r="K948" s="12">
        <v>0.21210000000000001</v>
      </c>
      <c r="L948" s="12">
        <v>0.86</v>
      </c>
      <c r="M948" s="12">
        <v>0</v>
      </c>
      <c r="N948" s="12">
        <v>2</v>
      </c>
      <c r="O948" s="12">
        <v>22</v>
      </c>
      <c r="P948" s="13">
        <v>24</v>
      </c>
    </row>
    <row r="949" spans="1:16" x14ac:dyDescent="0.25">
      <c r="A949" s="6">
        <v>948</v>
      </c>
      <c r="B949" s="7">
        <v>40586</v>
      </c>
      <c r="C949" s="8">
        <v>2</v>
      </c>
      <c r="D949" s="8" t="b">
        <v>0</v>
      </c>
      <c r="E949" s="8" t="str">
        <f t="shared" si="42"/>
        <v>Working Day</v>
      </c>
      <c r="F949" s="8">
        <v>6</v>
      </c>
      <c r="G949" s="8" t="str">
        <f t="shared" si="43"/>
        <v>Sat</v>
      </c>
      <c r="H949" s="8">
        <v>1</v>
      </c>
      <c r="I949" s="8" t="str">
        <f t="shared" si="44"/>
        <v>mist/cloudy</v>
      </c>
      <c r="J949" s="8">
        <v>0.14000000000000001</v>
      </c>
      <c r="K949" s="8">
        <v>0.21210000000000001</v>
      </c>
      <c r="L949" s="8">
        <v>0.8</v>
      </c>
      <c r="M949" s="8">
        <v>0</v>
      </c>
      <c r="N949" s="8">
        <v>2</v>
      </c>
      <c r="O949" s="8">
        <v>13</v>
      </c>
      <c r="P949" s="9">
        <v>15</v>
      </c>
    </row>
    <row r="950" spans="1:16" x14ac:dyDescent="0.25">
      <c r="A950" s="10">
        <v>949</v>
      </c>
      <c r="B950" s="11">
        <v>40586</v>
      </c>
      <c r="C950" s="12">
        <v>3</v>
      </c>
      <c r="D950" s="12" t="b">
        <v>0</v>
      </c>
      <c r="E950" s="12" t="str">
        <f t="shared" si="42"/>
        <v>Working Day</v>
      </c>
      <c r="F950" s="12">
        <v>6</v>
      </c>
      <c r="G950" s="12" t="str">
        <f t="shared" si="43"/>
        <v>Sat</v>
      </c>
      <c r="H950" s="12">
        <v>1</v>
      </c>
      <c r="I950" s="12" t="str">
        <f t="shared" si="44"/>
        <v>mist/cloudy</v>
      </c>
      <c r="J950" s="12">
        <v>0.12</v>
      </c>
      <c r="K950" s="12">
        <v>0.19700000000000001</v>
      </c>
      <c r="L950" s="12">
        <v>0.8</v>
      </c>
      <c r="M950" s="12">
        <v>0</v>
      </c>
      <c r="N950" s="12">
        <v>3</v>
      </c>
      <c r="O950" s="12">
        <v>7</v>
      </c>
      <c r="P950" s="13">
        <v>10</v>
      </c>
    </row>
    <row r="951" spans="1:16" x14ac:dyDescent="0.25">
      <c r="A951" s="6">
        <v>950</v>
      </c>
      <c r="B951" s="7">
        <v>40586</v>
      </c>
      <c r="C951" s="8">
        <v>4</v>
      </c>
      <c r="D951" s="8" t="b">
        <v>0</v>
      </c>
      <c r="E951" s="8" t="str">
        <f t="shared" si="42"/>
        <v>Working Day</v>
      </c>
      <c r="F951" s="8">
        <v>6</v>
      </c>
      <c r="G951" s="8" t="str">
        <f t="shared" si="43"/>
        <v>Sat</v>
      </c>
      <c r="H951" s="8">
        <v>1</v>
      </c>
      <c r="I951" s="8" t="str">
        <f t="shared" si="44"/>
        <v>mist/cloudy</v>
      </c>
      <c r="J951" s="8">
        <v>0.12</v>
      </c>
      <c r="K951" s="8">
        <v>0.16669999999999999</v>
      </c>
      <c r="L951" s="8">
        <v>0.74</v>
      </c>
      <c r="M951" s="8">
        <v>8.9599999999999999E-2</v>
      </c>
      <c r="N951" s="8">
        <v>0</v>
      </c>
      <c r="O951" s="8">
        <v>4</v>
      </c>
      <c r="P951" s="9">
        <v>4</v>
      </c>
    </row>
    <row r="952" spans="1:16" x14ac:dyDescent="0.25">
      <c r="A952" s="10">
        <v>951</v>
      </c>
      <c r="B952" s="11">
        <v>40586</v>
      </c>
      <c r="C952" s="12">
        <v>5</v>
      </c>
      <c r="D952" s="12" t="b">
        <v>0</v>
      </c>
      <c r="E952" s="12" t="str">
        <f t="shared" si="42"/>
        <v>Working Day</v>
      </c>
      <c r="F952" s="12">
        <v>6</v>
      </c>
      <c r="G952" s="12" t="str">
        <f t="shared" si="43"/>
        <v>Sat</v>
      </c>
      <c r="H952" s="12">
        <v>1</v>
      </c>
      <c r="I952" s="12" t="str">
        <f t="shared" si="44"/>
        <v>mist/cloudy</v>
      </c>
      <c r="J952" s="12">
        <v>0.12</v>
      </c>
      <c r="K952" s="12">
        <v>0.16669999999999999</v>
      </c>
      <c r="L952" s="12">
        <v>0.74</v>
      </c>
      <c r="M952" s="12">
        <v>8.9599999999999999E-2</v>
      </c>
      <c r="N952" s="12">
        <v>0</v>
      </c>
      <c r="O952" s="12">
        <v>1</v>
      </c>
      <c r="P952" s="13">
        <v>1</v>
      </c>
    </row>
    <row r="953" spans="1:16" x14ac:dyDescent="0.25">
      <c r="A953" s="6">
        <v>952</v>
      </c>
      <c r="B953" s="7">
        <v>40586</v>
      </c>
      <c r="C953" s="8">
        <v>6</v>
      </c>
      <c r="D953" s="8" t="b">
        <v>0</v>
      </c>
      <c r="E953" s="8" t="str">
        <f t="shared" si="42"/>
        <v>Working Day</v>
      </c>
      <c r="F953" s="8">
        <v>6</v>
      </c>
      <c r="G953" s="8" t="str">
        <f t="shared" si="43"/>
        <v>Sat</v>
      </c>
      <c r="H953" s="8">
        <v>1</v>
      </c>
      <c r="I953" s="8" t="str">
        <f t="shared" si="44"/>
        <v>mist/cloudy</v>
      </c>
      <c r="J953" s="8">
        <v>0.12</v>
      </c>
      <c r="K953" s="8">
        <v>0.13639999999999999</v>
      </c>
      <c r="L953" s="8">
        <v>0.93</v>
      </c>
      <c r="M953" s="8">
        <v>0.19400000000000001</v>
      </c>
      <c r="N953" s="8">
        <v>1</v>
      </c>
      <c r="O953" s="8">
        <v>1</v>
      </c>
      <c r="P953" s="9">
        <v>2</v>
      </c>
    </row>
    <row r="954" spans="1:16" x14ac:dyDescent="0.25">
      <c r="A954" s="10">
        <v>953</v>
      </c>
      <c r="B954" s="11">
        <v>40586</v>
      </c>
      <c r="C954" s="12">
        <v>7</v>
      </c>
      <c r="D954" s="12" t="b">
        <v>0</v>
      </c>
      <c r="E954" s="12" t="str">
        <f t="shared" si="42"/>
        <v>Working Day</v>
      </c>
      <c r="F954" s="12">
        <v>6</v>
      </c>
      <c r="G954" s="12" t="str">
        <f t="shared" si="43"/>
        <v>Sat</v>
      </c>
      <c r="H954" s="12">
        <v>1</v>
      </c>
      <c r="I954" s="12" t="str">
        <f t="shared" si="44"/>
        <v>mist/cloudy</v>
      </c>
      <c r="J954" s="12">
        <v>0.12</v>
      </c>
      <c r="K954" s="12">
        <v>0.1515</v>
      </c>
      <c r="L954" s="12">
        <v>0.8</v>
      </c>
      <c r="M954" s="12">
        <v>0.1045</v>
      </c>
      <c r="N954" s="12">
        <v>2</v>
      </c>
      <c r="O954" s="12">
        <v>9</v>
      </c>
      <c r="P954" s="13">
        <v>11</v>
      </c>
    </row>
    <row r="955" spans="1:16" x14ac:dyDescent="0.25">
      <c r="A955" s="6">
        <v>954</v>
      </c>
      <c r="B955" s="7">
        <v>40586</v>
      </c>
      <c r="C955" s="8">
        <v>8</v>
      </c>
      <c r="D955" s="8" t="b">
        <v>0</v>
      </c>
      <c r="E955" s="8" t="str">
        <f t="shared" si="42"/>
        <v>Working Day</v>
      </c>
      <c r="F955" s="8">
        <v>6</v>
      </c>
      <c r="G955" s="8" t="str">
        <f t="shared" si="43"/>
        <v>Sat</v>
      </c>
      <c r="H955" s="8">
        <v>1</v>
      </c>
      <c r="I955" s="8" t="str">
        <f t="shared" si="44"/>
        <v>mist/cloudy</v>
      </c>
      <c r="J955" s="8">
        <v>0.14000000000000001</v>
      </c>
      <c r="K955" s="8">
        <v>0.1515</v>
      </c>
      <c r="L955" s="8">
        <v>0.86</v>
      </c>
      <c r="M955" s="8">
        <v>0.1343</v>
      </c>
      <c r="N955" s="8">
        <v>2</v>
      </c>
      <c r="O955" s="8">
        <v>28</v>
      </c>
      <c r="P955" s="9">
        <v>30</v>
      </c>
    </row>
    <row r="956" spans="1:16" x14ac:dyDescent="0.25">
      <c r="A956" s="10">
        <v>955</v>
      </c>
      <c r="B956" s="11">
        <v>40586</v>
      </c>
      <c r="C956" s="12">
        <v>9</v>
      </c>
      <c r="D956" s="12" t="b">
        <v>0</v>
      </c>
      <c r="E956" s="12" t="str">
        <f t="shared" si="42"/>
        <v>Working Day</v>
      </c>
      <c r="F956" s="12">
        <v>6</v>
      </c>
      <c r="G956" s="12" t="str">
        <f t="shared" si="43"/>
        <v>Sat</v>
      </c>
      <c r="H956" s="12">
        <v>1</v>
      </c>
      <c r="I956" s="12" t="str">
        <f t="shared" si="44"/>
        <v>mist/cloudy</v>
      </c>
      <c r="J956" s="12">
        <v>0.16</v>
      </c>
      <c r="K956" s="12">
        <v>0.18179999999999999</v>
      </c>
      <c r="L956" s="12">
        <v>0.64</v>
      </c>
      <c r="M956" s="12">
        <v>0.1343</v>
      </c>
      <c r="N956" s="12">
        <v>5</v>
      </c>
      <c r="O956" s="12">
        <v>38</v>
      </c>
      <c r="P956" s="13">
        <v>43</v>
      </c>
    </row>
    <row r="957" spans="1:16" x14ac:dyDescent="0.25">
      <c r="A957" s="6">
        <v>956</v>
      </c>
      <c r="B957" s="7">
        <v>40586</v>
      </c>
      <c r="C957" s="8">
        <v>10</v>
      </c>
      <c r="D957" s="8" t="b">
        <v>0</v>
      </c>
      <c r="E957" s="8" t="str">
        <f t="shared" si="42"/>
        <v>Working Day</v>
      </c>
      <c r="F957" s="8">
        <v>6</v>
      </c>
      <c r="G957" s="8" t="str">
        <f t="shared" si="43"/>
        <v>Sat</v>
      </c>
      <c r="H957" s="8">
        <v>1</v>
      </c>
      <c r="I957" s="8" t="str">
        <f t="shared" si="44"/>
        <v>mist/cloudy</v>
      </c>
      <c r="J957" s="8">
        <v>0.22</v>
      </c>
      <c r="K957" s="8">
        <v>0.21210000000000001</v>
      </c>
      <c r="L957" s="8">
        <v>0.41</v>
      </c>
      <c r="M957" s="8">
        <v>0.25369999999999998</v>
      </c>
      <c r="N957" s="8">
        <v>13</v>
      </c>
      <c r="O957" s="8">
        <v>71</v>
      </c>
      <c r="P957" s="9">
        <v>84</v>
      </c>
    </row>
    <row r="958" spans="1:16" x14ac:dyDescent="0.25">
      <c r="A958" s="10">
        <v>957</v>
      </c>
      <c r="B958" s="11">
        <v>40586</v>
      </c>
      <c r="C958" s="12">
        <v>11</v>
      </c>
      <c r="D958" s="12" t="b">
        <v>0</v>
      </c>
      <c r="E958" s="12" t="str">
        <f t="shared" si="42"/>
        <v>Working Day</v>
      </c>
      <c r="F958" s="12">
        <v>6</v>
      </c>
      <c r="G958" s="12" t="str">
        <f t="shared" si="43"/>
        <v>Sat</v>
      </c>
      <c r="H958" s="12">
        <v>1</v>
      </c>
      <c r="I958" s="12" t="str">
        <f t="shared" si="44"/>
        <v>mist/cloudy</v>
      </c>
      <c r="J958" s="12">
        <v>0.3</v>
      </c>
      <c r="K958" s="12">
        <v>0.2727</v>
      </c>
      <c r="L958" s="12">
        <v>0.28000000000000003</v>
      </c>
      <c r="M958" s="12">
        <v>0.32840000000000003</v>
      </c>
      <c r="N958" s="12">
        <v>30</v>
      </c>
      <c r="O958" s="12">
        <v>84</v>
      </c>
      <c r="P958" s="13">
        <v>114</v>
      </c>
    </row>
    <row r="959" spans="1:16" x14ac:dyDescent="0.25">
      <c r="A959" s="6">
        <v>958</v>
      </c>
      <c r="B959" s="7">
        <v>40586</v>
      </c>
      <c r="C959" s="8">
        <v>12</v>
      </c>
      <c r="D959" s="8" t="b">
        <v>0</v>
      </c>
      <c r="E959" s="8" t="str">
        <f t="shared" si="42"/>
        <v>Working Day</v>
      </c>
      <c r="F959" s="8">
        <v>6</v>
      </c>
      <c r="G959" s="8" t="str">
        <f t="shared" si="43"/>
        <v>Sat</v>
      </c>
      <c r="H959" s="8">
        <v>1</v>
      </c>
      <c r="I959" s="8" t="str">
        <f t="shared" si="44"/>
        <v>mist/cloudy</v>
      </c>
      <c r="J959" s="8">
        <v>0.3</v>
      </c>
      <c r="K959" s="8">
        <v>0.2727</v>
      </c>
      <c r="L959" s="8">
        <v>0.39</v>
      </c>
      <c r="M959" s="8">
        <v>0.4627</v>
      </c>
      <c r="N959" s="8">
        <v>27</v>
      </c>
      <c r="O959" s="8">
        <v>93</v>
      </c>
      <c r="P959" s="9">
        <v>120</v>
      </c>
    </row>
    <row r="960" spans="1:16" x14ac:dyDescent="0.25">
      <c r="A960" s="10">
        <v>959</v>
      </c>
      <c r="B960" s="11">
        <v>40586</v>
      </c>
      <c r="C960" s="12">
        <v>13</v>
      </c>
      <c r="D960" s="12" t="b">
        <v>0</v>
      </c>
      <c r="E960" s="12" t="str">
        <f t="shared" si="42"/>
        <v>Working Day</v>
      </c>
      <c r="F960" s="12">
        <v>6</v>
      </c>
      <c r="G960" s="12" t="str">
        <f t="shared" si="43"/>
        <v>Sat</v>
      </c>
      <c r="H960" s="12">
        <v>1</v>
      </c>
      <c r="I960" s="12" t="str">
        <f t="shared" si="44"/>
        <v>mist/cloudy</v>
      </c>
      <c r="J960" s="12">
        <v>0.3</v>
      </c>
      <c r="K960" s="12">
        <v>0.2727</v>
      </c>
      <c r="L960" s="12">
        <v>0.39</v>
      </c>
      <c r="M960" s="12">
        <v>0.41789999999999999</v>
      </c>
      <c r="N960" s="12">
        <v>32</v>
      </c>
      <c r="O960" s="12">
        <v>103</v>
      </c>
      <c r="P960" s="13">
        <v>135</v>
      </c>
    </row>
    <row r="961" spans="1:16" x14ac:dyDescent="0.25">
      <c r="A961" s="6">
        <v>960</v>
      </c>
      <c r="B961" s="7">
        <v>40586</v>
      </c>
      <c r="C961" s="8">
        <v>14</v>
      </c>
      <c r="D961" s="8" t="b">
        <v>0</v>
      </c>
      <c r="E961" s="8" t="str">
        <f t="shared" si="42"/>
        <v>Working Day</v>
      </c>
      <c r="F961" s="8">
        <v>6</v>
      </c>
      <c r="G961" s="8" t="str">
        <f t="shared" si="43"/>
        <v>Sat</v>
      </c>
      <c r="H961" s="8">
        <v>1</v>
      </c>
      <c r="I961" s="8" t="str">
        <f t="shared" si="44"/>
        <v>mist/cloudy</v>
      </c>
      <c r="J961" s="8">
        <v>0.34</v>
      </c>
      <c r="K961" s="8">
        <v>0.31819999999999998</v>
      </c>
      <c r="L961" s="8">
        <v>0.31</v>
      </c>
      <c r="M961" s="8">
        <v>0.28360000000000002</v>
      </c>
      <c r="N961" s="8">
        <v>30</v>
      </c>
      <c r="O961" s="8">
        <v>90</v>
      </c>
      <c r="P961" s="9">
        <v>120</v>
      </c>
    </row>
    <row r="962" spans="1:16" x14ac:dyDescent="0.25">
      <c r="A962" s="10">
        <v>961</v>
      </c>
      <c r="B962" s="11">
        <v>40586</v>
      </c>
      <c r="C962" s="12">
        <v>15</v>
      </c>
      <c r="D962" s="12" t="b">
        <v>0</v>
      </c>
      <c r="E962" s="12" t="str">
        <f t="shared" ref="E962:E1001" si="45">IF(D962=FALSE,"Working Day","Holiday")</f>
        <v>Working Day</v>
      </c>
      <c r="F962" s="12">
        <v>6</v>
      </c>
      <c r="G962" s="12" t="str">
        <f t="shared" ref="G962:G1001" si="46">TEXT(F962+1, "ddd")</f>
        <v>Sat</v>
      </c>
      <c r="H962" s="12">
        <v>1</v>
      </c>
      <c r="I962" s="12" t="str">
        <f t="shared" si="44"/>
        <v>mist/cloudy</v>
      </c>
      <c r="J962" s="12">
        <v>0.34</v>
      </c>
      <c r="K962" s="12">
        <v>0.30299999999999999</v>
      </c>
      <c r="L962" s="12">
        <v>0.28999999999999998</v>
      </c>
      <c r="M962" s="12">
        <v>0.41789999999999999</v>
      </c>
      <c r="N962" s="12">
        <v>47</v>
      </c>
      <c r="O962" s="12">
        <v>127</v>
      </c>
      <c r="P962" s="13">
        <v>174</v>
      </c>
    </row>
    <row r="963" spans="1:16" x14ac:dyDescent="0.25">
      <c r="A963" s="6">
        <v>962</v>
      </c>
      <c r="B963" s="7">
        <v>40586</v>
      </c>
      <c r="C963" s="8">
        <v>16</v>
      </c>
      <c r="D963" s="8" t="b">
        <v>0</v>
      </c>
      <c r="E963" s="8" t="str">
        <f t="shared" si="45"/>
        <v>Working Day</v>
      </c>
      <c r="F963" s="8">
        <v>6</v>
      </c>
      <c r="G963" s="8" t="str">
        <f t="shared" si="46"/>
        <v>Sat</v>
      </c>
      <c r="H963" s="8">
        <v>1</v>
      </c>
      <c r="I963" s="8" t="str">
        <f t="shared" ref="I963:I1001" si="47">IF(H963=0, "clear", IF(H963=1, "mist/cloudy", IF(H963=2, "light rain", IF(H963=3, "heavy rain", IF(H963=4, "extreme weather condition", "Unknown")))))</f>
        <v>mist/cloudy</v>
      </c>
      <c r="J963" s="8">
        <v>0.34</v>
      </c>
      <c r="K963" s="8">
        <v>0.30299999999999999</v>
      </c>
      <c r="L963" s="8">
        <v>0.28999999999999998</v>
      </c>
      <c r="M963" s="8">
        <v>0.41789999999999999</v>
      </c>
      <c r="N963" s="8">
        <v>42</v>
      </c>
      <c r="O963" s="8">
        <v>103</v>
      </c>
      <c r="P963" s="9">
        <v>145</v>
      </c>
    </row>
    <row r="964" spans="1:16" x14ac:dyDescent="0.25">
      <c r="A964" s="10">
        <v>963</v>
      </c>
      <c r="B964" s="11">
        <v>40586</v>
      </c>
      <c r="C964" s="12">
        <v>17</v>
      </c>
      <c r="D964" s="12" t="b">
        <v>0</v>
      </c>
      <c r="E964" s="12" t="str">
        <f t="shared" si="45"/>
        <v>Working Day</v>
      </c>
      <c r="F964" s="12">
        <v>6</v>
      </c>
      <c r="G964" s="12" t="str">
        <f t="shared" si="46"/>
        <v>Sat</v>
      </c>
      <c r="H964" s="12">
        <v>1</v>
      </c>
      <c r="I964" s="12" t="str">
        <f t="shared" si="47"/>
        <v>mist/cloudy</v>
      </c>
      <c r="J964" s="12">
        <v>0.32</v>
      </c>
      <c r="K964" s="12">
        <v>0.28789999999999999</v>
      </c>
      <c r="L964" s="12">
        <v>0.31</v>
      </c>
      <c r="M964" s="12">
        <v>0.52239999999999998</v>
      </c>
      <c r="N964" s="12">
        <v>24</v>
      </c>
      <c r="O964" s="12">
        <v>113</v>
      </c>
      <c r="P964" s="13">
        <v>137</v>
      </c>
    </row>
    <row r="965" spans="1:16" x14ac:dyDescent="0.25">
      <c r="A965" s="6">
        <v>964</v>
      </c>
      <c r="B965" s="7">
        <v>40586</v>
      </c>
      <c r="C965" s="8">
        <v>18</v>
      </c>
      <c r="D965" s="8" t="b">
        <v>0</v>
      </c>
      <c r="E965" s="8" t="str">
        <f t="shared" si="45"/>
        <v>Working Day</v>
      </c>
      <c r="F965" s="8">
        <v>6</v>
      </c>
      <c r="G965" s="8" t="str">
        <f t="shared" si="46"/>
        <v>Sat</v>
      </c>
      <c r="H965" s="8">
        <v>1</v>
      </c>
      <c r="I965" s="8" t="str">
        <f t="shared" si="47"/>
        <v>mist/cloudy</v>
      </c>
      <c r="J965" s="8">
        <v>0.28000000000000003</v>
      </c>
      <c r="K965" s="8">
        <v>0.2576</v>
      </c>
      <c r="L965" s="8">
        <v>0.38</v>
      </c>
      <c r="M965" s="8">
        <v>0.32840000000000003</v>
      </c>
      <c r="N965" s="8">
        <v>4</v>
      </c>
      <c r="O965" s="8">
        <v>60</v>
      </c>
      <c r="P965" s="9">
        <v>64</v>
      </c>
    </row>
    <row r="966" spans="1:16" x14ac:dyDescent="0.25">
      <c r="A966" s="10">
        <v>965</v>
      </c>
      <c r="B966" s="11">
        <v>40586</v>
      </c>
      <c r="C966" s="12">
        <v>19</v>
      </c>
      <c r="D966" s="12" t="b">
        <v>0</v>
      </c>
      <c r="E966" s="12" t="str">
        <f t="shared" si="45"/>
        <v>Working Day</v>
      </c>
      <c r="F966" s="12">
        <v>6</v>
      </c>
      <c r="G966" s="12" t="str">
        <f t="shared" si="46"/>
        <v>Sat</v>
      </c>
      <c r="H966" s="12">
        <v>1</v>
      </c>
      <c r="I966" s="12" t="str">
        <f t="shared" si="47"/>
        <v>mist/cloudy</v>
      </c>
      <c r="J966" s="12">
        <v>0.28000000000000003</v>
      </c>
      <c r="K966" s="12">
        <v>0.2727</v>
      </c>
      <c r="L966" s="12">
        <v>0.38</v>
      </c>
      <c r="M966" s="12">
        <v>0.16420000000000001</v>
      </c>
      <c r="N966" s="12">
        <v>2</v>
      </c>
      <c r="O966" s="12">
        <v>39</v>
      </c>
      <c r="P966" s="13">
        <v>41</v>
      </c>
    </row>
    <row r="967" spans="1:16" x14ac:dyDescent="0.25">
      <c r="A967" s="6">
        <v>966</v>
      </c>
      <c r="B967" s="7">
        <v>40586</v>
      </c>
      <c r="C967" s="8">
        <v>20</v>
      </c>
      <c r="D967" s="8" t="b">
        <v>0</v>
      </c>
      <c r="E967" s="8" t="str">
        <f t="shared" si="45"/>
        <v>Working Day</v>
      </c>
      <c r="F967" s="8">
        <v>6</v>
      </c>
      <c r="G967" s="8" t="str">
        <f t="shared" si="46"/>
        <v>Sat</v>
      </c>
      <c r="H967" s="8">
        <v>1</v>
      </c>
      <c r="I967" s="8" t="str">
        <f t="shared" si="47"/>
        <v>mist/cloudy</v>
      </c>
      <c r="J967" s="8">
        <v>0.26</v>
      </c>
      <c r="K967" s="8">
        <v>0.2576</v>
      </c>
      <c r="L967" s="8">
        <v>0.41</v>
      </c>
      <c r="M967" s="8">
        <v>0.22389999999999999</v>
      </c>
      <c r="N967" s="8">
        <v>1</v>
      </c>
      <c r="O967" s="8">
        <v>39</v>
      </c>
      <c r="P967" s="9">
        <v>40</v>
      </c>
    </row>
    <row r="968" spans="1:16" x14ac:dyDescent="0.25">
      <c r="A968" s="10">
        <v>967</v>
      </c>
      <c r="B968" s="11">
        <v>40586</v>
      </c>
      <c r="C968" s="12">
        <v>21</v>
      </c>
      <c r="D968" s="12" t="b">
        <v>0</v>
      </c>
      <c r="E968" s="12" t="str">
        <f t="shared" si="45"/>
        <v>Working Day</v>
      </c>
      <c r="F968" s="12">
        <v>6</v>
      </c>
      <c r="G968" s="12" t="str">
        <f t="shared" si="46"/>
        <v>Sat</v>
      </c>
      <c r="H968" s="12">
        <v>1</v>
      </c>
      <c r="I968" s="12" t="str">
        <f t="shared" si="47"/>
        <v>mist/cloudy</v>
      </c>
      <c r="J968" s="12">
        <v>0.26</v>
      </c>
      <c r="K968" s="12">
        <v>0.30299999999999999</v>
      </c>
      <c r="L968" s="12">
        <v>0.41</v>
      </c>
      <c r="M968" s="12">
        <v>0</v>
      </c>
      <c r="N968" s="12">
        <v>9</v>
      </c>
      <c r="O968" s="12">
        <v>42</v>
      </c>
      <c r="P968" s="13">
        <v>51</v>
      </c>
    </row>
    <row r="969" spans="1:16" x14ac:dyDescent="0.25">
      <c r="A969" s="6">
        <v>968</v>
      </c>
      <c r="B969" s="7">
        <v>40586</v>
      </c>
      <c r="C969" s="8">
        <v>22</v>
      </c>
      <c r="D969" s="8" t="b">
        <v>0</v>
      </c>
      <c r="E969" s="8" t="str">
        <f t="shared" si="45"/>
        <v>Working Day</v>
      </c>
      <c r="F969" s="8">
        <v>6</v>
      </c>
      <c r="G969" s="8" t="str">
        <f t="shared" si="46"/>
        <v>Sat</v>
      </c>
      <c r="H969" s="8">
        <v>1</v>
      </c>
      <c r="I969" s="8" t="str">
        <f t="shared" si="47"/>
        <v>mist/cloudy</v>
      </c>
      <c r="J969" s="8">
        <v>0.24</v>
      </c>
      <c r="K969" s="8">
        <v>0.2576</v>
      </c>
      <c r="L969" s="8">
        <v>0.44</v>
      </c>
      <c r="M969" s="8">
        <v>8.9599999999999999E-2</v>
      </c>
      <c r="N969" s="8">
        <v>6</v>
      </c>
      <c r="O969" s="8">
        <v>39</v>
      </c>
      <c r="P969" s="9">
        <v>45</v>
      </c>
    </row>
    <row r="970" spans="1:16" x14ac:dyDescent="0.25">
      <c r="A970" s="10">
        <v>969</v>
      </c>
      <c r="B970" s="11">
        <v>40586</v>
      </c>
      <c r="C970" s="12">
        <v>23</v>
      </c>
      <c r="D970" s="12" t="b">
        <v>0</v>
      </c>
      <c r="E970" s="12" t="str">
        <f t="shared" si="45"/>
        <v>Working Day</v>
      </c>
      <c r="F970" s="12">
        <v>6</v>
      </c>
      <c r="G970" s="12" t="str">
        <f t="shared" si="46"/>
        <v>Sat</v>
      </c>
      <c r="H970" s="12">
        <v>1</v>
      </c>
      <c r="I970" s="12" t="str">
        <f t="shared" si="47"/>
        <v>mist/cloudy</v>
      </c>
      <c r="J970" s="12">
        <v>0.22</v>
      </c>
      <c r="K970" s="12">
        <v>0.2273</v>
      </c>
      <c r="L970" s="12">
        <v>0.51</v>
      </c>
      <c r="M970" s="12">
        <v>0.1343</v>
      </c>
      <c r="N970" s="12">
        <v>1</v>
      </c>
      <c r="O970" s="12">
        <v>31</v>
      </c>
      <c r="P970" s="13">
        <v>32</v>
      </c>
    </row>
    <row r="971" spans="1:16" x14ac:dyDescent="0.25">
      <c r="A971" s="6">
        <v>970</v>
      </c>
      <c r="B971" s="7">
        <v>40587</v>
      </c>
      <c r="C971" s="8">
        <v>0</v>
      </c>
      <c r="D971" s="8" t="b">
        <v>0</v>
      </c>
      <c r="E971" s="8" t="str">
        <f t="shared" si="45"/>
        <v>Working Day</v>
      </c>
      <c r="F971" s="8">
        <v>0</v>
      </c>
      <c r="G971" s="8" t="str">
        <f t="shared" si="46"/>
        <v>Sun</v>
      </c>
      <c r="H971" s="8">
        <v>1</v>
      </c>
      <c r="I971" s="8" t="str">
        <f t="shared" si="47"/>
        <v>mist/cloudy</v>
      </c>
      <c r="J971" s="8">
        <v>0.2</v>
      </c>
      <c r="K971" s="8">
        <v>0.2273</v>
      </c>
      <c r="L971" s="8">
        <v>0.64</v>
      </c>
      <c r="M971" s="8">
        <v>0.1045</v>
      </c>
      <c r="N971" s="8">
        <v>5</v>
      </c>
      <c r="O971" s="8">
        <v>34</v>
      </c>
      <c r="P971" s="9">
        <v>39</v>
      </c>
    </row>
    <row r="972" spans="1:16" x14ac:dyDescent="0.25">
      <c r="A972" s="10">
        <v>971</v>
      </c>
      <c r="B972" s="11">
        <v>40587</v>
      </c>
      <c r="C972" s="12">
        <v>1</v>
      </c>
      <c r="D972" s="12" t="b">
        <v>0</v>
      </c>
      <c r="E972" s="12" t="str">
        <f t="shared" si="45"/>
        <v>Working Day</v>
      </c>
      <c r="F972" s="12">
        <v>0</v>
      </c>
      <c r="G972" s="12" t="str">
        <f t="shared" si="46"/>
        <v>Sun</v>
      </c>
      <c r="H972" s="12">
        <v>1</v>
      </c>
      <c r="I972" s="12" t="str">
        <f t="shared" si="47"/>
        <v>mist/cloudy</v>
      </c>
      <c r="J972" s="12">
        <v>0.2</v>
      </c>
      <c r="K972" s="12">
        <v>0.2273</v>
      </c>
      <c r="L972" s="12">
        <v>0.59</v>
      </c>
      <c r="M972" s="12">
        <v>8.9599999999999999E-2</v>
      </c>
      <c r="N972" s="12">
        <v>1</v>
      </c>
      <c r="O972" s="12">
        <v>23</v>
      </c>
      <c r="P972" s="13">
        <v>24</v>
      </c>
    </row>
    <row r="973" spans="1:16" x14ac:dyDescent="0.25">
      <c r="A973" s="6">
        <v>972</v>
      </c>
      <c r="B973" s="7">
        <v>40587</v>
      </c>
      <c r="C973" s="8">
        <v>2</v>
      </c>
      <c r="D973" s="8" t="b">
        <v>0</v>
      </c>
      <c r="E973" s="8" t="str">
        <f t="shared" si="45"/>
        <v>Working Day</v>
      </c>
      <c r="F973" s="8">
        <v>0</v>
      </c>
      <c r="G973" s="8" t="str">
        <f t="shared" si="46"/>
        <v>Sun</v>
      </c>
      <c r="H973" s="8">
        <v>2</v>
      </c>
      <c r="I973" s="8" t="str">
        <f t="shared" si="47"/>
        <v>light rain</v>
      </c>
      <c r="J973" s="8">
        <v>0.2</v>
      </c>
      <c r="K973" s="8">
        <v>0.2273</v>
      </c>
      <c r="L973" s="8">
        <v>0.75</v>
      </c>
      <c r="M973" s="8">
        <v>8.9599999999999999E-2</v>
      </c>
      <c r="N973" s="8">
        <v>1</v>
      </c>
      <c r="O973" s="8">
        <v>19</v>
      </c>
      <c r="P973" s="9">
        <v>20</v>
      </c>
    </row>
    <row r="974" spans="1:16" x14ac:dyDescent="0.25">
      <c r="A974" s="10">
        <v>973</v>
      </c>
      <c r="B974" s="11">
        <v>40587</v>
      </c>
      <c r="C974" s="12">
        <v>3</v>
      </c>
      <c r="D974" s="12" t="b">
        <v>0</v>
      </c>
      <c r="E974" s="12" t="str">
        <f t="shared" si="45"/>
        <v>Working Day</v>
      </c>
      <c r="F974" s="12">
        <v>0</v>
      </c>
      <c r="G974" s="12" t="str">
        <f t="shared" si="46"/>
        <v>Sun</v>
      </c>
      <c r="H974" s="12">
        <v>2</v>
      </c>
      <c r="I974" s="12" t="str">
        <f t="shared" si="47"/>
        <v>light rain</v>
      </c>
      <c r="J974" s="12">
        <v>0.2</v>
      </c>
      <c r="K974" s="12">
        <v>0.2273</v>
      </c>
      <c r="L974" s="12">
        <v>0.69</v>
      </c>
      <c r="M974" s="12">
        <v>0.1045</v>
      </c>
      <c r="N974" s="12">
        <v>4</v>
      </c>
      <c r="O974" s="12">
        <v>8</v>
      </c>
      <c r="P974" s="13">
        <v>12</v>
      </c>
    </row>
    <row r="975" spans="1:16" x14ac:dyDescent="0.25">
      <c r="A975" s="6">
        <v>974</v>
      </c>
      <c r="B975" s="7">
        <v>40587</v>
      </c>
      <c r="C975" s="8">
        <v>4</v>
      </c>
      <c r="D975" s="8" t="b">
        <v>0</v>
      </c>
      <c r="E975" s="8" t="str">
        <f t="shared" si="45"/>
        <v>Working Day</v>
      </c>
      <c r="F975" s="8">
        <v>0</v>
      </c>
      <c r="G975" s="8" t="str">
        <f t="shared" si="46"/>
        <v>Sun</v>
      </c>
      <c r="H975" s="8">
        <v>2</v>
      </c>
      <c r="I975" s="8" t="str">
        <f t="shared" si="47"/>
        <v>light rain</v>
      </c>
      <c r="J975" s="8">
        <v>0.2</v>
      </c>
      <c r="K975" s="8">
        <v>0.21210000000000001</v>
      </c>
      <c r="L975" s="8">
        <v>0.69</v>
      </c>
      <c r="M975" s="8">
        <v>0.16420000000000001</v>
      </c>
      <c r="N975" s="8">
        <v>0</v>
      </c>
      <c r="O975" s="8">
        <v>2</v>
      </c>
      <c r="P975" s="9">
        <v>2</v>
      </c>
    </row>
    <row r="976" spans="1:16" x14ac:dyDescent="0.25">
      <c r="A976" s="10">
        <v>975</v>
      </c>
      <c r="B976" s="11">
        <v>40587</v>
      </c>
      <c r="C976" s="12">
        <v>6</v>
      </c>
      <c r="D976" s="12" t="b">
        <v>0</v>
      </c>
      <c r="E976" s="12" t="str">
        <f t="shared" si="45"/>
        <v>Working Day</v>
      </c>
      <c r="F976" s="12">
        <v>0</v>
      </c>
      <c r="G976" s="12" t="str">
        <f t="shared" si="46"/>
        <v>Sun</v>
      </c>
      <c r="H976" s="12">
        <v>2</v>
      </c>
      <c r="I976" s="12" t="str">
        <f t="shared" si="47"/>
        <v>light rain</v>
      </c>
      <c r="J976" s="12">
        <v>0.2</v>
      </c>
      <c r="K976" s="12">
        <v>0.21210000000000001</v>
      </c>
      <c r="L976" s="12">
        <v>0.69</v>
      </c>
      <c r="M976" s="12">
        <v>0.1343</v>
      </c>
      <c r="N976" s="12">
        <v>2</v>
      </c>
      <c r="O976" s="12">
        <v>3</v>
      </c>
      <c r="P976" s="13">
        <v>5</v>
      </c>
    </row>
    <row r="977" spans="1:16" x14ac:dyDescent="0.25">
      <c r="A977" s="6">
        <v>976</v>
      </c>
      <c r="B977" s="7">
        <v>40587</v>
      </c>
      <c r="C977" s="8">
        <v>7</v>
      </c>
      <c r="D977" s="8" t="b">
        <v>0</v>
      </c>
      <c r="E977" s="8" t="str">
        <f t="shared" si="45"/>
        <v>Working Day</v>
      </c>
      <c r="F977" s="8">
        <v>0</v>
      </c>
      <c r="G977" s="8" t="str">
        <f t="shared" si="46"/>
        <v>Sun</v>
      </c>
      <c r="H977" s="8">
        <v>2</v>
      </c>
      <c r="I977" s="8" t="str">
        <f t="shared" si="47"/>
        <v>light rain</v>
      </c>
      <c r="J977" s="8">
        <v>0.22</v>
      </c>
      <c r="K977" s="8">
        <v>0.2727</v>
      </c>
      <c r="L977" s="8">
        <v>0.55000000000000004</v>
      </c>
      <c r="M977" s="8">
        <v>0</v>
      </c>
      <c r="N977" s="8">
        <v>0</v>
      </c>
      <c r="O977" s="8">
        <v>3</v>
      </c>
      <c r="P977" s="9">
        <v>3</v>
      </c>
    </row>
    <row r="978" spans="1:16" x14ac:dyDescent="0.25">
      <c r="A978" s="10">
        <v>977</v>
      </c>
      <c r="B978" s="11">
        <v>40587</v>
      </c>
      <c r="C978" s="12">
        <v>8</v>
      </c>
      <c r="D978" s="12" t="b">
        <v>0</v>
      </c>
      <c r="E978" s="12" t="str">
        <f t="shared" si="45"/>
        <v>Working Day</v>
      </c>
      <c r="F978" s="12">
        <v>0</v>
      </c>
      <c r="G978" s="12" t="str">
        <f t="shared" si="46"/>
        <v>Sun</v>
      </c>
      <c r="H978" s="12">
        <v>2</v>
      </c>
      <c r="I978" s="12" t="str">
        <f t="shared" si="47"/>
        <v>light rain</v>
      </c>
      <c r="J978" s="12">
        <v>0.22</v>
      </c>
      <c r="K978" s="12">
        <v>0.2273</v>
      </c>
      <c r="L978" s="12">
        <v>0.64</v>
      </c>
      <c r="M978" s="12">
        <v>0.19400000000000001</v>
      </c>
      <c r="N978" s="12">
        <v>1</v>
      </c>
      <c r="O978" s="12">
        <v>11</v>
      </c>
      <c r="P978" s="13">
        <v>12</v>
      </c>
    </row>
    <row r="979" spans="1:16" x14ac:dyDescent="0.25">
      <c r="A979" s="6">
        <v>978</v>
      </c>
      <c r="B979" s="7">
        <v>40587</v>
      </c>
      <c r="C979" s="8">
        <v>9</v>
      </c>
      <c r="D979" s="8" t="b">
        <v>0</v>
      </c>
      <c r="E979" s="8" t="str">
        <f t="shared" si="45"/>
        <v>Working Day</v>
      </c>
      <c r="F979" s="8">
        <v>0</v>
      </c>
      <c r="G979" s="8" t="str">
        <f t="shared" si="46"/>
        <v>Sun</v>
      </c>
      <c r="H979" s="8">
        <v>2</v>
      </c>
      <c r="I979" s="8" t="str">
        <f t="shared" si="47"/>
        <v>light rain</v>
      </c>
      <c r="J979" s="8">
        <v>0.24</v>
      </c>
      <c r="K979" s="8">
        <v>0.2273</v>
      </c>
      <c r="L979" s="8">
        <v>0.6</v>
      </c>
      <c r="M979" s="8">
        <v>0.22389999999999999</v>
      </c>
      <c r="N979" s="8">
        <v>12</v>
      </c>
      <c r="O979" s="8">
        <v>35</v>
      </c>
      <c r="P979" s="9">
        <v>47</v>
      </c>
    </row>
    <row r="980" spans="1:16" x14ac:dyDescent="0.25">
      <c r="A980" s="10">
        <v>979</v>
      </c>
      <c r="B980" s="11">
        <v>40587</v>
      </c>
      <c r="C980" s="12">
        <v>10</v>
      </c>
      <c r="D980" s="12" t="b">
        <v>0</v>
      </c>
      <c r="E980" s="12" t="str">
        <f t="shared" si="45"/>
        <v>Working Day</v>
      </c>
      <c r="F980" s="12">
        <v>0</v>
      </c>
      <c r="G980" s="12" t="str">
        <f t="shared" si="46"/>
        <v>Sun</v>
      </c>
      <c r="H980" s="12">
        <v>1</v>
      </c>
      <c r="I980" s="12" t="str">
        <f t="shared" si="47"/>
        <v>mist/cloudy</v>
      </c>
      <c r="J980" s="12">
        <v>0.3</v>
      </c>
      <c r="K980" s="12">
        <v>0.2727</v>
      </c>
      <c r="L980" s="12">
        <v>0.45</v>
      </c>
      <c r="M980" s="12">
        <v>0.32840000000000003</v>
      </c>
      <c r="N980" s="12">
        <v>19</v>
      </c>
      <c r="O980" s="12">
        <v>86</v>
      </c>
      <c r="P980" s="13">
        <v>105</v>
      </c>
    </row>
    <row r="981" spans="1:16" x14ac:dyDescent="0.25">
      <c r="A981" s="6">
        <v>980</v>
      </c>
      <c r="B981" s="7">
        <v>40587</v>
      </c>
      <c r="C981" s="8">
        <v>11</v>
      </c>
      <c r="D981" s="8" t="b">
        <v>0</v>
      </c>
      <c r="E981" s="8" t="str">
        <f t="shared" si="45"/>
        <v>Working Day</v>
      </c>
      <c r="F981" s="8">
        <v>0</v>
      </c>
      <c r="G981" s="8" t="str">
        <f t="shared" si="46"/>
        <v>Sun</v>
      </c>
      <c r="H981" s="8">
        <v>1</v>
      </c>
      <c r="I981" s="8" t="str">
        <f t="shared" si="47"/>
        <v>mist/cloudy</v>
      </c>
      <c r="J981" s="8">
        <v>0.32</v>
      </c>
      <c r="K981" s="8">
        <v>0.28789999999999999</v>
      </c>
      <c r="L981" s="8">
        <v>0.39</v>
      </c>
      <c r="M981" s="8">
        <v>0.44779999999999998</v>
      </c>
      <c r="N981" s="8">
        <v>26</v>
      </c>
      <c r="O981" s="8">
        <v>86</v>
      </c>
      <c r="P981" s="9">
        <v>112</v>
      </c>
    </row>
    <row r="982" spans="1:16" x14ac:dyDescent="0.25">
      <c r="A982" s="10">
        <v>981</v>
      </c>
      <c r="B982" s="11">
        <v>40587</v>
      </c>
      <c r="C982" s="12">
        <v>12</v>
      </c>
      <c r="D982" s="12" t="b">
        <v>0</v>
      </c>
      <c r="E982" s="12" t="str">
        <f t="shared" si="45"/>
        <v>Working Day</v>
      </c>
      <c r="F982" s="12">
        <v>0</v>
      </c>
      <c r="G982" s="12" t="str">
        <f t="shared" si="46"/>
        <v>Sun</v>
      </c>
      <c r="H982" s="12">
        <v>1</v>
      </c>
      <c r="I982" s="12" t="str">
        <f t="shared" si="47"/>
        <v>mist/cloudy</v>
      </c>
      <c r="J982" s="12">
        <v>0.36</v>
      </c>
      <c r="K982" s="12">
        <v>0.31819999999999998</v>
      </c>
      <c r="L982" s="12">
        <v>0.32</v>
      </c>
      <c r="M982" s="12">
        <v>0.4627</v>
      </c>
      <c r="N982" s="12">
        <v>58</v>
      </c>
      <c r="O982" s="12">
        <v>94</v>
      </c>
      <c r="P982" s="13">
        <v>152</v>
      </c>
    </row>
    <row r="983" spans="1:16" x14ac:dyDescent="0.25">
      <c r="A983" s="6">
        <v>982</v>
      </c>
      <c r="B983" s="7">
        <v>40587</v>
      </c>
      <c r="C983" s="8">
        <v>13</v>
      </c>
      <c r="D983" s="8" t="b">
        <v>0</v>
      </c>
      <c r="E983" s="8" t="str">
        <f t="shared" si="45"/>
        <v>Working Day</v>
      </c>
      <c r="F983" s="8">
        <v>0</v>
      </c>
      <c r="G983" s="8" t="str">
        <f t="shared" si="46"/>
        <v>Sun</v>
      </c>
      <c r="H983" s="8">
        <v>1</v>
      </c>
      <c r="I983" s="8" t="str">
        <f t="shared" si="47"/>
        <v>mist/cloudy</v>
      </c>
      <c r="J983" s="8">
        <v>0.38</v>
      </c>
      <c r="K983" s="8">
        <v>0.39389999999999997</v>
      </c>
      <c r="L983" s="8">
        <v>0.28999999999999998</v>
      </c>
      <c r="M983" s="8">
        <v>0.35820000000000002</v>
      </c>
      <c r="N983" s="8">
        <v>62</v>
      </c>
      <c r="O983" s="8">
        <v>92</v>
      </c>
      <c r="P983" s="9">
        <v>154</v>
      </c>
    </row>
    <row r="984" spans="1:16" x14ac:dyDescent="0.25">
      <c r="A984" s="10">
        <v>983</v>
      </c>
      <c r="B984" s="11">
        <v>40587</v>
      </c>
      <c r="C984" s="12">
        <v>14</v>
      </c>
      <c r="D984" s="12" t="b">
        <v>0</v>
      </c>
      <c r="E984" s="12" t="str">
        <f t="shared" si="45"/>
        <v>Working Day</v>
      </c>
      <c r="F984" s="12">
        <v>0</v>
      </c>
      <c r="G984" s="12" t="str">
        <f t="shared" si="46"/>
        <v>Sun</v>
      </c>
      <c r="H984" s="12">
        <v>2</v>
      </c>
      <c r="I984" s="12" t="str">
        <f t="shared" si="47"/>
        <v>light rain</v>
      </c>
      <c r="J984" s="12">
        <v>0.4</v>
      </c>
      <c r="K984" s="12">
        <v>0.40910000000000002</v>
      </c>
      <c r="L984" s="12">
        <v>0.3</v>
      </c>
      <c r="M984" s="12">
        <v>0.41789999999999999</v>
      </c>
      <c r="N984" s="12">
        <v>51</v>
      </c>
      <c r="O984" s="12">
        <v>110</v>
      </c>
      <c r="P984" s="13">
        <v>161</v>
      </c>
    </row>
    <row r="985" spans="1:16" x14ac:dyDescent="0.25">
      <c r="A985" s="6">
        <v>984</v>
      </c>
      <c r="B985" s="7">
        <v>40587</v>
      </c>
      <c r="C985" s="8">
        <v>15</v>
      </c>
      <c r="D985" s="8" t="b">
        <v>0</v>
      </c>
      <c r="E985" s="8" t="str">
        <f t="shared" si="45"/>
        <v>Working Day</v>
      </c>
      <c r="F985" s="8">
        <v>0</v>
      </c>
      <c r="G985" s="8" t="str">
        <f t="shared" si="46"/>
        <v>Sun</v>
      </c>
      <c r="H985" s="8">
        <v>2</v>
      </c>
      <c r="I985" s="8" t="str">
        <f t="shared" si="47"/>
        <v>light rain</v>
      </c>
      <c r="J985" s="8">
        <v>0.4</v>
      </c>
      <c r="K985" s="8">
        <v>0.40910000000000002</v>
      </c>
      <c r="L985" s="8">
        <v>0.3</v>
      </c>
      <c r="M985" s="8">
        <v>0.29849999999999999</v>
      </c>
      <c r="N985" s="8">
        <v>40</v>
      </c>
      <c r="O985" s="8">
        <v>122</v>
      </c>
      <c r="P985" s="9">
        <v>162</v>
      </c>
    </row>
    <row r="986" spans="1:16" x14ac:dyDescent="0.25">
      <c r="A986" s="10">
        <v>985</v>
      </c>
      <c r="B986" s="11">
        <v>40587</v>
      </c>
      <c r="C986" s="12">
        <v>16</v>
      </c>
      <c r="D986" s="12" t="b">
        <v>0</v>
      </c>
      <c r="E986" s="12" t="str">
        <f t="shared" si="45"/>
        <v>Working Day</v>
      </c>
      <c r="F986" s="12">
        <v>0</v>
      </c>
      <c r="G986" s="12" t="str">
        <f t="shared" si="46"/>
        <v>Sun</v>
      </c>
      <c r="H986" s="12">
        <v>2</v>
      </c>
      <c r="I986" s="12" t="str">
        <f t="shared" si="47"/>
        <v>light rain</v>
      </c>
      <c r="J986" s="12">
        <v>0.42</v>
      </c>
      <c r="K986" s="12">
        <v>0.42420000000000002</v>
      </c>
      <c r="L986" s="12">
        <v>0.28000000000000003</v>
      </c>
      <c r="M986" s="12">
        <v>0.32840000000000003</v>
      </c>
      <c r="N986" s="12">
        <v>28</v>
      </c>
      <c r="O986" s="12">
        <v>106</v>
      </c>
      <c r="P986" s="13">
        <v>134</v>
      </c>
    </row>
    <row r="987" spans="1:16" x14ac:dyDescent="0.25">
      <c r="A987" s="6">
        <v>986</v>
      </c>
      <c r="B987" s="7">
        <v>40587</v>
      </c>
      <c r="C987" s="8">
        <v>17</v>
      </c>
      <c r="D987" s="8" t="b">
        <v>0</v>
      </c>
      <c r="E987" s="8" t="str">
        <f t="shared" si="45"/>
        <v>Working Day</v>
      </c>
      <c r="F987" s="8">
        <v>0</v>
      </c>
      <c r="G987" s="8" t="str">
        <f t="shared" si="46"/>
        <v>Sun</v>
      </c>
      <c r="H987" s="8">
        <v>1</v>
      </c>
      <c r="I987" s="8" t="str">
        <f t="shared" si="47"/>
        <v>mist/cloudy</v>
      </c>
      <c r="J987" s="8">
        <v>0.42</v>
      </c>
      <c r="K987" s="8">
        <v>0.42420000000000002</v>
      </c>
      <c r="L987" s="8">
        <v>0.28000000000000003</v>
      </c>
      <c r="M987" s="8">
        <v>0.32840000000000003</v>
      </c>
      <c r="N987" s="8">
        <v>30</v>
      </c>
      <c r="O987" s="8">
        <v>95</v>
      </c>
      <c r="P987" s="9">
        <v>125</v>
      </c>
    </row>
    <row r="988" spans="1:16" x14ac:dyDescent="0.25">
      <c r="A988" s="10">
        <v>987</v>
      </c>
      <c r="B988" s="11">
        <v>40587</v>
      </c>
      <c r="C988" s="12">
        <v>18</v>
      </c>
      <c r="D988" s="12" t="b">
        <v>0</v>
      </c>
      <c r="E988" s="12" t="str">
        <f t="shared" si="45"/>
        <v>Working Day</v>
      </c>
      <c r="F988" s="12">
        <v>0</v>
      </c>
      <c r="G988" s="12" t="str">
        <f t="shared" si="46"/>
        <v>Sun</v>
      </c>
      <c r="H988" s="12">
        <v>1</v>
      </c>
      <c r="I988" s="12" t="str">
        <f t="shared" si="47"/>
        <v>mist/cloudy</v>
      </c>
      <c r="J988" s="12">
        <v>0.4</v>
      </c>
      <c r="K988" s="12">
        <v>0.40910000000000002</v>
      </c>
      <c r="L988" s="12">
        <v>0.32</v>
      </c>
      <c r="M988" s="12">
        <v>0.29849999999999999</v>
      </c>
      <c r="N988" s="12">
        <v>17</v>
      </c>
      <c r="O988" s="12">
        <v>78</v>
      </c>
      <c r="P988" s="13">
        <v>95</v>
      </c>
    </row>
    <row r="989" spans="1:16" x14ac:dyDescent="0.25">
      <c r="A989" s="6">
        <v>988</v>
      </c>
      <c r="B989" s="7">
        <v>40587</v>
      </c>
      <c r="C989" s="8">
        <v>19</v>
      </c>
      <c r="D989" s="8" t="b">
        <v>0</v>
      </c>
      <c r="E989" s="8" t="str">
        <f t="shared" si="45"/>
        <v>Working Day</v>
      </c>
      <c r="F989" s="8">
        <v>0</v>
      </c>
      <c r="G989" s="8" t="str">
        <f t="shared" si="46"/>
        <v>Sun</v>
      </c>
      <c r="H989" s="8">
        <v>1</v>
      </c>
      <c r="I989" s="8" t="str">
        <f t="shared" si="47"/>
        <v>mist/cloudy</v>
      </c>
      <c r="J989" s="8">
        <v>0.4</v>
      </c>
      <c r="K989" s="8">
        <v>0.40910000000000002</v>
      </c>
      <c r="L989" s="8">
        <v>0.35</v>
      </c>
      <c r="M989" s="8">
        <v>0.28360000000000002</v>
      </c>
      <c r="N989" s="8">
        <v>11</v>
      </c>
      <c r="O989" s="8">
        <v>50</v>
      </c>
      <c r="P989" s="9">
        <v>61</v>
      </c>
    </row>
    <row r="990" spans="1:16" x14ac:dyDescent="0.25">
      <c r="A990" s="10">
        <v>989</v>
      </c>
      <c r="B990" s="11">
        <v>40587</v>
      </c>
      <c r="C990" s="12">
        <v>20</v>
      </c>
      <c r="D990" s="12" t="b">
        <v>0</v>
      </c>
      <c r="E990" s="12" t="str">
        <f t="shared" si="45"/>
        <v>Working Day</v>
      </c>
      <c r="F990" s="12">
        <v>0</v>
      </c>
      <c r="G990" s="12" t="str">
        <f t="shared" si="46"/>
        <v>Sun</v>
      </c>
      <c r="H990" s="12">
        <v>1</v>
      </c>
      <c r="I990" s="12" t="str">
        <f t="shared" si="47"/>
        <v>mist/cloudy</v>
      </c>
      <c r="J990" s="12">
        <v>0.4</v>
      </c>
      <c r="K990" s="12">
        <v>0.40910000000000002</v>
      </c>
      <c r="L990" s="12">
        <v>0.35</v>
      </c>
      <c r="M990" s="12">
        <v>0.32840000000000003</v>
      </c>
      <c r="N990" s="12">
        <v>15</v>
      </c>
      <c r="O990" s="12">
        <v>32</v>
      </c>
      <c r="P990" s="13">
        <v>47</v>
      </c>
    </row>
    <row r="991" spans="1:16" x14ac:dyDescent="0.25">
      <c r="A991" s="6">
        <v>990</v>
      </c>
      <c r="B991" s="7">
        <v>40587</v>
      </c>
      <c r="C991" s="8">
        <v>21</v>
      </c>
      <c r="D991" s="8" t="b">
        <v>0</v>
      </c>
      <c r="E991" s="8" t="str">
        <f t="shared" si="45"/>
        <v>Working Day</v>
      </c>
      <c r="F991" s="8">
        <v>0</v>
      </c>
      <c r="G991" s="8" t="str">
        <f t="shared" si="46"/>
        <v>Sun</v>
      </c>
      <c r="H991" s="8">
        <v>1</v>
      </c>
      <c r="I991" s="8" t="str">
        <f t="shared" si="47"/>
        <v>mist/cloudy</v>
      </c>
      <c r="J991" s="8">
        <v>0.4</v>
      </c>
      <c r="K991" s="8">
        <v>0.40910000000000002</v>
      </c>
      <c r="L991" s="8">
        <v>0.35</v>
      </c>
      <c r="M991" s="8">
        <v>0.35820000000000002</v>
      </c>
      <c r="N991" s="8">
        <v>6</v>
      </c>
      <c r="O991" s="8">
        <v>45</v>
      </c>
      <c r="P991" s="9">
        <v>51</v>
      </c>
    </row>
    <row r="992" spans="1:16" x14ac:dyDescent="0.25">
      <c r="A992" s="10">
        <v>991</v>
      </c>
      <c r="B992" s="11">
        <v>40587</v>
      </c>
      <c r="C992" s="12">
        <v>22</v>
      </c>
      <c r="D992" s="12" t="b">
        <v>0</v>
      </c>
      <c r="E992" s="12" t="str">
        <f t="shared" si="45"/>
        <v>Working Day</v>
      </c>
      <c r="F992" s="12">
        <v>0</v>
      </c>
      <c r="G992" s="12" t="str">
        <f t="shared" si="46"/>
        <v>Sun</v>
      </c>
      <c r="H992" s="12">
        <v>1</v>
      </c>
      <c r="I992" s="12" t="str">
        <f t="shared" si="47"/>
        <v>mist/cloudy</v>
      </c>
      <c r="J992" s="12">
        <v>0.4</v>
      </c>
      <c r="K992" s="12">
        <v>0.40910000000000002</v>
      </c>
      <c r="L992" s="12">
        <v>0.35</v>
      </c>
      <c r="M992" s="12">
        <v>0.29849999999999999</v>
      </c>
      <c r="N992" s="12">
        <v>5</v>
      </c>
      <c r="O992" s="12">
        <v>31</v>
      </c>
      <c r="P992" s="13">
        <v>36</v>
      </c>
    </row>
    <row r="993" spans="1:16" x14ac:dyDescent="0.25">
      <c r="A993" s="6">
        <v>992</v>
      </c>
      <c r="B993" s="7">
        <v>40587</v>
      </c>
      <c r="C993" s="8">
        <v>23</v>
      </c>
      <c r="D993" s="8" t="b">
        <v>0</v>
      </c>
      <c r="E993" s="8" t="str">
        <f t="shared" si="45"/>
        <v>Working Day</v>
      </c>
      <c r="F993" s="8">
        <v>0</v>
      </c>
      <c r="G993" s="8" t="str">
        <f t="shared" si="46"/>
        <v>Sun</v>
      </c>
      <c r="H993" s="8">
        <v>1</v>
      </c>
      <c r="I993" s="8" t="str">
        <f t="shared" si="47"/>
        <v>mist/cloudy</v>
      </c>
      <c r="J993" s="8">
        <v>0.4</v>
      </c>
      <c r="K993" s="8">
        <v>0.40910000000000002</v>
      </c>
      <c r="L993" s="8">
        <v>0.35</v>
      </c>
      <c r="M993" s="8">
        <v>0.35820000000000002</v>
      </c>
      <c r="N993" s="8">
        <v>3</v>
      </c>
      <c r="O993" s="8">
        <v>27</v>
      </c>
      <c r="P993" s="9">
        <v>30</v>
      </c>
    </row>
    <row r="994" spans="1:16" x14ac:dyDescent="0.25">
      <c r="A994" s="10">
        <v>993</v>
      </c>
      <c r="B994" s="11">
        <v>40588</v>
      </c>
      <c r="C994" s="12">
        <v>0</v>
      </c>
      <c r="D994" s="12" t="b">
        <v>0</v>
      </c>
      <c r="E994" s="12" t="str">
        <f t="shared" si="45"/>
        <v>Working Day</v>
      </c>
      <c r="F994" s="12">
        <v>1</v>
      </c>
      <c r="G994" s="12" t="str">
        <f t="shared" si="46"/>
        <v>Mon</v>
      </c>
      <c r="H994" s="12">
        <v>1</v>
      </c>
      <c r="I994" s="12" t="str">
        <f t="shared" si="47"/>
        <v>mist/cloudy</v>
      </c>
      <c r="J994" s="12">
        <v>0.38</v>
      </c>
      <c r="K994" s="12">
        <v>0.39389999999999997</v>
      </c>
      <c r="L994" s="12">
        <v>0.37</v>
      </c>
      <c r="M994" s="12">
        <v>0.35820000000000002</v>
      </c>
      <c r="N994" s="12">
        <v>3</v>
      </c>
      <c r="O994" s="12">
        <v>8</v>
      </c>
      <c r="P994" s="13">
        <v>11</v>
      </c>
    </row>
    <row r="995" spans="1:16" x14ac:dyDescent="0.25">
      <c r="A995" s="6">
        <v>994</v>
      </c>
      <c r="B995" s="7">
        <v>40588</v>
      </c>
      <c r="C995" s="8">
        <v>1</v>
      </c>
      <c r="D995" s="8" t="b">
        <v>0</v>
      </c>
      <c r="E995" s="8" t="str">
        <f t="shared" si="45"/>
        <v>Working Day</v>
      </c>
      <c r="F995" s="8">
        <v>1</v>
      </c>
      <c r="G995" s="8" t="str">
        <f t="shared" si="46"/>
        <v>Mon</v>
      </c>
      <c r="H995" s="8">
        <v>1</v>
      </c>
      <c r="I995" s="8" t="str">
        <f t="shared" si="47"/>
        <v>mist/cloudy</v>
      </c>
      <c r="J995" s="8">
        <v>0.38</v>
      </c>
      <c r="K995" s="8">
        <v>0.39389999999999997</v>
      </c>
      <c r="L995" s="8">
        <v>0.37</v>
      </c>
      <c r="M995" s="8">
        <v>0.35820000000000002</v>
      </c>
      <c r="N995" s="8">
        <v>1</v>
      </c>
      <c r="O995" s="8">
        <v>6</v>
      </c>
      <c r="P995" s="9">
        <v>7</v>
      </c>
    </row>
    <row r="996" spans="1:16" x14ac:dyDescent="0.25">
      <c r="A996" s="10">
        <v>995</v>
      </c>
      <c r="B996" s="11">
        <v>40588</v>
      </c>
      <c r="C996" s="12">
        <v>2</v>
      </c>
      <c r="D996" s="12" t="b">
        <v>0</v>
      </c>
      <c r="E996" s="12" t="str">
        <f t="shared" si="45"/>
        <v>Working Day</v>
      </c>
      <c r="F996" s="12">
        <v>1</v>
      </c>
      <c r="G996" s="12" t="str">
        <f t="shared" si="46"/>
        <v>Mon</v>
      </c>
      <c r="H996" s="12">
        <v>1</v>
      </c>
      <c r="I996" s="12" t="str">
        <f t="shared" si="47"/>
        <v>mist/cloudy</v>
      </c>
      <c r="J996" s="12">
        <v>0.36</v>
      </c>
      <c r="K996" s="12">
        <v>0.33329999999999999</v>
      </c>
      <c r="L996" s="12">
        <v>0.4</v>
      </c>
      <c r="M996" s="12">
        <v>0.29849999999999999</v>
      </c>
      <c r="N996" s="12">
        <v>0</v>
      </c>
      <c r="O996" s="12">
        <v>2</v>
      </c>
      <c r="P996" s="13">
        <v>2</v>
      </c>
    </row>
    <row r="997" spans="1:16" x14ac:dyDescent="0.25">
      <c r="A997" s="6">
        <v>996</v>
      </c>
      <c r="B997" s="7">
        <v>40588</v>
      </c>
      <c r="C997" s="8">
        <v>3</v>
      </c>
      <c r="D997" s="8" t="b">
        <v>0</v>
      </c>
      <c r="E997" s="8" t="str">
        <f t="shared" si="45"/>
        <v>Working Day</v>
      </c>
      <c r="F997" s="8">
        <v>1</v>
      </c>
      <c r="G997" s="8" t="str">
        <f t="shared" si="46"/>
        <v>Mon</v>
      </c>
      <c r="H997" s="8">
        <v>1</v>
      </c>
      <c r="I997" s="8" t="str">
        <f t="shared" si="47"/>
        <v>mist/cloudy</v>
      </c>
      <c r="J997" s="8">
        <v>0.34</v>
      </c>
      <c r="K997" s="8">
        <v>0.31819999999999998</v>
      </c>
      <c r="L997" s="8">
        <v>0.46</v>
      </c>
      <c r="M997" s="8">
        <v>0.22389999999999999</v>
      </c>
      <c r="N997" s="8">
        <v>1</v>
      </c>
      <c r="O997" s="8">
        <v>1</v>
      </c>
      <c r="P997" s="9">
        <v>2</v>
      </c>
    </row>
    <row r="998" spans="1:16" x14ac:dyDescent="0.25">
      <c r="A998" s="10">
        <v>997</v>
      </c>
      <c r="B998" s="11">
        <v>40588</v>
      </c>
      <c r="C998" s="12">
        <v>4</v>
      </c>
      <c r="D998" s="12" t="b">
        <v>0</v>
      </c>
      <c r="E998" s="12" t="str">
        <f t="shared" si="45"/>
        <v>Working Day</v>
      </c>
      <c r="F998" s="12">
        <v>1</v>
      </c>
      <c r="G998" s="12" t="str">
        <f t="shared" si="46"/>
        <v>Mon</v>
      </c>
      <c r="H998" s="12">
        <v>1</v>
      </c>
      <c r="I998" s="12" t="str">
        <f t="shared" si="47"/>
        <v>mist/cloudy</v>
      </c>
      <c r="J998" s="12">
        <v>0.32</v>
      </c>
      <c r="K998" s="12">
        <v>0.30299999999999999</v>
      </c>
      <c r="L998" s="12">
        <v>0.53</v>
      </c>
      <c r="M998" s="12">
        <v>0.28360000000000002</v>
      </c>
      <c r="N998" s="12">
        <v>0</v>
      </c>
      <c r="O998" s="12">
        <v>2</v>
      </c>
      <c r="P998" s="13">
        <v>2</v>
      </c>
    </row>
    <row r="999" spans="1:16" x14ac:dyDescent="0.25">
      <c r="A999" s="6">
        <v>998</v>
      </c>
      <c r="B999" s="7">
        <v>40588</v>
      </c>
      <c r="C999" s="8">
        <v>5</v>
      </c>
      <c r="D999" s="8" t="b">
        <v>0</v>
      </c>
      <c r="E999" s="8" t="str">
        <f t="shared" si="45"/>
        <v>Working Day</v>
      </c>
      <c r="F999" s="8">
        <v>1</v>
      </c>
      <c r="G999" s="8" t="str">
        <f t="shared" si="46"/>
        <v>Mon</v>
      </c>
      <c r="H999" s="8">
        <v>1</v>
      </c>
      <c r="I999" s="8" t="str">
        <f t="shared" si="47"/>
        <v>mist/cloudy</v>
      </c>
      <c r="J999" s="8">
        <v>0.32</v>
      </c>
      <c r="K999" s="8">
        <v>0.30299999999999999</v>
      </c>
      <c r="L999" s="8">
        <v>0.53</v>
      </c>
      <c r="M999" s="8">
        <v>0.28360000000000002</v>
      </c>
      <c r="N999" s="8">
        <v>0</v>
      </c>
      <c r="O999" s="8">
        <v>3</v>
      </c>
      <c r="P999" s="9">
        <v>3</v>
      </c>
    </row>
    <row r="1000" spans="1:16" x14ac:dyDescent="0.25">
      <c r="A1000" s="10">
        <v>999</v>
      </c>
      <c r="B1000" s="11">
        <v>40588</v>
      </c>
      <c r="C1000" s="12">
        <v>6</v>
      </c>
      <c r="D1000" s="12" t="b">
        <v>0</v>
      </c>
      <c r="E1000" s="12" t="str">
        <f t="shared" si="45"/>
        <v>Working Day</v>
      </c>
      <c r="F1000" s="12">
        <v>1</v>
      </c>
      <c r="G1000" s="12" t="str">
        <f t="shared" si="46"/>
        <v>Mon</v>
      </c>
      <c r="H1000" s="12">
        <v>1</v>
      </c>
      <c r="I1000" s="12" t="str">
        <f t="shared" si="47"/>
        <v>mist/cloudy</v>
      </c>
      <c r="J1000" s="12">
        <v>0.34</v>
      </c>
      <c r="K1000" s="12">
        <v>0.30299999999999999</v>
      </c>
      <c r="L1000" s="12">
        <v>0.46</v>
      </c>
      <c r="M1000" s="12">
        <v>0.29849999999999999</v>
      </c>
      <c r="N1000" s="12">
        <v>1</v>
      </c>
      <c r="O1000" s="12">
        <v>25</v>
      </c>
      <c r="P1000" s="13">
        <v>26</v>
      </c>
    </row>
    <row r="1001" spans="1:16" x14ac:dyDescent="0.25">
      <c r="A1001" s="14">
        <v>1000</v>
      </c>
      <c r="B1001" s="15">
        <v>40588</v>
      </c>
      <c r="C1001" s="16">
        <v>7</v>
      </c>
      <c r="D1001" s="16" t="b">
        <v>0</v>
      </c>
      <c r="E1001" s="16" t="str">
        <f t="shared" si="45"/>
        <v>Working Day</v>
      </c>
      <c r="F1001" s="16">
        <v>1</v>
      </c>
      <c r="G1001" s="16" t="str">
        <f t="shared" si="46"/>
        <v>Mon</v>
      </c>
      <c r="H1001" s="16">
        <v>1</v>
      </c>
      <c r="I1001" s="16" t="str">
        <f t="shared" si="47"/>
        <v>mist/cloudy</v>
      </c>
      <c r="J1001" s="16">
        <v>0.34</v>
      </c>
      <c r="K1001" s="16">
        <v>0.30299999999999999</v>
      </c>
      <c r="L1001" s="16">
        <v>0.46</v>
      </c>
      <c r="M1001" s="16">
        <v>0.29849999999999999</v>
      </c>
      <c r="N1001" s="16">
        <v>2</v>
      </c>
      <c r="O1001" s="16">
        <v>96</v>
      </c>
      <c r="P1001" s="17">
        <v>98</v>
      </c>
    </row>
  </sheetData>
  <autoFilter ref="A1:P1"/>
  <conditionalFormatting sqref="S2:S14">
    <cfRule type="containsText" dxfId="49" priority="1" operator="containsText" text="mean,means,mode,minimum,maximum,sum,count,largest(1),smallest(1)">
      <formula>NOT(ISERROR(SEARCH("mean,means,mode,minimum,maximum,sum,count,largest(1),smallest(1)",S2)))</formula>
    </cfRule>
    <cfRule type="containsText" dxfId="48" priority="2" operator="containsText" text="Mean,Median,mode,maximum, minimum,sum,count,largest,smallest">
      <formula>NOT(ISERROR(SEARCH("Mean,Median,mode,maximum, minimum,sum,count,largest,smallest",S2)))</formula>
    </cfRule>
  </conditionalFormatting>
  <pageMargins left="0.7" right="0.7" top="0.75" bottom="0.75" header="0.3" footer="0.3"/>
  <pageSetup orientation="portrait" horizontalDpi="4294967295" verticalDpi="4294967295"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12"/>
  <sheetViews>
    <sheetView workbookViewId="0">
      <selection activeCell="N7" sqref="N7"/>
    </sheetView>
  </sheetViews>
  <sheetFormatPr defaultRowHeight="15" x14ac:dyDescent="0.25"/>
  <cols>
    <col min="1" max="1" width="13.5703125" customWidth="1"/>
    <col min="2" max="2" width="25.85546875" bestFit="1" customWidth="1"/>
    <col min="3" max="3" width="10.140625" bestFit="1" customWidth="1"/>
    <col min="4" max="4" width="8.85546875" bestFit="1" customWidth="1"/>
    <col min="5" max="5" width="11.5703125" bestFit="1" customWidth="1"/>
    <col min="6" max="6" width="11.28515625" bestFit="1" customWidth="1"/>
    <col min="13" max="13" width="24.140625" bestFit="1" customWidth="1"/>
  </cols>
  <sheetData>
    <row r="3" spans="1:14" x14ac:dyDescent="0.25">
      <c r="A3" s="26" t="s">
        <v>37</v>
      </c>
      <c r="B3" s="26" t="s">
        <v>36</v>
      </c>
      <c r="M3" s="46" t="s">
        <v>94</v>
      </c>
      <c r="N3" s="47"/>
    </row>
    <row r="4" spans="1:14" x14ac:dyDescent="0.25">
      <c r="A4" s="26" t="s">
        <v>48</v>
      </c>
      <c r="B4" t="s">
        <v>41</v>
      </c>
      <c r="C4" t="s">
        <v>38</v>
      </c>
      <c r="D4" t="s">
        <v>39</v>
      </c>
      <c r="E4" t="s">
        <v>40</v>
      </c>
      <c r="F4" t="s">
        <v>35</v>
      </c>
      <c r="M4" s="38" t="s">
        <v>33</v>
      </c>
      <c r="N4" s="38">
        <v>6661</v>
      </c>
    </row>
    <row r="5" spans="1:14" x14ac:dyDescent="0.25">
      <c r="A5" s="27" t="s">
        <v>33</v>
      </c>
      <c r="B5" s="1"/>
      <c r="C5" s="1">
        <v>219</v>
      </c>
      <c r="D5" s="1">
        <v>1241</v>
      </c>
      <c r="E5" s="1">
        <v>6661</v>
      </c>
      <c r="F5" s="1">
        <v>8121</v>
      </c>
      <c r="M5" s="38" t="s">
        <v>95</v>
      </c>
      <c r="N5" s="38">
        <v>6638</v>
      </c>
    </row>
    <row r="6" spans="1:14" x14ac:dyDescent="0.25">
      <c r="A6" s="27" t="s">
        <v>83</v>
      </c>
      <c r="B6" s="1"/>
      <c r="C6" s="1">
        <v>271</v>
      </c>
      <c r="D6" s="1">
        <v>3975</v>
      </c>
      <c r="E6" s="1">
        <v>4204</v>
      </c>
      <c r="F6" s="1">
        <v>8450</v>
      </c>
    </row>
    <row r="7" spans="1:14" x14ac:dyDescent="0.25">
      <c r="A7" s="27" t="s">
        <v>84</v>
      </c>
      <c r="B7" s="1"/>
      <c r="C7" s="1">
        <v>475</v>
      </c>
      <c r="D7" s="1">
        <v>4315</v>
      </c>
      <c r="E7" s="1">
        <v>3593</v>
      </c>
      <c r="F7" s="1">
        <v>8383</v>
      </c>
    </row>
    <row r="8" spans="1:14" x14ac:dyDescent="0.25">
      <c r="A8" s="27" t="s">
        <v>85</v>
      </c>
      <c r="B8" s="1">
        <v>36</v>
      </c>
      <c r="C8" s="1">
        <v>951</v>
      </c>
      <c r="D8" s="1">
        <v>1606</v>
      </c>
      <c r="E8" s="1">
        <v>5456</v>
      </c>
      <c r="F8" s="1">
        <v>8049</v>
      </c>
    </row>
    <row r="9" spans="1:14" x14ac:dyDescent="0.25">
      <c r="A9" s="27" t="s">
        <v>86</v>
      </c>
      <c r="B9" s="1"/>
      <c r="C9" s="1">
        <v>26</v>
      </c>
      <c r="D9" s="1">
        <v>1794</v>
      </c>
      <c r="E9" s="1">
        <v>6638</v>
      </c>
      <c r="F9" s="1">
        <v>8458</v>
      </c>
    </row>
    <row r="10" spans="1:14" x14ac:dyDescent="0.25">
      <c r="A10" s="27" t="s">
        <v>87</v>
      </c>
      <c r="B10" s="1"/>
      <c r="C10" s="1">
        <v>286</v>
      </c>
      <c r="D10" s="1">
        <v>2636</v>
      </c>
      <c r="E10" s="1">
        <v>6173</v>
      </c>
      <c r="F10" s="1">
        <v>9095</v>
      </c>
    </row>
    <row r="11" spans="1:14" x14ac:dyDescent="0.25">
      <c r="A11" s="27" t="s">
        <v>34</v>
      </c>
      <c r="B11" s="1"/>
      <c r="C11" s="1">
        <v>561</v>
      </c>
      <c r="D11" s="1">
        <v>2539</v>
      </c>
      <c r="E11" s="1">
        <v>4648</v>
      </c>
      <c r="F11" s="1">
        <v>7748</v>
      </c>
    </row>
    <row r="12" spans="1:14" x14ac:dyDescent="0.25">
      <c r="A12" s="27" t="s">
        <v>35</v>
      </c>
      <c r="B12" s="1">
        <v>36</v>
      </c>
      <c r="C12" s="1">
        <v>2789</v>
      </c>
      <c r="D12" s="1">
        <v>18106</v>
      </c>
      <c r="E12" s="1">
        <v>37373</v>
      </c>
      <c r="F12" s="1">
        <v>58304</v>
      </c>
    </row>
  </sheetData>
  <mergeCells count="1">
    <mergeCell ref="M3:N3"/>
  </mergeCells>
  <conditionalFormatting pivot="1" sqref="C5:E11">
    <cfRule type="top10" dxfId="47" priority="1" rank="2"/>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12"/>
  <sheetViews>
    <sheetView workbookViewId="0">
      <selection activeCell="I23" sqref="I23"/>
    </sheetView>
  </sheetViews>
  <sheetFormatPr defaultRowHeight="15" x14ac:dyDescent="0.25"/>
  <cols>
    <col min="1" max="1" width="13.85546875" customWidth="1"/>
    <col min="2" max="2" width="16.28515625" style="28" customWidth="1"/>
    <col min="3" max="8" width="6.5703125" customWidth="1"/>
    <col min="9" max="9" width="11.28515625" customWidth="1"/>
    <col min="10" max="10" width="2" customWidth="1"/>
    <col min="11" max="99" width="3" customWidth="1"/>
    <col min="100" max="192" width="4" customWidth="1"/>
    <col min="193" max="193" width="11.28515625" bestFit="1" customWidth="1"/>
  </cols>
  <sheetData>
    <row r="1" spans="1:9" x14ac:dyDescent="0.25">
      <c r="B1"/>
    </row>
    <row r="3" spans="1:9" x14ac:dyDescent="0.25">
      <c r="A3" s="26" t="s">
        <v>42</v>
      </c>
      <c r="B3" s="26" t="s">
        <v>36</v>
      </c>
    </row>
    <row r="4" spans="1:9" x14ac:dyDescent="0.25">
      <c r="A4" s="26" t="s">
        <v>43</v>
      </c>
      <c r="B4" t="s">
        <v>33</v>
      </c>
      <c r="C4" t="s">
        <v>83</v>
      </c>
      <c r="D4" t="s">
        <v>84</v>
      </c>
      <c r="E4" t="s">
        <v>85</v>
      </c>
      <c r="F4" t="s">
        <v>86</v>
      </c>
      <c r="G4" t="s">
        <v>87</v>
      </c>
      <c r="H4" t="s">
        <v>34</v>
      </c>
      <c r="I4" t="s">
        <v>35</v>
      </c>
    </row>
    <row r="5" spans="1:9" x14ac:dyDescent="0.25">
      <c r="A5" s="27">
        <v>0</v>
      </c>
      <c r="B5" s="28">
        <v>30.571428571428573</v>
      </c>
      <c r="C5" s="28">
        <v>9.5714285714285712</v>
      </c>
      <c r="D5" s="28">
        <v>8.8000000000000007</v>
      </c>
      <c r="E5" s="28">
        <v>8.6666666666666661</v>
      </c>
      <c r="F5" s="28">
        <v>11.8</v>
      </c>
      <c r="G5" s="28">
        <v>14.666666666666666</v>
      </c>
      <c r="H5" s="28">
        <v>25.571428571428573</v>
      </c>
      <c r="I5" s="28">
        <v>16.348837209302324</v>
      </c>
    </row>
    <row r="6" spans="1:9" x14ac:dyDescent="0.25">
      <c r="A6" s="27">
        <v>1</v>
      </c>
      <c r="B6" s="28">
        <v>23.142857142857142</v>
      </c>
      <c r="C6" s="28">
        <v>5.5714285714285712</v>
      </c>
      <c r="D6" s="28">
        <v>3.4</v>
      </c>
      <c r="E6" s="28">
        <v>5.666666666666667</v>
      </c>
      <c r="F6" s="28">
        <v>4.5999999999999996</v>
      </c>
      <c r="G6" s="28">
        <v>5.833333333333333</v>
      </c>
      <c r="H6" s="28">
        <v>21.428571428571427</v>
      </c>
      <c r="I6" s="28">
        <v>10.697674418604651</v>
      </c>
    </row>
    <row r="7" spans="1:9" x14ac:dyDescent="0.25">
      <c r="A7" s="27">
        <v>2</v>
      </c>
      <c r="B7" s="28">
        <v>15</v>
      </c>
      <c r="C7" s="28">
        <v>3.4</v>
      </c>
      <c r="D7" s="28">
        <v>2</v>
      </c>
      <c r="E7" s="28">
        <v>3.8333333333333335</v>
      </c>
      <c r="F7" s="28">
        <v>2.2000000000000002</v>
      </c>
      <c r="G7" s="28">
        <v>1.6666666666666667</v>
      </c>
      <c r="H7" s="28">
        <v>16.857142857142858</v>
      </c>
      <c r="I7" s="28">
        <v>7.1707317073170733</v>
      </c>
    </row>
    <row r="8" spans="1:9" x14ac:dyDescent="0.25">
      <c r="A8" s="27">
        <v>3</v>
      </c>
      <c r="B8" s="28">
        <v>9</v>
      </c>
      <c r="C8" s="28">
        <v>1.5</v>
      </c>
      <c r="D8" s="28">
        <v>1.5</v>
      </c>
      <c r="E8" s="28">
        <v>1.5</v>
      </c>
      <c r="F8" s="28">
        <v>1.6666666666666667</v>
      </c>
      <c r="G8" s="28">
        <v>1</v>
      </c>
      <c r="H8" s="28">
        <v>9.1428571428571423</v>
      </c>
      <c r="I8" s="28">
        <v>4.870967741935484</v>
      </c>
    </row>
    <row r="9" spans="1:9" x14ac:dyDescent="0.25">
      <c r="A9" s="27">
        <v>4</v>
      </c>
      <c r="B9" s="28">
        <v>1.6666666666666667</v>
      </c>
      <c r="C9" s="28">
        <v>2</v>
      </c>
      <c r="D9" s="28">
        <v>2</v>
      </c>
      <c r="E9" s="28">
        <v>1.6666666666666667</v>
      </c>
      <c r="F9" s="28">
        <v>1.75</v>
      </c>
      <c r="G9" s="28">
        <v>1</v>
      </c>
      <c r="H9" s="28">
        <v>3.5714285714285716</v>
      </c>
      <c r="I9" s="28">
        <v>2.15625</v>
      </c>
    </row>
    <row r="10" spans="1:9" x14ac:dyDescent="0.25">
      <c r="A10" s="27">
        <v>5</v>
      </c>
      <c r="B10" s="28">
        <v>2</v>
      </c>
      <c r="C10" s="28">
        <v>4.7142857142857144</v>
      </c>
      <c r="D10" s="28">
        <v>4.8</v>
      </c>
      <c r="E10" s="28">
        <v>4.333333333333333</v>
      </c>
      <c r="F10" s="28">
        <v>4.2</v>
      </c>
      <c r="G10" s="28">
        <v>5.5</v>
      </c>
      <c r="H10" s="28">
        <v>3.4</v>
      </c>
      <c r="I10" s="28">
        <v>4.2051282051282053</v>
      </c>
    </row>
    <row r="11" spans="1:9" x14ac:dyDescent="0.25">
      <c r="A11" s="27">
        <v>6</v>
      </c>
      <c r="B11" s="28">
        <v>1.8333333333333333</v>
      </c>
      <c r="C11" s="28">
        <v>24.857142857142858</v>
      </c>
      <c r="D11" s="28">
        <v>32</v>
      </c>
      <c r="E11" s="28">
        <v>25</v>
      </c>
      <c r="F11" s="28">
        <v>32.799999999999997</v>
      </c>
      <c r="G11" s="28">
        <v>24.333333333333332</v>
      </c>
      <c r="H11" s="28">
        <v>2.4285714285714284</v>
      </c>
      <c r="I11" s="28">
        <v>19.571428571428573</v>
      </c>
    </row>
    <row r="12" spans="1:9" x14ac:dyDescent="0.25">
      <c r="A12" s="27">
        <v>7</v>
      </c>
      <c r="B12" s="28">
        <v>3.7142857142857144</v>
      </c>
      <c r="C12" s="28">
        <v>71.857142857142861</v>
      </c>
      <c r="D12" s="28">
        <v>90.6</v>
      </c>
      <c r="E12" s="28">
        <v>68.333333333333329</v>
      </c>
      <c r="F12" s="28">
        <v>90.8</v>
      </c>
      <c r="G12" s="28">
        <v>73.833333333333329</v>
      </c>
      <c r="H12" s="28">
        <v>7.1428571428571432</v>
      </c>
      <c r="I12" s="28">
        <v>54.395348837209305</v>
      </c>
    </row>
    <row r="13" spans="1:9" x14ac:dyDescent="0.25">
      <c r="A13" s="27">
        <v>8</v>
      </c>
      <c r="B13" s="28">
        <v>14.571428571428571</v>
      </c>
      <c r="C13" s="28">
        <v>161.16666666666666</v>
      </c>
      <c r="D13" s="28">
        <v>202.4</v>
      </c>
      <c r="E13" s="28">
        <v>157.66666666666666</v>
      </c>
      <c r="F13" s="28">
        <v>207.2</v>
      </c>
      <c r="G13" s="28">
        <v>196.33333333333334</v>
      </c>
      <c r="H13" s="28">
        <v>21</v>
      </c>
      <c r="I13" s="28">
        <v>128.28571428571428</v>
      </c>
    </row>
    <row r="14" spans="1:9" x14ac:dyDescent="0.25">
      <c r="A14" s="27">
        <v>9</v>
      </c>
      <c r="B14" s="28">
        <v>32.714285714285715</v>
      </c>
      <c r="C14" s="28">
        <v>93.5</v>
      </c>
      <c r="D14" s="28">
        <v>125</v>
      </c>
      <c r="E14" s="28">
        <v>101.5</v>
      </c>
      <c r="F14" s="28">
        <v>131.80000000000001</v>
      </c>
      <c r="G14" s="28">
        <v>130.83333333333334</v>
      </c>
      <c r="H14" s="28">
        <v>29.142857142857142</v>
      </c>
      <c r="I14" s="28">
        <v>87.428571428571431</v>
      </c>
    </row>
    <row r="15" spans="1:9" x14ac:dyDescent="0.25">
      <c r="A15" s="27">
        <v>10</v>
      </c>
      <c r="B15" s="28">
        <v>71</v>
      </c>
      <c r="C15" s="28">
        <v>49.333333333333336</v>
      </c>
      <c r="D15" s="28">
        <v>49.2</v>
      </c>
      <c r="E15" s="28">
        <v>48.5</v>
      </c>
      <c r="F15" s="28">
        <v>45.4</v>
      </c>
      <c r="G15" s="28">
        <v>52.333333333333336</v>
      </c>
      <c r="H15" s="28">
        <v>54.571428571428569</v>
      </c>
      <c r="I15" s="28">
        <v>53.642857142857146</v>
      </c>
    </row>
    <row r="16" spans="1:9" x14ac:dyDescent="0.25">
      <c r="A16" s="27">
        <v>11</v>
      </c>
      <c r="B16" s="28">
        <v>85.571428571428569</v>
      </c>
      <c r="C16" s="28">
        <v>47.666666666666664</v>
      </c>
      <c r="D16" s="28">
        <v>50.8</v>
      </c>
      <c r="E16" s="28">
        <v>44.5</v>
      </c>
      <c r="F16" s="28">
        <v>54.6</v>
      </c>
      <c r="G16" s="28">
        <v>56.166666666666664</v>
      </c>
      <c r="H16" s="28">
        <v>68.285714285714292</v>
      </c>
      <c r="I16" s="28">
        <v>59.38095238095238</v>
      </c>
    </row>
    <row r="17" spans="1:9" x14ac:dyDescent="0.25">
      <c r="A17" s="27">
        <v>12</v>
      </c>
      <c r="B17" s="28">
        <v>117</v>
      </c>
      <c r="C17" s="28">
        <v>65</v>
      </c>
      <c r="D17" s="28">
        <v>60.666666666666664</v>
      </c>
      <c r="E17" s="28">
        <v>62.833333333333336</v>
      </c>
      <c r="F17" s="28">
        <v>71.599999999999994</v>
      </c>
      <c r="G17" s="28">
        <v>64</v>
      </c>
      <c r="H17" s="28">
        <v>84.428571428571431</v>
      </c>
      <c r="I17" s="28">
        <v>76.348837209302332</v>
      </c>
    </row>
    <row r="18" spans="1:9" x14ac:dyDescent="0.25">
      <c r="A18" s="27">
        <v>13</v>
      </c>
      <c r="B18" s="28">
        <v>110.71428571428571</v>
      </c>
      <c r="C18" s="28">
        <v>64.333333333333329</v>
      </c>
      <c r="D18" s="28">
        <v>61</v>
      </c>
      <c r="E18" s="28">
        <v>64.833333333333329</v>
      </c>
      <c r="F18" s="28">
        <v>72.2</v>
      </c>
      <c r="G18" s="28">
        <v>74.333333333333329</v>
      </c>
      <c r="H18" s="28">
        <v>93.285714285714292</v>
      </c>
      <c r="I18" s="28">
        <v>78.511627906976742</v>
      </c>
    </row>
    <row r="19" spans="1:9" x14ac:dyDescent="0.25">
      <c r="A19" s="27">
        <v>14</v>
      </c>
      <c r="B19" s="28">
        <v>110.85714285714286</v>
      </c>
      <c r="C19" s="28">
        <v>66.833333333333329</v>
      </c>
      <c r="D19" s="28">
        <v>56.666666666666664</v>
      </c>
      <c r="E19" s="28">
        <v>56.333333333333336</v>
      </c>
      <c r="F19" s="28">
        <v>57.6</v>
      </c>
      <c r="G19" s="28">
        <v>64.833333333333329</v>
      </c>
      <c r="H19" s="28">
        <v>95.428571428571431</v>
      </c>
      <c r="I19" s="28">
        <v>74.418604651162795</v>
      </c>
    </row>
    <row r="20" spans="1:9" x14ac:dyDescent="0.25">
      <c r="A20" s="27">
        <v>15</v>
      </c>
      <c r="B20" s="28">
        <v>114.14285714285714</v>
      </c>
      <c r="C20" s="28">
        <v>60.166666666666664</v>
      </c>
      <c r="D20" s="28">
        <v>55.666666666666664</v>
      </c>
      <c r="E20" s="28">
        <v>62.666666666666664</v>
      </c>
      <c r="F20" s="28">
        <v>60.4</v>
      </c>
      <c r="G20" s="28">
        <v>68.333333333333329</v>
      </c>
      <c r="H20" s="28">
        <v>110</v>
      </c>
      <c r="I20" s="28">
        <v>77.95348837209302</v>
      </c>
    </row>
    <row r="21" spans="1:9" x14ac:dyDescent="0.25">
      <c r="A21" s="27">
        <v>16</v>
      </c>
      <c r="B21" s="28">
        <v>106.57142857142857</v>
      </c>
      <c r="C21" s="28">
        <v>83.666666666666671</v>
      </c>
      <c r="D21" s="28">
        <v>80.5</v>
      </c>
      <c r="E21" s="28">
        <v>79.833333333333329</v>
      </c>
      <c r="F21" s="28">
        <v>72.833333333333329</v>
      </c>
      <c r="G21" s="28">
        <v>96.333333333333329</v>
      </c>
      <c r="H21" s="28">
        <v>100.42857142857143</v>
      </c>
      <c r="I21" s="28">
        <v>89.272727272727266</v>
      </c>
    </row>
    <row r="22" spans="1:9" x14ac:dyDescent="0.25">
      <c r="A22" s="27">
        <v>17</v>
      </c>
      <c r="B22" s="28">
        <v>87.142857142857139</v>
      </c>
      <c r="C22" s="28">
        <v>161.16666666666666</v>
      </c>
      <c r="D22" s="28">
        <v>174.5</v>
      </c>
      <c r="E22" s="28">
        <v>151.33333333333334</v>
      </c>
      <c r="F22" s="28">
        <v>162.16666666666666</v>
      </c>
      <c r="G22" s="28">
        <v>178.66666666666666</v>
      </c>
      <c r="H22" s="28">
        <v>84.571428571428569</v>
      </c>
      <c r="I22" s="28">
        <v>140.20454545454547</v>
      </c>
    </row>
    <row r="23" spans="1:9" x14ac:dyDescent="0.25">
      <c r="A23" s="27">
        <v>18</v>
      </c>
      <c r="B23" s="28">
        <v>65</v>
      </c>
      <c r="C23" s="28">
        <v>148</v>
      </c>
      <c r="D23" s="28">
        <v>159.16666666666666</v>
      </c>
      <c r="E23" s="28">
        <v>163.80000000000001</v>
      </c>
      <c r="F23" s="28">
        <v>150.5</v>
      </c>
      <c r="G23" s="28">
        <v>136.66666666666666</v>
      </c>
      <c r="H23" s="28">
        <v>63.285714285714285</v>
      </c>
      <c r="I23" s="28">
        <v>122.86046511627907</v>
      </c>
    </row>
    <row r="24" spans="1:9" x14ac:dyDescent="0.25">
      <c r="A24" s="27">
        <v>19</v>
      </c>
      <c r="B24" s="28">
        <v>45.571428571428569</v>
      </c>
      <c r="C24" s="28">
        <v>101.66666666666667</v>
      </c>
      <c r="D24" s="28">
        <v>102.83333333333333</v>
      </c>
      <c r="E24" s="28">
        <v>101.2</v>
      </c>
      <c r="F24" s="28">
        <v>108.33333333333333</v>
      </c>
      <c r="G24" s="28">
        <v>96</v>
      </c>
      <c r="H24" s="28">
        <v>54.714285714285715</v>
      </c>
      <c r="I24" s="28">
        <v>85.139534883720927</v>
      </c>
    </row>
    <row r="25" spans="1:9" x14ac:dyDescent="0.25">
      <c r="A25" s="27">
        <v>20</v>
      </c>
      <c r="B25" s="28">
        <v>36.857142857142854</v>
      </c>
      <c r="C25" s="28">
        <v>67.666666666666671</v>
      </c>
      <c r="D25" s="28">
        <v>69.666666666666671</v>
      </c>
      <c r="E25" s="28">
        <v>76</v>
      </c>
      <c r="F25" s="28">
        <v>87.333333333333329</v>
      </c>
      <c r="G25" s="28">
        <v>61.333333333333336</v>
      </c>
      <c r="H25" s="28">
        <v>43.142857142857146</v>
      </c>
      <c r="I25" s="28">
        <v>61.767441860465119</v>
      </c>
    </row>
    <row r="26" spans="1:9" x14ac:dyDescent="0.25">
      <c r="A26" s="27">
        <v>21</v>
      </c>
      <c r="B26" s="28">
        <v>30</v>
      </c>
      <c r="C26" s="28">
        <v>51.666666666666664</v>
      </c>
      <c r="D26" s="28">
        <v>45.333333333333336</v>
      </c>
      <c r="E26" s="28">
        <v>61</v>
      </c>
      <c r="F26" s="28">
        <v>51.5</v>
      </c>
      <c r="G26" s="28">
        <v>46.666666666666664</v>
      </c>
      <c r="H26" s="28">
        <v>44.285714285714285</v>
      </c>
      <c r="I26" s="28">
        <v>46.418604651162788</v>
      </c>
    </row>
    <row r="27" spans="1:9" x14ac:dyDescent="0.25">
      <c r="A27" s="27">
        <v>22</v>
      </c>
      <c r="B27" s="28">
        <v>27.428571428571427</v>
      </c>
      <c r="C27" s="28">
        <v>27.166666666666668</v>
      </c>
      <c r="D27" s="28">
        <v>35.833333333333336</v>
      </c>
      <c r="E27" s="28">
        <v>44</v>
      </c>
      <c r="F27" s="28">
        <v>42.833333333333336</v>
      </c>
      <c r="G27" s="28">
        <v>36.833333333333336</v>
      </c>
      <c r="H27" s="28">
        <v>34.285714285714285</v>
      </c>
      <c r="I27" s="28">
        <v>35.069767441860463</v>
      </c>
    </row>
    <row r="28" spans="1:9" x14ac:dyDescent="0.25">
      <c r="A28" s="27">
        <v>23</v>
      </c>
      <c r="B28" s="28">
        <v>19.142857142857142</v>
      </c>
      <c r="C28" s="28">
        <v>16.666666666666668</v>
      </c>
      <c r="D28" s="28">
        <v>19.666666666666668</v>
      </c>
      <c r="E28" s="28">
        <v>27.2</v>
      </c>
      <c r="F28" s="28">
        <v>26.166666666666668</v>
      </c>
      <c r="G28" s="28">
        <v>29.333333333333332</v>
      </c>
      <c r="H28" s="28">
        <v>37.428571428571431</v>
      </c>
      <c r="I28" s="28">
        <v>25.186046511627907</v>
      </c>
    </row>
    <row r="29" spans="1:9" x14ac:dyDescent="0.25">
      <c r="A29" s="27" t="s">
        <v>35</v>
      </c>
      <c r="B29" s="28">
        <v>49.518292682926827</v>
      </c>
      <c r="C29" s="28">
        <v>56.711409395973156</v>
      </c>
      <c r="D29" s="28">
        <v>66.00787401574803</v>
      </c>
      <c r="E29" s="28">
        <v>61.44274809160305</v>
      </c>
      <c r="F29" s="28">
        <v>67.664000000000001</v>
      </c>
      <c r="G29" s="28">
        <v>65.905797101449281</v>
      </c>
      <c r="H29" s="28">
        <v>46.674698795180724</v>
      </c>
      <c r="I29" s="28">
        <v>58.304000000000002</v>
      </c>
    </row>
    <row r="30" spans="1:9" x14ac:dyDescent="0.25">
      <c r="B30"/>
    </row>
    <row r="31" spans="1:9" x14ac:dyDescent="0.25">
      <c r="B31"/>
    </row>
    <row r="32" spans="1:9" x14ac:dyDescent="0.25">
      <c r="B32"/>
    </row>
    <row r="33" spans="2:2" x14ac:dyDescent="0.25">
      <c r="B33"/>
    </row>
    <row r="34" spans="2:2" x14ac:dyDescent="0.25">
      <c r="B34"/>
    </row>
    <row r="35" spans="2:2" x14ac:dyDescent="0.25">
      <c r="B35"/>
    </row>
    <row r="36" spans="2:2" x14ac:dyDescent="0.25">
      <c r="B36"/>
    </row>
    <row r="37" spans="2:2" x14ac:dyDescent="0.25">
      <c r="B37"/>
    </row>
    <row r="38" spans="2:2" x14ac:dyDescent="0.25">
      <c r="B38"/>
    </row>
    <row r="39" spans="2:2" x14ac:dyDescent="0.25">
      <c r="B39"/>
    </row>
    <row r="40" spans="2:2" x14ac:dyDescent="0.25">
      <c r="B40"/>
    </row>
    <row r="41" spans="2:2" x14ac:dyDescent="0.25">
      <c r="B41"/>
    </row>
    <row r="42" spans="2:2" x14ac:dyDescent="0.25">
      <c r="B42"/>
    </row>
    <row r="43" spans="2:2" x14ac:dyDescent="0.25">
      <c r="B43"/>
    </row>
    <row r="44" spans="2:2" x14ac:dyDescent="0.25">
      <c r="B44"/>
    </row>
    <row r="45" spans="2:2" x14ac:dyDescent="0.25">
      <c r="B45"/>
    </row>
    <row r="46" spans="2:2" x14ac:dyDescent="0.25">
      <c r="B46"/>
    </row>
    <row r="47" spans="2:2" x14ac:dyDescent="0.25">
      <c r="B47"/>
    </row>
    <row r="48" spans="2:2" x14ac:dyDescent="0.25">
      <c r="B48"/>
    </row>
    <row r="49" spans="2:2" x14ac:dyDescent="0.25">
      <c r="B49"/>
    </row>
    <row r="50" spans="2:2" x14ac:dyDescent="0.25">
      <c r="B50"/>
    </row>
    <row r="51" spans="2:2" x14ac:dyDescent="0.25">
      <c r="B51"/>
    </row>
    <row r="52" spans="2:2" x14ac:dyDescent="0.25">
      <c r="B52"/>
    </row>
    <row r="53" spans="2:2" x14ac:dyDescent="0.25">
      <c r="B53"/>
    </row>
    <row r="54" spans="2:2" x14ac:dyDescent="0.25">
      <c r="B54"/>
    </row>
    <row r="55" spans="2:2" x14ac:dyDescent="0.25">
      <c r="B55"/>
    </row>
    <row r="56" spans="2:2" x14ac:dyDescent="0.25">
      <c r="B56"/>
    </row>
    <row r="57" spans="2:2" x14ac:dyDescent="0.25">
      <c r="B57"/>
    </row>
    <row r="58" spans="2:2" x14ac:dyDescent="0.25">
      <c r="B58"/>
    </row>
    <row r="59" spans="2:2" x14ac:dyDescent="0.25">
      <c r="B59"/>
    </row>
    <row r="60" spans="2:2" x14ac:dyDescent="0.25">
      <c r="B60"/>
    </row>
    <row r="61" spans="2:2" x14ac:dyDescent="0.25">
      <c r="B61"/>
    </row>
    <row r="62" spans="2:2" x14ac:dyDescent="0.25">
      <c r="B62"/>
    </row>
    <row r="63" spans="2:2" x14ac:dyDescent="0.25">
      <c r="B63"/>
    </row>
    <row r="64" spans="2:2" x14ac:dyDescent="0.25">
      <c r="B64"/>
    </row>
    <row r="65" spans="2:2" x14ac:dyDescent="0.25">
      <c r="B65"/>
    </row>
    <row r="66" spans="2:2" x14ac:dyDescent="0.25">
      <c r="B66"/>
    </row>
    <row r="67" spans="2:2" x14ac:dyDescent="0.25">
      <c r="B67"/>
    </row>
    <row r="68" spans="2:2" x14ac:dyDescent="0.25">
      <c r="B68"/>
    </row>
    <row r="69" spans="2:2" x14ac:dyDescent="0.25">
      <c r="B69"/>
    </row>
    <row r="70" spans="2:2" x14ac:dyDescent="0.25">
      <c r="B70"/>
    </row>
    <row r="71" spans="2:2" x14ac:dyDescent="0.25">
      <c r="B71"/>
    </row>
    <row r="72" spans="2:2" x14ac:dyDescent="0.25">
      <c r="B72"/>
    </row>
    <row r="73" spans="2:2" x14ac:dyDescent="0.25">
      <c r="B73"/>
    </row>
    <row r="74" spans="2:2" x14ac:dyDescent="0.25">
      <c r="B74"/>
    </row>
    <row r="75" spans="2:2" x14ac:dyDescent="0.25">
      <c r="B75"/>
    </row>
    <row r="76" spans="2:2" x14ac:dyDescent="0.25">
      <c r="B76"/>
    </row>
    <row r="77" spans="2:2" x14ac:dyDescent="0.25">
      <c r="B77"/>
    </row>
    <row r="78" spans="2:2" x14ac:dyDescent="0.25">
      <c r="B78"/>
    </row>
    <row r="79" spans="2:2" x14ac:dyDescent="0.25">
      <c r="B79"/>
    </row>
    <row r="80" spans="2:2" x14ac:dyDescent="0.25">
      <c r="B80"/>
    </row>
    <row r="81" spans="2:2" x14ac:dyDescent="0.25">
      <c r="B81"/>
    </row>
    <row r="82" spans="2:2" x14ac:dyDescent="0.25">
      <c r="B82"/>
    </row>
    <row r="83" spans="2:2" x14ac:dyDescent="0.25">
      <c r="B83"/>
    </row>
    <row r="84" spans="2:2" x14ac:dyDescent="0.25">
      <c r="B84"/>
    </row>
    <row r="85" spans="2:2" x14ac:dyDescent="0.25">
      <c r="B85"/>
    </row>
    <row r="86" spans="2:2" x14ac:dyDescent="0.25">
      <c r="B86"/>
    </row>
    <row r="87" spans="2:2" x14ac:dyDescent="0.25">
      <c r="B87"/>
    </row>
    <row r="88" spans="2:2" x14ac:dyDescent="0.25">
      <c r="B88"/>
    </row>
    <row r="89" spans="2:2" x14ac:dyDescent="0.25">
      <c r="B89"/>
    </row>
    <row r="90" spans="2:2" x14ac:dyDescent="0.25">
      <c r="B90"/>
    </row>
    <row r="91" spans="2:2" x14ac:dyDescent="0.25">
      <c r="B91"/>
    </row>
    <row r="92" spans="2:2" x14ac:dyDescent="0.25">
      <c r="B92"/>
    </row>
    <row r="93" spans="2:2" x14ac:dyDescent="0.25">
      <c r="B93"/>
    </row>
    <row r="94" spans="2:2" x14ac:dyDescent="0.25">
      <c r="B94"/>
    </row>
    <row r="95" spans="2:2" x14ac:dyDescent="0.25">
      <c r="B95"/>
    </row>
    <row r="96" spans="2:2" x14ac:dyDescent="0.25">
      <c r="B96"/>
    </row>
    <row r="97" spans="2:2" x14ac:dyDescent="0.25">
      <c r="B97"/>
    </row>
    <row r="98" spans="2:2" x14ac:dyDescent="0.25">
      <c r="B98"/>
    </row>
    <row r="99" spans="2:2" x14ac:dyDescent="0.25">
      <c r="B99"/>
    </row>
    <row r="100" spans="2:2" x14ac:dyDescent="0.25">
      <c r="B100"/>
    </row>
    <row r="101" spans="2:2" x14ac:dyDescent="0.25">
      <c r="B101"/>
    </row>
    <row r="102" spans="2:2" x14ac:dyDescent="0.25">
      <c r="B102"/>
    </row>
    <row r="103" spans="2:2" x14ac:dyDescent="0.25">
      <c r="B103"/>
    </row>
    <row r="104" spans="2:2" x14ac:dyDescent="0.25">
      <c r="B104"/>
    </row>
    <row r="105" spans="2:2" x14ac:dyDescent="0.25">
      <c r="B105"/>
    </row>
    <row r="106" spans="2:2" x14ac:dyDescent="0.25">
      <c r="B106"/>
    </row>
    <row r="107" spans="2:2" x14ac:dyDescent="0.25">
      <c r="B107"/>
    </row>
    <row r="108" spans="2:2" x14ac:dyDescent="0.25">
      <c r="B108"/>
    </row>
    <row r="109" spans="2:2" x14ac:dyDescent="0.25">
      <c r="B109"/>
    </row>
    <row r="110" spans="2:2" x14ac:dyDescent="0.25">
      <c r="B110"/>
    </row>
    <row r="111" spans="2:2" x14ac:dyDescent="0.25">
      <c r="B111"/>
    </row>
    <row r="112" spans="2:2" x14ac:dyDescent="0.25">
      <c r="B112"/>
    </row>
    <row r="113" spans="2:2" x14ac:dyDescent="0.25">
      <c r="B113"/>
    </row>
    <row r="114" spans="2:2" x14ac:dyDescent="0.25">
      <c r="B114"/>
    </row>
    <row r="115" spans="2:2" x14ac:dyDescent="0.25">
      <c r="B115"/>
    </row>
    <row r="116" spans="2:2" x14ac:dyDescent="0.25">
      <c r="B116"/>
    </row>
    <row r="117" spans="2:2" x14ac:dyDescent="0.25">
      <c r="B117"/>
    </row>
    <row r="118" spans="2:2" x14ac:dyDescent="0.25">
      <c r="B118"/>
    </row>
    <row r="119" spans="2:2" x14ac:dyDescent="0.25">
      <c r="B119"/>
    </row>
    <row r="120" spans="2:2" x14ac:dyDescent="0.25">
      <c r="B120"/>
    </row>
    <row r="121" spans="2:2" x14ac:dyDescent="0.25">
      <c r="B121"/>
    </row>
    <row r="122" spans="2:2" x14ac:dyDescent="0.25">
      <c r="B122"/>
    </row>
    <row r="123" spans="2:2" x14ac:dyDescent="0.25">
      <c r="B123"/>
    </row>
    <row r="124" spans="2:2" x14ac:dyDescent="0.25">
      <c r="B124"/>
    </row>
    <row r="125" spans="2:2" x14ac:dyDescent="0.25">
      <c r="B125"/>
    </row>
    <row r="126" spans="2:2" x14ac:dyDescent="0.25">
      <c r="B126"/>
    </row>
    <row r="127" spans="2:2" x14ac:dyDescent="0.25">
      <c r="B127"/>
    </row>
    <row r="128" spans="2:2" x14ac:dyDescent="0.25">
      <c r="B128"/>
    </row>
    <row r="129" spans="2:2" x14ac:dyDescent="0.25">
      <c r="B129"/>
    </row>
    <row r="130" spans="2:2" x14ac:dyDescent="0.25">
      <c r="B130"/>
    </row>
    <row r="131" spans="2:2" x14ac:dyDescent="0.25">
      <c r="B131"/>
    </row>
    <row r="132" spans="2:2" x14ac:dyDescent="0.25">
      <c r="B132"/>
    </row>
    <row r="133" spans="2:2" x14ac:dyDescent="0.25">
      <c r="B133"/>
    </row>
    <row r="134" spans="2:2" x14ac:dyDescent="0.25">
      <c r="B134"/>
    </row>
    <row r="135" spans="2:2" x14ac:dyDescent="0.25">
      <c r="B135"/>
    </row>
    <row r="136" spans="2:2" x14ac:dyDescent="0.25">
      <c r="B136"/>
    </row>
    <row r="137" spans="2:2" x14ac:dyDescent="0.25">
      <c r="B137"/>
    </row>
    <row r="138" spans="2:2" x14ac:dyDescent="0.25">
      <c r="B138"/>
    </row>
    <row r="139" spans="2:2" x14ac:dyDescent="0.25">
      <c r="B139"/>
    </row>
    <row r="140" spans="2:2" x14ac:dyDescent="0.25">
      <c r="B140"/>
    </row>
    <row r="141" spans="2:2" x14ac:dyDescent="0.25">
      <c r="B141"/>
    </row>
    <row r="142" spans="2:2" x14ac:dyDescent="0.25">
      <c r="B142"/>
    </row>
    <row r="143" spans="2:2" x14ac:dyDescent="0.25">
      <c r="B143"/>
    </row>
    <row r="144" spans="2:2" x14ac:dyDescent="0.25">
      <c r="B144"/>
    </row>
    <row r="145" spans="2:2" x14ac:dyDescent="0.25">
      <c r="B145"/>
    </row>
    <row r="146" spans="2:2" x14ac:dyDescent="0.25">
      <c r="B146"/>
    </row>
    <row r="147" spans="2:2" x14ac:dyDescent="0.25">
      <c r="B147"/>
    </row>
    <row r="148" spans="2:2" x14ac:dyDescent="0.25">
      <c r="B148"/>
    </row>
    <row r="149" spans="2:2" x14ac:dyDescent="0.25">
      <c r="B149"/>
    </row>
    <row r="150" spans="2:2" x14ac:dyDescent="0.25">
      <c r="B150"/>
    </row>
    <row r="151" spans="2:2" x14ac:dyDescent="0.25">
      <c r="B151"/>
    </row>
    <row r="152" spans="2:2" x14ac:dyDescent="0.25">
      <c r="B152"/>
    </row>
    <row r="153" spans="2:2" x14ac:dyDescent="0.25">
      <c r="B153"/>
    </row>
    <row r="154" spans="2:2" x14ac:dyDescent="0.25">
      <c r="B154"/>
    </row>
    <row r="155" spans="2:2" x14ac:dyDescent="0.25">
      <c r="B155"/>
    </row>
    <row r="156" spans="2:2" x14ac:dyDescent="0.25">
      <c r="B156"/>
    </row>
    <row r="157" spans="2:2" x14ac:dyDescent="0.25">
      <c r="B157"/>
    </row>
    <row r="158" spans="2:2" x14ac:dyDescent="0.25">
      <c r="B158"/>
    </row>
    <row r="159" spans="2:2" x14ac:dyDescent="0.25">
      <c r="B159"/>
    </row>
    <row r="160" spans="2:2" x14ac:dyDescent="0.25">
      <c r="B160"/>
    </row>
    <row r="161" spans="2:2" x14ac:dyDescent="0.25">
      <c r="B161"/>
    </row>
    <row r="162" spans="2:2" x14ac:dyDescent="0.25">
      <c r="B162"/>
    </row>
    <row r="163" spans="2:2" x14ac:dyDescent="0.25">
      <c r="B163"/>
    </row>
    <row r="164" spans="2:2" x14ac:dyDescent="0.25">
      <c r="B164"/>
    </row>
    <row r="165" spans="2:2" x14ac:dyDescent="0.25">
      <c r="B165"/>
    </row>
    <row r="166" spans="2:2" x14ac:dyDescent="0.25">
      <c r="B166"/>
    </row>
    <row r="167" spans="2:2" x14ac:dyDescent="0.25">
      <c r="B167"/>
    </row>
    <row r="168" spans="2:2" x14ac:dyDescent="0.25">
      <c r="B168"/>
    </row>
    <row r="169" spans="2:2" x14ac:dyDescent="0.25">
      <c r="B169"/>
    </row>
    <row r="170" spans="2:2" x14ac:dyDescent="0.25">
      <c r="B170"/>
    </row>
    <row r="171" spans="2:2" x14ac:dyDescent="0.25">
      <c r="B171"/>
    </row>
    <row r="172" spans="2:2" x14ac:dyDescent="0.25">
      <c r="B172"/>
    </row>
    <row r="173" spans="2:2" x14ac:dyDescent="0.25">
      <c r="B173"/>
    </row>
    <row r="174" spans="2:2" x14ac:dyDescent="0.25">
      <c r="B174"/>
    </row>
    <row r="175" spans="2:2" x14ac:dyDescent="0.25">
      <c r="B175"/>
    </row>
    <row r="176" spans="2:2" x14ac:dyDescent="0.25">
      <c r="B176"/>
    </row>
    <row r="177" spans="2:2" x14ac:dyDescent="0.25">
      <c r="B177"/>
    </row>
    <row r="178" spans="2:2" x14ac:dyDescent="0.25">
      <c r="B178"/>
    </row>
    <row r="179" spans="2:2" x14ac:dyDescent="0.25">
      <c r="B179"/>
    </row>
    <row r="180" spans="2:2" x14ac:dyDescent="0.25">
      <c r="B180"/>
    </row>
    <row r="181" spans="2:2" x14ac:dyDescent="0.25">
      <c r="B181"/>
    </row>
    <row r="182" spans="2:2" x14ac:dyDescent="0.25">
      <c r="B182"/>
    </row>
    <row r="183" spans="2:2" x14ac:dyDescent="0.25">
      <c r="B183"/>
    </row>
    <row r="184" spans="2:2" x14ac:dyDescent="0.25">
      <c r="B184"/>
    </row>
    <row r="185" spans="2:2" x14ac:dyDescent="0.25">
      <c r="B185"/>
    </row>
    <row r="186" spans="2:2" x14ac:dyDescent="0.25">
      <c r="B186"/>
    </row>
    <row r="187" spans="2:2" x14ac:dyDescent="0.25">
      <c r="B187"/>
    </row>
    <row r="188" spans="2:2" x14ac:dyDescent="0.25">
      <c r="B188"/>
    </row>
    <row r="189" spans="2:2" x14ac:dyDescent="0.25">
      <c r="B189"/>
    </row>
    <row r="190" spans="2:2" x14ac:dyDescent="0.25">
      <c r="B190"/>
    </row>
    <row r="191" spans="2:2" x14ac:dyDescent="0.25">
      <c r="B191"/>
    </row>
    <row r="192" spans="2:2" x14ac:dyDescent="0.25">
      <c r="B192"/>
    </row>
    <row r="193" spans="2:2" x14ac:dyDescent="0.25">
      <c r="B193"/>
    </row>
    <row r="194" spans="2:2" x14ac:dyDescent="0.25">
      <c r="B194"/>
    </row>
    <row r="195" spans="2:2" x14ac:dyDescent="0.25">
      <c r="B195"/>
    </row>
    <row r="196" spans="2:2" x14ac:dyDescent="0.25">
      <c r="B196"/>
    </row>
    <row r="197" spans="2:2" x14ac:dyDescent="0.25">
      <c r="B197"/>
    </row>
    <row r="198" spans="2:2" x14ac:dyDescent="0.25">
      <c r="B198"/>
    </row>
    <row r="199" spans="2:2" x14ac:dyDescent="0.25">
      <c r="B199"/>
    </row>
    <row r="200" spans="2:2" x14ac:dyDescent="0.25">
      <c r="B200"/>
    </row>
    <row r="201" spans="2:2" x14ac:dyDescent="0.25">
      <c r="B201"/>
    </row>
    <row r="202" spans="2:2" x14ac:dyDescent="0.25">
      <c r="B202"/>
    </row>
    <row r="203" spans="2:2" x14ac:dyDescent="0.25">
      <c r="B203"/>
    </row>
    <row r="204" spans="2:2" x14ac:dyDescent="0.25">
      <c r="B204"/>
    </row>
    <row r="205" spans="2:2" x14ac:dyDescent="0.25">
      <c r="B205"/>
    </row>
    <row r="206" spans="2:2" x14ac:dyDescent="0.25">
      <c r="B206"/>
    </row>
    <row r="207" spans="2:2" x14ac:dyDescent="0.25">
      <c r="B207"/>
    </row>
    <row r="208" spans="2:2" x14ac:dyDescent="0.25">
      <c r="B208"/>
    </row>
    <row r="209" spans="2:2" x14ac:dyDescent="0.25">
      <c r="B209"/>
    </row>
    <row r="210" spans="2:2" x14ac:dyDescent="0.25">
      <c r="B210"/>
    </row>
    <row r="211" spans="2:2" x14ac:dyDescent="0.25">
      <c r="B211"/>
    </row>
    <row r="212" spans="2:2" x14ac:dyDescent="0.25">
      <c r="B212"/>
    </row>
    <row r="213" spans="2:2" x14ac:dyDescent="0.25">
      <c r="B213"/>
    </row>
    <row r="214" spans="2:2" x14ac:dyDescent="0.25">
      <c r="B214"/>
    </row>
    <row r="215" spans="2:2" x14ac:dyDescent="0.25">
      <c r="B215"/>
    </row>
    <row r="216" spans="2:2" x14ac:dyDescent="0.25">
      <c r="B216"/>
    </row>
    <row r="217" spans="2:2" x14ac:dyDescent="0.25">
      <c r="B217"/>
    </row>
    <row r="218" spans="2:2" x14ac:dyDescent="0.25">
      <c r="B218"/>
    </row>
    <row r="219" spans="2:2" x14ac:dyDescent="0.25">
      <c r="B219"/>
    </row>
    <row r="220" spans="2:2" x14ac:dyDescent="0.25">
      <c r="B220"/>
    </row>
    <row r="221" spans="2:2" x14ac:dyDescent="0.25">
      <c r="B221"/>
    </row>
    <row r="222" spans="2:2" x14ac:dyDescent="0.25">
      <c r="B222"/>
    </row>
    <row r="223" spans="2:2" x14ac:dyDescent="0.25">
      <c r="B223"/>
    </row>
    <row r="224" spans="2:2" x14ac:dyDescent="0.25">
      <c r="B224"/>
    </row>
    <row r="225" spans="2:2" x14ac:dyDescent="0.25">
      <c r="B225"/>
    </row>
    <row r="226" spans="2:2" x14ac:dyDescent="0.25">
      <c r="B226"/>
    </row>
    <row r="227" spans="2:2" x14ac:dyDescent="0.25">
      <c r="B227"/>
    </row>
    <row r="228" spans="2:2" x14ac:dyDescent="0.25">
      <c r="B228"/>
    </row>
    <row r="229" spans="2:2" x14ac:dyDescent="0.25">
      <c r="B229"/>
    </row>
    <row r="230" spans="2:2" x14ac:dyDescent="0.25">
      <c r="B230"/>
    </row>
    <row r="231" spans="2:2" x14ac:dyDescent="0.25">
      <c r="B231"/>
    </row>
    <row r="232" spans="2:2" x14ac:dyDescent="0.25">
      <c r="B232"/>
    </row>
    <row r="233" spans="2:2" x14ac:dyDescent="0.25">
      <c r="B233"/>
    </row>
    <row r="234" spans="2:2" x14ac:dyDescent="0.25">
      <c r="B234"/>
    </row>
    <row r="235" spans="2:2" x14ac:dyDescent="0.25">
      <c r="B235"/>
    </row>
    <row r="236" spans="2:2" x14ac:dyDescent="0.25">
      <c r="B236"/>
    </row>
    <row r="237" spans="2:2" x14ac:dyDescent="0.25">
      <c r="B237"/>
    </row>
    <row r="238" spans="2:2" x14ac:dyDescent="0.25">
      <c r="B238"/>
    </row>
    <row r="239" spans="2:2" x14ac:dyDescent="0.25">
      <c r="B239"/>
    </row>
    <row r="240" spans="2:2" x14ac:dyDescent="0.25">
      <c r="B240"/>
    </row>
    <row r="241" spans="2:2" x14ac:dyDescent="0.25">
      <c r="B241"/>
    </row>
    <row r="242" spans="2:2" x14ac:dyDescent="0.25">
      <c r="B242"/>
    </row>
    <row r="243" spans="2:2" x14ac:dyDescent="0.25">
      <c r="B243"/>
    </row>
    <row r="244" spans="2:2" x14ac:dyDescent="0.25">
      <c r="B244"/>
    </row>
    <row r="245" spans="2:2" x14ac:dyDescent="0.25">
      <c r="B245"/>
    </row>
    <row r="246" spans="2:2" x14ac:dyDescent="0.25">
      <c r="B246"/>
    </row>
    <row r="247" spans="2:2" x14ac:dyDescent="0.25">
      <c r="B247"/>
    </row>
    <row r="248" spans="2:2" x14ac:dyDescent="0.25">
      <c r="B248"/>
    </row>
    <row r="249" spans="2:2" x14ac:dyDescent="0.25">
      <c r="B249"/>
    </row>
    <row r="250" spans="2:2" x14ac:dyDescent="0.25">
      <c r="B250"/>
    </row>
    <row r="251" spans="2:2" x14ac:dyDescent="0.25">
      <c r="B251"/>
    </row>
    <row r="252" spans="2:2" x14ac:dyDescent="0.25">
      <c r="B252"/>
    </row>
    <row r="253" spans="2:2" x14ac:dyDescent="0.25">
      <c r="B253"/>
    </row>
    <row r="254" spans="2:2" x14ac:dyDescent="0.25">
      <c r="B254"/>
    </row>
    <row r="255" spans="2:2" x14ac:dyDescent="0.25">
      <c r="B255"/>
    </row>
    <row r="256" spans="2:2" x14ac:dyDescent="0.25">
      <c r="B256"/>
    </row>
    <row r="257" spans="2:2" x14ac:dyDescent="0.25">
      <c r="B257"/>
    </row>
    <row r="258" spans="2:2" x14ac:dyDescent="0.25">
      <c r="B258"/>
    </row>
    <row r="259" spans="2:2" x14ac:dyDescent="0.25">
      <c r="B259"/>
    </row>
    <row r="260" spans="2:2" x14ac:dyDescent="0.25">
      <c r="B260"/>
    </row>
    <row r="261" spans="2:2" x14ac:dyDescent="0.25">
      <c r="B261"/>
    </row>
    <row r="262" spans="2:2" x14ac:dyDescent="0.25">
      <c r="B262"/>
    </row>
    <row r="263" spans="2:2" x14ac:dyDescent="0.25">
      <c r="B263"/>
    </row>
    <row r="264" spans="2:2" x14ac:dyDescent="0.25">
      <c r="B264"/>
    </row>
    <row r="265" spans="2:2" x14ac:dyDescent="0.25">
      <c r="B265"/>
    </row>
    <row r="266" spans="2:2" x14ac:dyDescent="0.25">
      <c r="B266"/>
    </row>
    <row r="267" spans="2:2" x14ac:dyDescent="0.25">
      <c r="B267"/>
    </row>
    <row r="268" spans="2:2" x14ac:dyDescent="0.25">
      <c r="B268"/>
    </row>
    <row r="269" spans="2:2" x14ac:dyDescent="0.25">
      <c r="B269"/>
    </row>
    <row r="270" spans="2:2" x14ac:dyDescent="0.25">
      <c r="B270"/>
    </row>
    <row r="271" spans="2:2" x14ac:dyDescent="0.25">
      <c r="B271"/>
    </row>
    <row r="272" spans="2:2" x14ac:dyDescent="0.25">
      <c r="B272"/>
    </row>
    <row r="273" spans="2:2" x14ac:dyDescent="0.25">
      <c r="B273"/>
    </row>
    <row r="274" spans="2:2" x14ac:dyDescent="0.25">
      <c r="B274"/>
    </row>
    <row r="275" spans="2:2" x14ac:dyDescent="0.25">
      <c r="B275"/>
    </row>
    <row r="276" spans="2:2" x14ac:dyDescent="0.25">
      <c r="B276"/>
    </row>
    <row r="277" spans="2:2" x14ac:dyDescent="0.25">
      <c r="B277"/>
    </row>
    <row r="278" spans="2:2" x14ac:dyDescent="0.25">
      <c r="B278"/>
    </row>
    <row r="279" spans="2:2" x14ac:dyDescent="0.25">
      <c r="B279"/>
    </row>
    <row r="280" spans="2:2" x14ac:dyDescent="0.25">
      <c r="B280"/>
    </row>
    <row r="281" spans="2:2" x14ac:dyDescent="0.25">
      <c r="B281"/>
    </row>
    <row r="282" spans="2:2" x14ac:dyDescent="0.25">
      <c r="B282"/>
    </row>
    <row r="283" spans="2:2" x14ac:dyDescent="0.25">
      <c r="B283"/>
    </row>
    <row r="284" spans="2:2" x14ac:dyDescent="0.25">
      <c r="B284"/>
    </row>
    <row r="285" spans="2:2" x14ac:dyDescent="0.25">
      <c r="B285"/>
    </row>
    <row r="286" spans="2:2" x14ac:dyDescent="0.25">
      <c r="B286"/>
    </row>
    <row r="287" spans="2:2" x14ac:dyDescent="0.25">
      <c r="B287"/>
    </row>
    <row r="288" spans="2:2" x14ac:dyDescent="0.25">
      <c r="B288"/>
    </row>
    <row r="289" spans="2:2" x14ac:dyDescent="0.25">
      <c r="B289"/>
    </row>
    <row r="290" spans="2:2" x14ac:dyDescent="0.25">
      <c r="B290"/>
    </row>
    <row r="291" spans="2:2" x14ac:dyDescent="0.25">
      <c r="B291"/>
    </row>
    <row r="292" spans="2:2" x14ac:dyDescent="0.25">
      <c r="B292"/>
    </row>
    <row r="293" spans="2:2" x14ac:dyDescent="0.25">
      <c r="B293"/>
    </row>
    <row r="294" spans="2:2" x14ac:dyDescent="0.25">
      <c r="B294"/>
    </row>
    <row r="295" spans="2:2" x14ac:dyDescent="0.25">
      <c r="B295"/>
    </row>
    <row r="296" spans="2:2" x14ac:dyDescent="0.25">
      <c r="B296"/>
    </row>
    <row r="297" spans="2:2" x14ac:dyDescent="0.25">
      <c r="B297"/>
    </row>
    <row r="298" spans="2:2" x14ac:dyDescent="0.25">
      <c r="B298"/>
    </row>
    <row r="299" spans="2:2" x14ac:dyDescent="0.25">
      <c r="B299"/>
    </row>
    <row r="300" spans="2:2" x14ac:dyDescent="0.25">
      <c r="B300"/>
    </row>
    <row r="301" spans="2:2" x14ac:dyDescent="0.25">
      <c r="B301"/>
    </row>
    <row r="302" spans="2:2" x14ac:dyDescent="0.25">
      <c r="B302"/>
    </row>
    <row r="303" spans="2:2" x14ac:dyDescent="0.25">
      <c r="B303"/>
    </row>
    <row r="304" spans="2:2" x14ac:dyDescent="0.25">
      <c r="B304"/>
    </row>
    <row r="305" spans="2:2" x14ac:dyDescent="0.25">
      <c r="B305"/>
    </row>
    <row r="306" spans="2:2" x14ac:dyDescent="0.25">
      <c r="B306"/>
    </row>
    <row r="307" spans="2:2" x14ac:dyDescent="0.25">
      <c r="B307"/>
    </row>
    <row r="308" spans="2:2" x14ac:dyDescent="0.25">
      <c r="B308"/>
    </row>
    <row r="309" spans="2:2" x14ac:dyDescent="0.25">
      <c r="B309"/>
    </row>
    <row r="310" spans="2:2" x14ac:dyDescent="0.25">
      <c r="B310"/>
    </row>
    <row r="311" spans="2:2" x14ac:dyDescent="0.25">
      <c r="B311"/>
    </row>
    <row r="312" spans="2:2" x14ac:dyDescent="0.25">
      <c r="B312"/>
    </row>
    <row r="313" spans="2:2" x14ac:dyDescent="0.25">
      <c r="B313"/>
    </row>
    <row r="314" spans="2:2" x14ac:dyDescent="0.25">
      <c r="B314"/>
    </row>
    <row r="315" spans="2:2" x14ac:dyDescent="0.25">
      <c r="B315"/>
    </row>
    <row r="316" spans="2:2" x14ac:dyDescent="0.25">
      <c r="B316"/>
    </row>
    <row r="317" spans="2:2" x14ac:dyDescent="0.25">
      <c r="B317"/>
    </row>
    <row r="318" spans="2:2" x14ac:dyDescent="0.25">
      <c r="B318"/>
    </row>
    <row r="319" spans="2:2" x14ac:dyDescent="0.25">
      <c r="B319"/>
    </row>
    <row r="320" spans="2:2" x14ac:dyDescent="0.25">
      <c r="B320"/>
    </row>
    <row r="321" spans="2:2" x14ac:dyDescent="0.25">
      <c r="B321"/>
    </row>
    <row r="322" spans="2:2" x14ac:dyDescent="0.25">
      <c r="B322"/>
    </row>
    <row r="323" spans="2:2" x14ac:dyDescent="0.25">
      <c r="B323"/>
    </row>
    <row r="324" spans="2:2" x14ac:dyDescent="0.25">
      <c r="B324"/>
    </row>
    <row r="325" spans="2:2" x14ac:dyDescent="0.25">
      <c r="B325"/>
    </row>
    <row r="326" spans="2:2" x14ac:dyDescent="0.25">
      <c r="B326"/>
    </row>
    <row r="327" spans="2:2" x14ac:dyDescent="0.25">
      <c r="B327"/>
    </row>
    <row r="328" spans="2:2" x14ac:dyDescent="0.25">
      <c r="B328"/>
    </row>
    <row r="329" spans="2:2" x14ac:dyDescent="0.25">
      <c r="B329"/>
    </row>
    <row r="330" spans="2:2" x14ac:dyDescent="0.25">
      <c r="B330"/>
    </row>
    <row r="331" spans="2:2" x14ac:dyDescent="0.25">
      <c r="B331"/>
    </row>
    <row r="332" spans="2:2" x14ac:dyDescent="0.25">
      <c r="B332"/>
    </row>
    <row r="333" spans="2:2" x14ac:dyDescent="0.25">
      <c r="B333"/>
    </row>
    <row r="334" spans="2:2" x14ac:dyDescent="0.25">
      <c r="B334"/>
    </row>
    <row r="335" spans="2:2" x14ac:dyDescent="0.25">
      <c r="B335"/>
    </row>
    <row r="336" spans="2:2" x14ac:dyDescent="0.25">
      <c r="B336"/>
    </row>
    <row r="337" spans="2:2" x14ac:dyDescent="0.25">
      <c r="B337"/>
    </row>
    <row r="338" spans="2:2" x14ac:dyDescent="0.25">
      <c r="B338"/>
    </row>
    <row r="339" spans="2:2" x14ac:dyDescent="0.25">
      <c r="B339"/>
    </row>
    <row r="340" spans="2:2" x14ac:dyDescent="0.25">
      <c r="B340"/>
    </row>
    <row r="341" spans="2:2" x14ac:dyDescent="0.25">
      <c r="B341"/>
    </row>
    <row r="342" spans="2:2" x14ac:dyDescent="0.25">
      <c r="B342"/>
    </row>
    <row r="343" spans="2:2" x14ac:dyDescent="0.25">
      <c r="B343"/>
    </row>
    <row r="344" spans="2:2" x14ac:dyDescent="0.25">
      <c r="B344"/>
    </row>
    <row r="345" spans="2:2" x14ac:dyDescent="0.25">
      <c r="B345"/>
    </row>
    <row r="346" spans="2:2" x14ac:dyDescent="0.25">
      <c r="B346"/>
    </row>
    <row r="347" spans="2:2" x14ac:dyDescent="0.25">
      <c r="B347"/>
    </row>
    <row r="348" spans="2:2" x14ac:dyDescent="0.25">
      <c r="B348"/>
    </row>
    <row r="349" spans="2:2" x14ac:dyDescent="0.25">
      <c r="B349"/>
    </row>
    <row r="350" spans="2:2" x14ac:dyDescent="0.25">
      <c r="B350"/>
    </row>
    <row r="351" spans="2:2" x14ac:dyDescent="0.25">
      <c r="B351"/>
    </row>
    <row r="352" spans="2:2" x14ac:dyDescent="0.25">
      <c r="B352"/>
    </row>
    <row r="353" spans="2:2" x14ac:dyDescent="0.25">
      <c r="B353"/>
    </row>
    <row r="354" spans="2:2" x14ac:dyDescent="0.25">
      <c r="B354"/>
    </row>
    <row r="355" spans="2:2" x14ac:dyDescent="0.25">
      <c r="B355"/>
    </row>
    <row r="356" spans="2:2" x14ac:dyDescent="0.25">
      <c r="B356"/>
    </row>
    <row r="357" spans="2:2" x14ac:dyDescent="0.25">
      <c r="B357"/>
    </row>
    <row r="358" spans="2:2" x14ac:dyDescent="0.25">
      <c r="B358"/>
    </row>
    <row r="359" spans="2:2" x14ac:dyDescent="0.25">
      <c r="B359"/>
    </row>
    <row r="360" spans="2:2" x14ac:dyDescent="0.25">
      <c r="B360"/>
    </row>
    <row r="361" spans="2:2" x14ac:dyDescent="0.25">
      <c r="B361"/>
    </row>
    <row r="362" spans="2:2" x14ac:dyDescent="0.25">
      <c r="B362"/>
    </row>
    <row r="363" spans="2:2" x14ac:dyDescent="0.25">
      <c r="B363"/>
    </row>
    <row r="364" spans="2:2" x14ac:dyDescent="0.25">
      <c r="B364"/>
    </row>
    <row r="365" spans="2:2" x14ac:dyDescent="0.25">
      <c r="B365"/>
    </row>
    <row r="366" spans="2:2" x14ac:dyDescent="0.25">
      <c r="B366"/>
    </row>
    <row r="367" spans="2:2" x14ac:dyDescent="0.25">
      <c r="B367"/>
    </row>
    <row r="368" spans="2:2" x14ac:dyDescent="0.25">
      <c r="B368"/>
    </row>
    <row r="369" spans="2:2" x14ac:dyDescent="0.25">
      <c r="B369"/>
    </row>
    <row r="370" spans="2:2" x14ac:dyDescent="0.25">
      <c r="B370"/>
    </row>
    <row r="371" spans="2:2" x14ac:dyDescent="0.25">
      <c r="B371"/>
    </row>
    <row r="372" spans="2:2" x14ac:dyDescent="0.25">
      <c r="B372"/>
    </row>
    <row r="373" spans="2:2" x14ac:dyDescent="0.25">
      <c r="B373"/>
    </row>
    <row r="374" spans="2:2" x14ac:dyDescent="0.25">
      <c r="B374"/>
    </row>
    <row r="375" spans="2:2" x14ac:dyDescent="0.25">
      <c r="B375"/>
    </row>
    <row r="376" spans="2:2" x14ac:dyDescent="0.25">
      <c r="B376"/>
    </row>
    <row r="377" spans="2:2" x14ac:dyDescent="0.25">
      <c r="B377"/>
    </row>
    <row r="378" spans="2:2" x14ac:dyDescent="0.25">
      <c r="B378"/>
    </row>
    <row r="379" spans="2:2" x14ac:dyDescent="0.25">
      <c r="B379"/>
    </row>
    <row r="380" spans="2:2" x14ac:dyDescent="0.25">
      <c r="B380"/>
    </row>
    <row r="381" spans="2:2" x14ac:dyDescent="0.25">
      <c r="B381"/>
    </row>
    <row r="382" spans="2:2" x14ac:dyDescent="0.25">
      <c r="B382"/>
    </row>
    <row r="383" spans="2:2" x14ac:dyDescent="0.25">
      <c r="B383"/>
    </row>
    <row r="384" spans="2:2" x14ac:dyDescent="0.25">
      <c r="B384"/>
    </row>
    <row r="385" spans="2:2" x14ac:dyDescent="0.25">
      <c r="B385"/>
    </row>
    <row r="386" spans="2:2" x14ac:dyDescent="0.25">
      <c r="B386"/>
    </row>
    <row r="387" spans="2:2" x14ac:dyDescent="0.25">
      <c r="B387"/>
    </row>
    <row r="388" spans="2:2" x14ac:dyDescent="0.25">
      <c r="B388"/>
    </row>
    <row r="389" spans="2:2" x14ac:dyDescent="0.25">
      <c r="B389"/>
    </row>
    <row r="390" spans="2:2" x14ac:dyDescent="0.25">
      <c r="B390"/>
    </row>
    <row r="391" spans="2:2" x14ac:dyDescent="0.25">
      <c r="B391"/>
    </row>
    <row r="392" spans="2:2" x14ac:dyDescent="0.25">
      <c r="B392"/>
    </row>
    <row r="393" spans="2:2" x14ac:dyDescent="0.25">
      <c r="B393"/>
    </row>
    <row r="394" spans="2:2" x14ac:dyDescent="0.25">
      <c r="B394"/>
    </row>
    <row r="395" spans="2:2" x14ac:dyDescent="0.25">
      <c r="B395"/>
    </row>
    <row r="396" spans="2:2" x14ac:dyDescent="0.25">
      <c r="B396"/>
    </row>
    <row r="397" spans="2:2" x14ac:dyDescent="0.25">
      <c r="B397"/>
    </row>
    <row r="398" spans="2:2" x14ac:dyDescent="0.25">
      <c r="B398"/>
    </row>
    <row r="399" spans="2:2" x14ac:dyDescent="0.25">
      <c r="B399"/>
    </row>
    <row r="400" spans="2:2" x14ac:dyDescent="0.25">
      <c r="B400"/>
    </row>
    <row r="401" spans="2:2" x14ac:dyDescent="0.25">
      <c r="B401"/>
    </row>
    <row r="402" spans="2:2" x14ac:dyDescent="0.25">
      <c r="B402"/>
    </row>
    <row r="403" spans="2:2" x14ac:dyDescent="0.25">
      <c r="B403"/>
    </row>
    <row r="404" spans="2:2" x14ac:dyDescent="0.25">
      <c r="B404"/>
    </row>
    <row r="405" spans="2:2" x14ac:dyDescent="0.25">
      <c r="B405"/>
    </row>
    <row r="406" spans="2:2" x14ac:dyDescent="0.25">
      <c r="B406"/>
    </row>
    <row r="407" spans="2:2" x14ac:dyDescent="0.25">
      <c r="B407"/>
    </row>
    <row r="408" spans="2:2" x14ac:dyDescent="0.25">
      <c r="B408"/>
    </row>
    <row r="409" spans="2:2" x14ac:dyDescent="0.25">
      <c r="B409"/>
    </row>
    <row r="410" spans="2:2" x14ac:dyDescent="0.25">
      <c r="B410"/>
    </row>
    <row r="411" spans="2:2" x14ac:dyDescent="0.25">
      <c r="B411"/>
    </row>
    <row r="412" spans="2:2" x14ac:dyDescent="0.25">
      <c r="B412"/>
    </row>
    <row r="413" spans="2:2" x14ac:dyDescent="0.25">
      <c r="B413"/>
    </row>
    <row r="414" spans="2:2" x14ac:dyDescent="0.25">
      <c r="B414"/>
    </row>
    <row r="415" spans="2:2" x14ac:dyDescent="0.25">
      <c r="B415"/>
    </row>
    <row r="416" spans="2:2" x14ac:dyDescent="0.25">
      <c r="B416"/>
    </row>
    <row r="417" spans="2:2" x14ac:dyDescent="0.25">
      <c r="B417"/>
    </row>
    <row r="418" spans="2:2" x14ac:dyDescent="0.25">
      <c r="B418"/>
    </row>
    <row r="419" spans="2:2" x14ac:dyDescent="0.25">
      <c r="B419"/>
    </row>
    <row r="420" spans="2:2" x14ac:dyDescent="0.25">
      <c r="B420"/>
    </row>
    <row r="421" spans="2:2" x14ac:dyDescent="0.25">
      <c r="B421"/>
    </row>
    <row r="422" spans="2:2" x14ac:dyDescent="0.25">
      <c r="B422"/>
    </row>
    <row r="423" spans="2:2" x14ac:dyDescent="0.25">
      <c r="B423"/>
    </row>
    <row r="424" spans="2:2" x14ac:dyDescent="0.25">
      <c r="B424"/>
    </row>
    <row r="425" spans="2:2" x14ac:dyDescent="0.25">
      <c r="B425"/>
    </row>
    <row r="426" spans="2:2" x14ac:dyDescent="0.25">
      <c r="B426"/>
    </row>
    <row r="427" spans="2:2" x14ac:dyDescent="0.25">
      <c r="B427"/>
    </row>
    <row r="428" spans="2:2" x14ac:dyDescent="0.25">
      <c r="B428"/>
    </row>
    <row r="429" spans="2:2" x14ac:dyDescent="0.25">
      <c r="B429"/>
    </row>
    <row r="430" spans="2:2" x14ac:dyDescent="0.25">
      <c r="B430"/>
    </row>
    <row r="431" spans="2:2" x14ac:dyDescent="0.25">
      <c r="B431"/>
    </row>
    <row r="432" spans="2:2" x14ac:dyDescent="0.25">
      <c r="B432"/>
    </row>
    <row r="433" spans="2:2" x14ac:dyDescent="0.25">
      <c r="B433"/>
    </row>
    <row r="434" spans="2:2" x14ac:dyDescent="0.25">
      <c r="B434"/>
    </row>
    <row r="435" spans="2:2" x14ac:dyDescent="0.25">
      <c r="B435"/>
    </row>
    <row r="436" spans="2:2" x14ac:dyDescent="0.25">
      <c r="B436"/>
    </row>
    <row r="437" spans="2:2" x14ac:dyDescent="0.25">
      <c r="B437"/>
    </row>
    <row r="438" spans="2:2" x14ac:dyDescent="0.25">
      <c r="B438"/>
    </row>
    <row r="439" spans="2:2" x14ac:dyDescent="0.25">
      <c r="B439"/>
    </row>
    <row r="440" spans="2:2" x14ac:dyDescent="0.25">
      <c r="B440"/>
    </row>
    <row r="441" spans="2:2" x14ac:dyDescent="0.25">
      <c r="B441"/>
    </row>
    <row r="442" spans="2:2" x14ac:dyDescent="0.25">
      <c r="B442"/>
    </row>
    <row r="443" spans="2:2" x14ac:dyDescent="0.25">
      <c r="B443"/>
    </row>
    <row r="444" spans="2:2" x14ac:dyDescent="0.25">
      <c r="B444"/>
    </row>
    <row r="445" spans="2:2" x14ac:dyDescent="0.25">
      <c r="B445"/>
    </row>
    <row r="446" spans="2:2" x14ac:dyDescent="0.25">
      <c r="B446"/>
    </row>
    <row r="447" spans="2:2" x14ac:dyDescent="0.25">
      <c r="B447"/>
    </row>
    <row r="448" spans="2:2" x14ac:dyDescent="0.25">
      <c r="B448"/>
    </row>
    <row r="449" spans="2:2" x14ac:dyDescent="0.25">
      <c r="B449"/>
    </row>
    <row r="450" spans="2:2" x14ac:dyDescent="0.25">
      <c r="B450"/>
    </row>
    <row r="451" spans="2:2" x14ac:dyDescent="0.25">
      <c r="B451"/>
    </row>
    <row r="452" spans="2:2" x14ac:dyDescent="0.25">
      <c r="B452"/>
    </row>
    <row r="453" spans="2:2" x14ac:dyDescent="0.25">
      <c r="B453"/>
    </row>
    <row r="454" spans="2:2" x14ac:dyDescent="0.25">
      <c r="B454"/>
    </row>
    <row r="455" spans="2:2" x14ac:dyDescent="0.25">
      <c r="B455"/>
    </row>
    <row r="456" spans="2:2" x14ac:dyDescent="0.25">
      <c r="B456"/>
    </row>
    <row r="457" spans="2:2" x14ac:dyDescent="0.25">
      <c r="B457"/>
    </row>
    <row r="458" spans="2:2" x14ac:dyDescent="0.25">
      <c r="B458"/>
    </row>
    <row r="459" spans="2:2" x14ac:dyDescent="0.25">
      <c r="B459"/>
    </row>
    <row r="460" spans="2:2" x14ac:dyDescent="0.25">
      <c r="B460"/>
    </row>
    <row r="461" spans="2:2" x14ac:dyDescent="0.25">
      <c r="B461"/>
    </row>
    <row r="462" spans="2:2" x14ac:dyDescent="0.25">
      <c r="B462"/>
    </row>
    <row r="463" spans="2:2" x14ac:dyDescent="0.25">
      <c r="B463"/>
    </row>
    <row r="464" spans="2:2" x14ac:dyDescent="0.25">
      <c r="B464"/>
    </row>
    <row r="465" spans="2:2" x14ac:dyDescent="0.25">
      <c r="B465"/>
    </row>
    <row r="466" spans="2:2" x14ac:dyDescent="0.25">
      <c r="B466"/>
    </row>
    <row r="467" spans="2:2" x14ac:dyDescent="0.25">
      <c r="B467"/>
    </row>
    <row r="468" spans="2:2" x14ac:dyDescent="0.25">
      <c r="B468"/>
    </row>
    <row r="469" spans="2:2" x14ac:dyDescent="0.25">
      <c r="B469"/>
    </row>
    <row r="470" spans="2:2" x14ac:dyDescent="0.25">
      <c r="B470"/>
    </row>
    <row r="471" spans="2:2" x14ac:dyDescent="0.25">
      <c r="B471"/>
    </row>
    <row r="472" spans="2:2" x14ac:dyDescent="0.25">
      <c r="B472"/>
    </row>
    <row r="473" spans="2:2" x14ac:dyDescent="0.25">
      <c r="B473"/>
    </row>
    <row r="474" spans="2:2" x14ac:dyDescent="0.25">
      <c r="B474"/>
    </row>
    <row r="475" spans="2:2" x14ac:dyDescent="0.25">
      <c r="B475"/>
    </row>
    <row r="476" spans="2:2" x14ac:dyDescent="0.25">
      <c r="B476"/>
    </row>
    <row r="477" spans="2:2" x14ac:dyDescent="0.25">
      <c r="B477"/>
    </row>
    <row r="478" spans="2:2" x14ac:dyDescent="0.25">
      <c r="B478"/>
    </row>
    <row r="479" spans="2:2" x14ac:dyDescent="0.25">
      <c r="B479"/>
    </row>
    <row r="480" spans="2:2" x14ac:dyDescent="0.25">
      <c r="B480"/>
    </row>
    <row r="481" spans="2:2" x14ac:dyDescent="0.25">
      <c r="B481"/>
    </row>
    <row r="482" spans="2:2" x14ac:dyDescent="0.25">
      <c r="B482"/>
    </row>
    <row r="483" spans="2:2" x14ac:dyDescent="0.25">
      <c r="B483"/>
    </row>
    <row r="484" spans="2:2" x14ac:dyDescent="0.25">
      <c r="B484"/>
    </row>
    <row r="485" spans="2:2" x14ac:dyDescent="0.25">
      <c r="B485"/>
    </row>
    <row r="486" spans="2:2" x14ac:dyDescent="0.25">
      <c r="B486"/>
    </row>
    <row r="487" spans="2:2" x14ac:dyDescent="0.25">
      <c r="B487"/>
    </row>
    <row r="488" spans="2:2" x14ac:dyDescent="0.25">
      <c r="B488"/>
    </row>
    <row r="489" spans="2:2" x14ac:dyDescent="0.25">
      <c r="B489"/>
    </row>
    <row r="490" spans="2:2" x14ac:dyDescent="0.25">
      <c r="B490"/>
    </row>
    <row r="491" spans="2:2" x14ac:dyDescent="0.25">
      <c r="B491"/>
    </row>
    <row r="492" spans="2:2" x14ac:dyDescent="0.25">
      <c r="B492"/>
    </row>
    <row r="493" spans="2:2" x14ac:dyDescent="0.25">
      <c r="B493"/>
    </row>
    <row r="494" spans="2:2" x14ac:dyDescent="0.25">
      <c r="B494"/>
    </row>
    <row r="495" spans="2:2" x14ac:dyDescent="0.25">
      <c r="B495"/>
    </row>
    <row r="496" spans="2:2" x14ac:dyDescent="0.25">
      <c r="B496"/>
    </row>
    <row r="497" spans="2:2" x14ac:dyDescent="0.25">
      <c r="B497"/>
    </row>
    <row r="498" spans="2:2" x14ac:dyDescent="0.25">
      <c r="B498"/>
    </row>
    <row r="499" spans="2:2" x14ac:dyDescent="0.25">
      <c r="B499"/>
    </row>
    <row r="500" spans="2:2" x14ac:dyDescent="0.25">
      <c r="B500"/>
    </row>
    <row r="501" spans="2:2" x14ac:dyDescent="0.25">
      <c r="B501"/>
    </row>
    <row r="502" spans="2:2" x14ac:dyDescent="0.25">
      <c r="B502"/>
    </row>
    <row r="503" spans="2:2" x14ac:dyDescent="0.25">
      <c r="B503"/>
    </row>
    <row r="504" spans="2:2" x14ac:dyDescent="0.25">
      <c r="B504"/>
    </row>
    <row r="505" spans="2:2" x14ac:dyDescent="0.25">
      <c r="B505"/>
    </row>
    <row r="506" spans="2:2" x14ac:dyDescent="0.25">
      <c r="B506"/>
    </row>
    <row r="507" spans="2:2" x14ac:dyDescent="0.25">
      <c r="B507"/>
    </row>
    <row r="508" spans="2:2" x14ac:dyDescent="0.25">
      <c r="B508"/>
    </row>
    <row r="509" spans="2:2" x14ac:dyDescent="0.25">
      <c r="B509"/>
    </row>
    <row r="510" spans="2:2" x14ac:dyDescent="0.25">
      <c r="B510"/>
    </row>
    <row r="511" spans="2:2" x14ac:dyDescent="0.25">
      <c r="B511"/>
    </row>
    <row r="512" spans="2:2" x14ac:dyDescent="0.25">
      <c r="B512"/>
    </row>
    <row r="513" spans="2:2" x14ac:dyDescent="0.25">
      <c r="B513"/>
    </row>
    <row r="514" spans="2:2" x14ac:dyDescent="0.25">
      <c r="B514"/>
    </row>
    <row r="515" spans="2:2" x14ac:dyDescent="0.25">
      <c r="B515"/>
    </row>
    <row r="516" spans="2:2" x14ac:dyDescent="0.25">
      <c r="B516"/>
    </row>
    <row r="517" spans="2:2" x14ac:dyDescent="0.25">
      <c r="B517"/>
    </row>
    <row r="518" spans="2:2" x14ac:dyDescent="0.25">
      <c r="B518"/>
    </row>
    <row r="519" spans="2:2" x14ac:dyDescent="0.25">
      <c r="B519"/>
    </row>
    <row r="520" spans="2:2" x14ac:dyDescent="0.25">
      <c r="B520"/>
    </row>
    <row r="521" spans="2:2" x14ac:dyDescent="0.25">
      <c r="B521"/>
    </row>
    <row r="522" spans="2:2" x14ac:dyDescent="0.25">
      <c r="B522"/>
    </row>
    <row r="523" spans="2:2" x14ac:dyDescent="0.25">
      <c r="B523"/>
    </row>
    <row r="524" spans="2:2" x14ac:dyDescent="0.25">
      <c r="B524"/>
    </row>
    <row r="525" spans="2:2" x14ac:dyDescent="0.25">
      <c r="B525"/>
    </row>
    <row r="526" spans="2:2" x14ac:dyDescent="0.25">
      <c r="B526"/>
    </row>
    <row r="527" spans="2:2" x14ac:dyDescent="0.25">
      <c r="B527"/>
    </row>
    <row r="528" spans="2:2" x14ac:dyDescent="0.25">
      <c r="B528"/>
    </row>
    <row r="529" spans="2:2" x14ac:dyDescent="0.25">
      <c r="B529"/>
    </row>
    <row r="530" spans="2:2" x14ac:dyDescent="0.25">
      <c r="B530"/>
    </row>
    <row r="531" spans="2:2" x14ac:dyDescent="0.25">
      <c r="B531"/>
    </row>
    <row r="532" spans="2:2" x14ac:dyDescent="0.25">
      <c r="B532"/>
    </row>
    <row r="533" spans="2:2" x14ac:dyDescent="0.25">
      <c r="B533"/>
    </row>
    <row r="534" spans="2:2" x14ac:dyDescent="0.25">
      <c r="B534"/>
    </row>
    <row r="535" spans="2:2" x14ac:dyDescent="0.25">
      <c r="B535"/>
    </row>
    <row r="536" spans="2:2" x14ac:dyDescent="0.25">
      <c r="B536"/>
    </row>
    <row r="537" spans="2:2" x14ac:dyDescent="0.25">
      <c r="B537"/>
    </row>
    <row r="538" spans="2:2" x14ac:dyDescent="0.25">
      <c r="B538"/>
    </row>
    <row r="539" spans="2:2" x14ac:dyDescent="0.25">
      <c r="B539"/>
    </row>
    <row r="540" spans="2:2" x14ac:dyDescent="0.25">
      <c r="B540"/>
    </row>
    <row r="541" spans="2:2" x14ac:dyDescent="0.25">
      <c r="B541"/>
    </row>
    <row r="542" spans="2:2" x14ac:dyDescent="0.25">
      <c r="B542"/>
    </row>
    <row r="543" spans="2:2" x14ac:dyDescent="0.25">
      <c r="B543"/>
    </row>
    <row r="544" spans="2:2" x14ac:dyDescent="0.25">
      <c r="B544"/>
    </row>
    <row r="545" spans="2:2" x14ac:dyDescent="0.25">
      <c r="B545"/>
    </row>
    <row r="546" spans="2:2" x14ac:dyDescent="0.25">
      <c r="B546"/>
    </row>
    <row r="547" spans="2:2" x14ac:dyDescent="0.25">
      <c r="B547"/>
    </row>
    <row r="548" spans="2:2" x14ac:dyDescent="0.25">
      <c r="B548"/>
    </row>
    <row r="549" spans="2:2" x14ac:dyDescent="0.25">
      <c r="B549"/>
    </row>
    <row r="550" spans="2:2" x14ac:dyDescent="0.25">
      <c r="B550"/>
    </row>
    <row r="551" spans="2:2" x14ac:dyDescent="0.25">
      <c r="B551"/>
    </row>
    <row r="552" spans="2:2" x14ac:dyDescent="0.25">
      <c r="B552"/>
    </row>
    <row r="553" spans="2:2" x14ac:dyDescent="0.25">
      <c r="B553"/>
    </row>
    <row r="554" spans="2:2" x14ac:dyDescent="0.25">
      <c r="B554"/>
    </row>
    <row r="555" spans="2:2" x14ac:dyDescent="0.25">
      <c r="B555"/>
    </row>
    <row r="556" spans="2:2" x14ac:dyDescent="0.25">
      <c r="B556"/>
    </row>
    <row r="557" spans="2:2" x14ac:dyDescent="0.25">
      <c r="B557"/>
    </row>
    <row r="558" spans="2:2" x14ac:dyDescent="0.25">
      <c r="B558"/>
    </row>
    <row r="559" spans="2:2" x14ac:dyDescent="0.25">
      <c r="B559"/>
    </row>
    <row r="560" spans="2:2" x14ac:dyDescent="0.25">
      <c r="B560"/>
    </row>
    <row r="561" spans="2:2" x14ac:dyDescent="0.25">
      <c r="B561"/>
    </row>
    <row r="562" spans="2:2" x14ac:dyDescent="0.25">
      <c r="B562"/>
    </row>
    <row r="563" spans="2:2" x14ac:dyDescent="0.25">
      <c r="B563"/>
    </row>
    <row r="564" spans="2:2" x14ac:dyDescent="0.25">
      <c r="B564"/>
    </row>
    <row r="565" spans="2:2" x14ac:dyDescent="0.25">
      <c r="B565"/>
    </row>
    <row r="566" spans="2:2" x14ac:dyDescent="0.25">
      <c r="B566"/>
    </row>
    <row r="567" spans="2:2" x14ac:dyDescent="0.25">
      <c r="B567"/>
    </row>
    <row r="568" spans="2:2" x14ac:dyDescent="0.25">
      <c r="B568"/>
    </row>
    <row r="569" spans="2:2" x14ac:dyDescent="0.25">
      <c r="B569"/>
    </row>
    <row r="570" spans="2:2" x14ac:dyDescent="0.25">
      <c r="B570"/>
    </row>
    <row r="571" spans="2:2" x14ac:dyDescent="0.25">
      <c r="B571"/>
    </row>
    <row r="572" spans="2:2" x14ac:dyDescent="0.25">
      <c r="B572"/>
    </row>
    <row r="573" spans="2:2" x14ac:dyDescent="0.25">
      <c r="B573"/>
    </row>
    <row r="574" spans="2:2" x14ac:dyDescent="0.25">
      <c r="B574"/>
    </row>
    <row r="575" spans="2:2" x14ac:dyDescent="0.25">
      <c r="B575"/>
    </row>
    <row r="576" spans="2:2" x14ac:dyDescent="0.25">
      <c r="B576"/>
    </row>
    <row r="577" spans="2:2" x14ac:dyDescent="0.25">
      <c r="B577"/>
    </row>
    <row r="578" spans="2:2" x14ac:dyDescent="0.25">
      <c r="B578"/>
    </row>
    <row r="579" spans="2:2" x14ac:dyDescent="0.25">
      <c r="B579"/>
    </row>
    <row r="580" spans="2:2" x14ac:dyDescent="0.25">
      <c r="B580"/>
    </row>
    <row r="581" spans="2:2" x14ac:dyDescent="0.25">
      <c r="B581"/>
    </row>
    <row r="582" spans="2:2" x14ac:dyDescent="0.25">
      <c r="B582"/>
    </row>
    <row r="583" spans="2:2" x14ac:dyDescent="0.25">
      <c r="B583"/>
    </row>
    <row r="584" spans="2:2" x14ac:dyDescent="0.25">
      <c r="B584"/>
    </row>
    <row r="585" spans="2:2" x14ac:dyDescent="0.25">
      <c r="B585"/>
    </row>
    <row r="586" spans="2:2" x14ac:dyDescent="0.25">
      <c r="B586"/>
    </row>
    <row r="587" spans="2:2" x14ac:dyDescent="0.25">
      <c r="B587"/>
    </row>
    <row r="588" spans="2:2" x14ac:dyDescent="0.25">
      <c r="B588"/>
    </row>
    <row r="589" spans="2:2" x14ac:dyDescent="0.25">
      <c r="B589"/>
    </row>
    <row r="590" spans="2:2" x14ac:dyDescent="0.25">
      <c r="B590"/>
    </row>
    <row r="591" spans="2:2" x14ac:dyDescent="0.25">
      <c r="B591"/>
    </row>
    <row r="592" spans="2:2" x14ac:dyDescent="0.25">
      <c r="B592"/>
    </row>
    <row r="593" spans="2:2" x14ac:dyDescent="0.25">
      <c r="B593"/>
    </row>
    <row r="594" spans="2:2" x14ac:dyDescent="0.25">
      <c r="B594"/>
    </row>
    <row r="595" spans="2:2" x14ac:dyDescent="0.25">
      <c r="B595"/>
    </row>
    <row r="596" spans="2:2" x14ac:dyDescent="0.25">
      <c r="B596"/>
    </row>
    <row r="597" spans="2:2" x14ac:dyDescent="0.25">
      <c r="B597"/>
    </row>
    <row r="598" spans="2:2" x14ac:dyDescent="0.25">
      <c r="B598"/>
    </row>
    <row r="599" spans="2:2" x14ac:dyDescent="0.25">
      <c r="B599"/>
    </row>
    <row r="600" spans="2:2" x14ac:dyDescent="0.25">
      <c r="B600"/>
    </row>
    <row r="601" spans="2:2" x14ac:dyDescent="0.25">
      <c r="B601"/>
    </row>
    <row r="602" spans="2:2" x14ac:dyDescent="0.25">
      <c r="B602"/>
    </row>
    <row r="603" spans="2:2" x14ac:dyDescent="0.25">
      <c r="B603"/>
    </row>
    <row r="604" spans="2:2" x14ac:dyDescent="0.25">
      <c r="B604"/>
    </row>
    <row r="605" spans="2:2" x14ac:dyDescent="0.25">
      <c r="B605"/>
    </row>
    <row r="606" spans="2:2" x14ac:dyDescent="0.25">
      <c r="B606"/>
    </row>
    <row r="607" spans="2:2" x14ac:dyDescent="0.25">
      <c r="B607"/>
    </row>
    <row r="608" spans="2:2" x14ac:dyDescent="0.25">
      <c r="B608"/>
    </row>
    <row r="609" spans="2:2" x14ac:dyDescent="0.25">
      <c r="B609"/>
    </row>
    <row r="610" spans="2:2" x14ac:dyDescent="0.25">
      <c r="B610"/>
    </row>
    <row r="611" spans="2:2" x14ac:dyDescent="0.25">
      <c r="B611"/>
    </row>
    <row r="612" spans="2:2" x14ac:dyDescent="0.25">
      <c r="B612"/>
    </row>
    <row r="613" spans="2:2" x14ac:dyDescent="0.25">
      <c r="B613"/>
    </row>
    <row r="614" spans="2:2" x14ac:dyDescent="0.25">
      <c r="B614"/>
    </row>
    <row r="615" spans="2:2" x14ac:dyDescent="0.25">
      <c r="B615"/>
    </row>
    <row r="616" spans="2:2" x14ac:dyDescent="0.25">
      <c r="B616"/>
    </row>
    <row r="617" spans="2:2" x14ac:dyDescent="0.25">
      <c r="B617"/>
    </row>
    <row r="618" spans="2:2" x14ac:dyDescent="0.25">
      <c r="B618"/>
    </row>
    <row r="619" spans="2:2" x14ac:dyDescent="0.25">
      <c r="B619"/>
    </row>
    <row r="620" spans="2:2" x14ac:dyDescent="0.25">
      <c r="B620"/>
    </row>
    <row r="621" spans="2:2" x14ac:dyDescent="0.25">
      <c r="B621"/>
    </row>
    <row r="622" spans="2:2" x14ac:dyDescent="0.25">
      <c r="B622"/>
    </row>
    <row r="623" spans="2:2" x14ac:dyDescent="0.25">
      <c r="B623"/>
    </row>
    <row r="624" spans="2:2" x14ac:dyDescent="0.25">
      <c r="B624"/>
    </row>
    <row r="625" spans="2:2" x14ac:dyDescent="0.25">
      <c r="B625"/>
    </row>
    <row r="626" spans="2:2" x14ac:dyDescent="0.25">
      <c r="B626"/>
    </row>
    <row r="627" spans="2:2" x14ac:dyDescent="0.25">
      <c r="B627"/>
    </row>
    <row r="628" spans="2:2" x14ac:dyDescent="0.25">
      <c r="B628"/>
    </row>
    <row r="629" spans="2:2" x14ac:dyDescent="0.25">
      <c r="B629"/>
    </row>
    <row r="630" spans="2:2" x14ac:dyDescent="0.25">
      <c r="B630"/>
    </row>
    <row r="631" spans="2:2" x14ac:dyDescent="0.25">
      <c r="B631"/>
    </row>
    <row r="632" spans="2:2" x14ac:dyDescent="0.25">
      <c r="B632"/>
    </row>
    <row r="633" spans="2:2" x14ac:dyDescent="0.25">
      <c r="B633"/>
    </row>
    <row r="634" spans="2:2" x14ac:dyDescent="0.25">
      <c r="B634"/>
    </row>
    <row r="635" spans="2:2" x14ac:dyDescent="0.25">
      <c r="B635"/>
    </row>
    <row r="636" spans="2:2" x14ac:dyDescent="0.25">
      <c r="B636"/>
    </row>
    <row r="637" spans="2:2" x14ac:dyDescent="0.25">
      <c r="B637"/>
    </row>
    <row r="638" spans="2:2" x14ac:dyDescent="0.25">
      <c r="B638"/>
    </row>
    <row r="639" spans="2:2" x14ac:dyDescent="0.25">
      <c r="B639"/>
    </row>
    <row r="640" spans="2:2" x14ac:dyDescent="0.25">
      <c r="B640"/>
    </row>
    <row r="641" spans="2:2" x14ac:dyDescent="0.25">
      <c r="B641"/>
    </row>
    <row r="642" spans="2:2" x14ac:dyDescent="0.25">
      <c r="B642"/>
    </row>
    <row r="643" spans="2:2" x14ac:dyDescent="0.25">
      <c r="B643"/>
    </row>
    <row r="644" spans="2:2" x14ac:dyDescent="0.25">
      <c r="B644"/>
    </row>
    <row r="645" spans="2:2" x14ac:dyDescent="0.25">
      <c r="B645"/>
    </row>
    <row r="646" spans="2:2" x14ac:dyDescent="0.25">
      <c r="B646"/>
    </row>
    <row r="647" spans="2:2" x14ac:dyDescent="0.25">
      <c r="B647"/>
    </row>
    <row r="648" spans="2:2" x14ac:dyDescent="0.25">
      <c r="B648"/>
    </row>
    <row r="649" spans="2:2" x14ac:dyDescent="0.25">
      <c r="B649"/>
    </row>
    <row r="650" spans="2:2" x14ac:dyDescent="0.25">
      <c r="B650"/>
    </row>
    <row r="651" spans="2:2" x14ac:dyDescent="0.25">
      <c r="B651"/>
    </row>
    <row r="652" spans="2:2" x14ac:dyDescent="0.25">
      <c r="B652"/>
    </row>
    <row r="653" spans="2:2" x14ac:dyDescent="0.25">
      <c r="B653"/>
    </row>
    <row r="654" spans="2:2" x14ac:dyDescent="0.25">
      <c r="B654"/>
    </row>
    <row r="655" spans="2:2" x14ac:dyDescent="0.25">
      <c r="B655"/>
    </row>
    <row r="656" spans="2:2" x14ac:dyDescent="0.25">
      <c r="B656"/>
    </row>
    <row r="657" spans="2:2" x14ac:dyDescent="0.25">
      <c r="B657"/>
    </row>
    <row r="658" spans="2:2" x14ac:dyDescent="0.25">
      <c r="B658"/>
    </row>
    <row r="659" spans="2:2" x14ac:dyDescent="0.25">
      <c r="B659"/>
    </row>
    <row r="660" spans="2:2" x14ac:dyDescent="0.25">
      <c r="B660"/>
    </row>
    <row r="661" spans="2:2" x14ac:dyDescent="0.25">
      <c r="B661"/>
    </row>
    <row r="662" spans="2:2" x14ac:dyDescent="0.25">
      <c r="B662"/>
    </row>
    <row r="663" spans="2:2" x14ac:dyDescent="0.25">
      <c r="B663"/>
    </row>
    <row r="664" spans="2:2" x14ac:dyDescent="0.25">
      <c r="B664"/>
    </row>
    <row r="665" spans="2:2" x14ac:dyDescent="0.25">
      <c r="B665"/>
    </row>
    <row r="666" spans="2:2" x14ac:dyDescent="0.25">
      <c r="B666"/>
    </row>
    <row r="667" spans="2:2" x14ac:dyDescent="0.25">
      <c r="B667"/>
    </row>
    <row r="668" spans="2:2" x14ac:dyDescent="0.25">
      <c r="B668"/>
    </row>
    <row r="669" spans="2:2" x14ac:dyDescent="0.25">
      <c r="B669"/>
    </row>
    <row r="670" spans="2:2" x14ac:dyDescent="0.25">
      <c r="B670"/>
    </row>
    <row r="671" spans="2:2" x14ac:dyDescent="0.25">
      <c r="B671"/>
    </row>
    <row r="672" spans="2:2" x14ac:dyDescent="0.25">
      <c r="B672"/>
    </row>
    <row r="673" spans="2:2" x14ac:dyDescent="0.25">
      <c r="B673"/>
    </row>
    <row r="674" spans="2:2" x14ac:dyDescent="0.25">
      <c r="B674"/>
    </row>
    <row r="675" spans="2:2" x14ac:dyDescent="0.25">
      <c r="B675"/>
    </row>
    <row r="676" spans="2:2" x14ac:dyDescent="0.25">
      <c r="B676"/>
    </row>
    <row r="677" spans="2:2" x14ac:dyDescent="0.25">
      <c r="B677"/>
    </row>
    <row r="678" spans="2:2" x14ac:dyDescent="0.25">
      <c r="B678"/>
    </row>
    <row r="679" spans="2:2" x14ac:dyDescent="0.25">
      <c r="B679"/>
    </row>
    <row r="680" spans="2:2" x14ac:dyDescent="0.25">
      <c r="B680"/>
    </row>
    <row r="681" spans="2:2" x14ac:dyDescent="0.25">
      <c r="B681"/>
    </row>
    <row r="682" spans="2:2" x14ac:dyDescent="0.25">
      <c r="B682"/>
    </row>
    <row r="683" spans="2:2" x14ac:dyDescent="0.25">
      <c r="B683"/>
    </row>
    <row r="684" spans="2:2" x14ac:dyDescent="0.25">
      <c r="B684"/>
    </row>
    <row r="685" spans="2:2" x14ac:dyDescent="0.25">
      <c r="B685"/>
    </row>
    <row r="686" spans="2:2" x14ac:dyDescent="0.25">
      <c r="B686"/>
    </row>
    <row r="687" spans="2:2" x14ac:dyDescent="0.25">
      <c r="B687"/>
    </row>
    <row r="688" spans="2:2" x14ac:dyDescent="0.25">
      <c r="B688"/>
    </row>
    <row r="689" spans="2:2" x14ac:dyDescent="0.25">
      <c r="B689"/>
    </row>
    <row r="690" spans="2:2" x14ac:dyDescent="0.25">
      <c r="B690"/>
    </row>
    <row r="691" spans="2:2" x14ac:dyDescent="0.25">
      <c r="B691"/>
    </row>
    <row r="692" spans="2:2" x14ac:dyDescent="0.25">
      <c r="B692"/>
    </row>
    <row r="693" spans="2:2" x14ac:dyDescent="0.25">
      <c r="B693"/>
    </row>
    <row r="694" spans="2:2" x14ac:dyDescent="0.25">
      <c r="B694"/>
    </row>
    <row r="695" spans="2:2" x14ac:dyDescent="0.25">
      <c r="B695"/>
    </row>
    <row r="696" spans="2:2" x14ac:dyDescent="0.25">
      <c r="B696"/>
    </row>
    <row r="697" spans="2:2" x14ac:dyDescent="0.25">
      <c r="B697"/>
    </row>
    <row r="698" spans="2:2" x14ac:dyDescent="0.25">
      <c r="B698"/>
    </row>
    <row r="699" spans="2:2" x14ac:dyDescent="0.25">
      <c r="B699"/>
    </row>
    <row r="700" spans="2:2" x14ac:dyDescent="0.25">
      <c r="B700"/>
    </row>
    <row r="701" spans="2:2" x14ac:dyDescent="0.25">
      <c r="B701"/>
    </row>
    <row r="702" spans="2:2" x14ac:dyDescent="0.25">
      <c r="B702"/>
    </row>
    <row r="703" spans="2:2" x14ac:dyDescent="0.25">
      <c r="B703"/>
    </row>
    <row r="704" spans="2:2" x14ac:dyDescent="0.25">
      <c r="B704"/>
    </row>
    <row r="705" spans="2:2" x14ac:dyDescent="0.25">
      <c r="B705"/>
    </row>
    <row r="706" spans="2:2" x14ac:dyDescent="0.25">
      <c r="B706"/>
    </row>
    <row r="707" spans="2:2" x14ac:dyDescent="0.25">
      <c r="B707"/>
    </row>
    <row r="708" spans="2:2" x14ac:dyDescent="0.25">
      <c r="B708"/>
    </row>
    <row r="709" spans="2:2" x14ac:dyDescent="0.25">
      <c r="B709"/>
    </row>
    <row r="710" spans="2:2" x14ac:dyDescent="0.25">
      <c r="B710"/>
    </row>
    <row r="711" spans="2:2" x14ac:dyDescent="0.25">
      <c r="B711"/>
    </row>
    <row r="712" spans="2:2" x14ac:dyDescent="0.25">
      <c r="B712"/>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5"/>
  <sheetViews>
    <sheetView topLeftCell="A2" workbookViewId="0">
      <selection activeCell="L30" sqref="L30"/>
    </sheetView>
  </sheetViews>
  <sheetFormatPr defaultRowHeight="15" x14ac:dyDescent="0.25"/>
  <cols>
    <col min="1" max="1" width="16.85546875" bestFit="1" customWidth="1"/>
    <col min="2" max="2" width="6" bestFit="1" customWidth="1"/>
  </cols>
  <sheetData>
    <row r="3" spans="1:2" x14ac:dyDescent="0.25">
      <c r="A3" s="26" t="s">
        <v>46</v>
      </c>
    </row>
    <row r="4" spans="1:2" x14ac:dyDescent="0.25">
      <c r="A4" s="27" t="s">
        <v>45</v>
      </c>
      <c r="B4" s="1">
        <v>53383</v>
      </c>
    </row>
    <row r="5" spans="1:2" x14ac:dyDescent="0.25">
      <c r="A5" s="27" t="s">
        <v>44</v>
      </c>
      <c r="B5" s="1">
        <v>4921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1"/>
  <sheetViews>
    <sheetView workbookViewId="0">
      <selection activeCell="K25" sqref="K25"/>
    </sheetView>
  </sheetViews>
  <sheetFormatPr defaultRowHeight="15" x14ac:dyDescent="0.25"/>
  <cols>
    <col min="1" max="1" width="13.5703125" bestFit="1" customWidth="1"/>
    <col min="2" max="2" width="15.85546875" style="28" customWidth="1"/>
  </cols>
  <sheetData>
    <row r="3" spans="1:2" x14ac:dyDescent="0.25">
      <c r="A3" s="26" t="s">
        <v>48</v>
      </c>
      <c r="B3" s="28" t="s">
        <v>47</v>
      </c>
    </row>
    <row r="4" spans="1:2" x14ac:dyDescent="0.25">
      <c r="A4" s="27" t="s">
        <v>33</v>
      </c>
      <c r="B4" s="28">
        <v>0.23524390243902446</v>
      </c>
    </row>
    <row r="5" spans="1:2" x14ac:dyDescent="0.25">
      <c r="A5" s="27" t="s">
        <v>83</v>
      </c>
      <c r="B5" s="28">
        <v>0.18818791946308716</v>
      </c>
    </row>
    <row r="6" spans="1:2" x14ac:dyDescent="0.25">
      <c r="A6" s="27" t="s">
        <v>84</v>
      </c>
      <c r="B6" s="28">
        <v>0.20299212598425193</v>
      </c>
    </row>
    <row r="7" spans="1:2" x14ac:dyDescent="0.25">
      <c r="A7" s="27" t="s">
        <v>85</v>
      </c>
      <c r="B7" s="28">
        <v>0.21801526717557226</v>
      </c>
    </row>
    <row r="8" spans="1:2" x14ac:dyDescent="0.25">
      <c r="A8" s="27" t="s">
        <v>86</v>
      </c>
      <c r="B8" s="28">
        <v>0.19296000000000002</v>
      </c>
    </row>
    <row r="9" spans="1:2" x14ac:dyDescent="0.25">
      <c r="A9" s="27" t="s">
        <v>87</v>
      </c>
      <c r="B9" s="28">
        <v>0.18971014492753613</v>
      </c>
    </row>
    <row r="10" spans="1:2" x14ac:dyDescent="0.25">
      <c r="A10" s="27" t="s">
        <v>34</v>
      </c>
      <c r="B10" s="28">
        <v>0.20867469879518055</v>
      </c>
    </row>
    <row r="11" spans="1:2" x14ac:dyDescent="0.25">
      <c r="A11" s="27" t="s">
        <v>35</v>
      </c>
      <c r="B11" s="28">
        <v>0.20589999999999931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11"/>
  <sheetViews>
    <sheetView workbookViewId="0">
      <selection activeCell="I21" sqref="I21"/>
    </sheetView>
  </sheetViews>
  <sheetFormatPr defaultRowHeight="15" x14ac:dyDescent="0.25"/>
  <cols>
    <col min="1" max="1" width="13.140625" customWidth="1"/>
    <col min="2" max="2" width="15.85546875" style="28" customWidth="1"/>
    <col min="3" max="3" width="16.85546875" style="28" customWidth="1"/>
    <col min="4" max="8" width="16.28515625" customWidth="1"/>
    <col min="9" max="9" width="16.28515625" bestFit="1" customWidth="1"/>
    <col min="10" max="14" width="16.28515625" customWidth="1"/>
    <col min="15" max="15" width="17.42578125" customWidth="1"/>
    <col min="16" max="17" width="18.42578125" bestFit="1" customWidth="1"/>
  </cols>
  <sheetData>
    <row r="3" spans="1:3" x14ac:dyDescent="0.25">
      <c r="A3" s="26" t="s">
        <v>50</v>
      </c>
      <c r="B3" s="28" t="s">
        <v>47</v>
      </c>
      <c r="C3" s="28" t="s">
        <v>49</v>
      </c>
    </row>
    <row r="4" spans="1:3" x14ac:dyDescent="0.25">
      <c r="A4" s="27" t="s">
        <v>33</v>
      </c>
      <c r="B4" s="28">
        <v>0.23524390243902446</v>
      </c>
      <c r="C4" s="28">
        <v>0.23390975609756121</v>
      </c>
    </row>
    <row r="5" spans="1:3" x14ac:dyDescent="0.25">
      <c r="A5" s="27" t="s">
        <v>83</v>
      </c>
      <c r="B5" s="28">
        <v>0.18818791946308716</v>
      </c>
      <c r="C5" s="28">
        <v>0.19561140939597318</v>
      </c>
    </row>
    <row r="6" spans="1:3" x14ac:dyDescent="0.25">
      <c r="A6" s="27" t="s">
        <v>84</v>
      </c>
      <c r="B6" s="28">
        <v>0.20299212598425193</v>
      </c>
      <c r="C6" s="28">
        <v>0.21608976377952749</v>
      </c>
    </row>
    <row r="7" spans="1:3" x14ac:dyDescent="0.25">
      <c r="A7" s="27" t="s">
        <v>85</v>
      </c>
      <c r="B7" s="28">
        <v>0.21801526717557226</v>
      </c>
      <c r="C7" s="28">
        <v>0.21640763358778611</v>
      </c>
    </row>
    <row r="8" spans="1:3" x14ac:dyDescent="0.25">
      <c r="A8" s="27" t="s">
        <v>86</v>
      </c>
      <c r="B8" s="28">
        <v>0.19296000000000002</v>
      </c>
      <c r="C8" s="28">
        <v>0.19515679999999977</v>
      </c>
    </row>
    <row r="9" spans="1:3" x14ac:dyDescent="0.25">
      <c r="A9" s="27" t="s">
        <v>87</v>
      </c>
      <c r="B9" s="28">
        <v>0.18971014492753613</v>
      </c>
      <c r="C9" s="28">
        <v>0.20301304347826074</v>
      </c>
    </row>
    <row r="10" spans="1:3" x14ac:dyDescent="0.25">
      <c r="A10" s="27" t="s">
        <v>34</v>
      </c>
      <c r="B10" s="28">
        <v>0.20867469879518055</v>
      </c>
      <c r="C10" s="28">
        <v>0.21756506024096364</v>
      </c>
    </row>
    <row r="11" spans="1:3" x14ac:dyDescent="0.25">
      <c r="A11" s="27" t="s">
        <v>35</v>
      </c>
      <c r="B11" s="28">
        <v>0.20589999999999931</v>
      </c>
      <c r="C11" s="28">
        <v>0.21182630000000002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27"/>
  <sheetViews>
    <sheetView workbookViewId="0">
      <selection activeCell="I20" sqref="I20"/>
    </sheetView>
  </sheetViews>
  <sheetFormatPr defaultRowHeight="15" x14ac:dyDescent="0.25"/>
  <cols>
    <col min="1" max="1" width="13.140625" customWidth="1"/>
    <col min="2" max="3" width="13.85546875" customWidth="1"/>
    <col min="4" max="4" width="10.5703125" customWidth="1"/>
    <col min="5" max="5" width="12" bestFit="1" customWidth="1"/>
    <col min="6" max="6" width="16.28515625" customWidth="1"/>
    <col min="7" max="7" width="8" customWidth="1"/>
    <col min="8" max="11" width="12" bestFit="1" customWidth="1"/>
    <col min="12" max="12" width="10" bestFit="1" customWidth="1"/>
    <col min="13" max="13" width="8" customWidth="1"/>
    <col min="14" max="14" width="10" bestFit="1" customWidth="1"/>
    <col min="15" max="15" width="7" customWidth="1"/>
    <col min="16" max="16" width="12" bestFit="1" customWidth="1"/>
    <col min="17" max="17" width="7" customWidth="1"/>
    <col min="18" max="19" width="12" bestFit="1" customWidth="1"/>
    <col min="20" max="20" width="8" customWidth="1"/>
    <col min="21" max="22" width="12" bestFit="1" customWidth="1"/>
    <col min="23" max="23" width="8" customWidth="1"/>
    <col min="24" max="24" width="7" customWidth="1"/>
    <col min="25" max="25" width="12" bestFit="1" customWidth="1"/>
    <col min="26" max="26" width="9" customWidth="1"/>
    <col min="27" max="27" width="12" bestFit="1" customWidth="1"/>
    <col min="28" max="28" width="8" customWidth="1"/>
    <col min="29" max="29" width="12" bestFit="1" customWidth="1"/>
    <col min="30" max="30" width="7" customWidth="1"/>
    <col min="31" max="33" width="12" bestFit="1" customWidth="1"/>
    <col min="34" max="34" width="8" customWidth="1"/>
    <col min="35" max="39" width="12" bestFit="1" customWidth="1"/>
    <col min="40" max="40" width="8" customWidth="1"/>
    <col min="41" max="46" width="12" bestFit="1" customWidth="1"/>
    <col min="47" max="47" width="9" customWidth="1"/>
    <col min="48" max="51" width="12" bestFit="1" customWidth="1"/>
    <col min="52" max="52" width="8" customWidth="1"/>
    <col min="53" max="57" width="12" bestFit="1" customWidth="1"/>
    <col min="58" max="58" width="7" customWidth="1"/>
    <col min="59" max="59" width="8" customWidth="1"/>
    <col min="60" max="61" width="12" bestFit="1" customWidth="1"/>
    <col min="62" max="62" width="8" customWidth="1"/>
    <col min="63" max="64" width="12" bestFit="1" customWidth="1"/>
    <col min="65" max="65" width="11" bestFit="1" customWidth="1"/>
    <col min="66" max="66" width="12" bestFit="1" customWidth="1"/>
    <col min="67" max="67" width="5" customWidth="1"/>
    <col min="68" max="68" width="8" customWidth="1"/>
    <col min="69" max="69" width="7" customWidth="1"/>
    <col min="70" max="71" width="12" bestFit="1" customWidth="1"/>
    <col min="72" max="72" width="8" customWidth="1"/>
    <col min="73" max="73" width="12" bestFit="1" customWidth="1"/>
    <col min="74" max="74" width="8" customWidth="1"/>
    <col min="75" max="75" width="10" bestFit="1" customWidth="1"/>
    <col min="76" max="77" width="12" bestFit="1" customWidth="1"/>
    <col min="78" max="79" width="8" customWidth="1"/>
    <col min="80" max="80" width="9" customWidth="1"/>
    <col min="81" max="81" width="12" bestFit="1" customWidth="1"/>
    <col min="82" max="82" width="7" customWidth="1"/>
    <col min="83" max="83" width="9" customWidth="1"/>
    <col min="84" max="84" width="8" customWidth="1"/>
    <col min="85" max="85" width="12" bestFit="1" customWidth="1"/>
    <col min="86" max="86" width="8" customWidth="1"/>
    <col min="87" max="88" width="9" customWidth="1"/>
    <col min="89" max="89" width="8" customWidth="1"/>
    <col min="90" max="90" width="12" bestFit="1" customWidth="1"/>
    <col min="91" max="91" width="8" customWidth="1"/>
    <col min="92" max="92" width="7" customWidth="1"/>
    <col min="93" max="95" width="12" bestFit="1" customWidth="1"/>
    <col min="96" max="96" width="7" customWidth="1"/>
    <col min="97" max="97" width="9" customWidth="1"/>
    <col min="98" max="99" width="12" bestFit="1" customWidth="1"/>
    <col min="100" max="100" width="7" customWidth="1"/>
    <col min="101" max="101" width="8" customWidth="1"/>
    <col min="102" max="102" width="7" customWidth="1"/>
    <col min="103" max="104" width="12" bestFit="1" customWidth="1"/>
    <col min="105" max="105" width="8" customWidth="1"/>
    <col min="106" max="106" width="12" bestFit="1" customWidth="1"/>
    <col min="107" max="108" width="7" customWidth="1"/>
    <col min="109" max="110" width="9" customWidth="1"/>
    <col min="111" max="111" width="7" customWidth="1"/>
    <col min="112" max="112" width="12" bestFit="1" customWidth="1"/>
    <col min="113" max="113" width="7" customWidth="1"/>
    <col min="114" max="114" width="8" customWidth="1"/>
    <col min="115" max="115" width="7" customWidth="1"/>
    <col min="116" max="116" width="12" bestFit="1" customWidth="1"/>
    <col min="117" max="117" width="6" customWidth="1"/>
    <col min="118" max="118" width="12" bestFit="1" customWidth="1"/>
    <col min="119" max="119" width="6" customWidth="1"/>
    <col min="120" max="120" width="9" customWidth="1"/>
    <col min="121" max="121" width="5" customWidth="1"/>
    <col min="122" max="122" width="12" bestFit="1" customWidth="1"/>
    <col min="123" max="123" width="8" customWidth="1"/>
    <col min="124" max="124" width="12" bestFit="1" customWidth="1"/>
    <col min="125" max="126" width="7" customWidth="1"/>
    <col min="127" max="127" width="12" bestFit="1" customWidth="1"/>
    <col min="128" max="128" width="6" customWidth="1"/>
    <col min="129" max="130" width="7" customWidth="1"/>
    <col min="131" max="132" width="8" customWidth="1"/>
    <col min="133" max="133" width="12" bestFit="1" customWidth="1"/>
    <col min="134" max="135" width="7" customWidth="1"/>
    <col min="136" max="136" width="12" bestFit="1" customWidth="1"/>
    <col min="137" max="138" width="7" customWidth="1"/>
    <col min="139" max="139" width="6" customWidth="1"/>
    <col min="140" max="143" width="7" customWidth="1"/>
    <col min="144" max="144" width="12" bestFit="1" customWidth="1"/>
    <col min="145" max="145" width="6" customWidth="1"/>
    <col min="146" max="148" width="7" customWidth="1"/>
    <col min="149" max="149" width="9" customWidth="1"/>
    <col min="150" max="150" width="5" customWidth="1"/>
    <col min="151" max="152" width="7" customWidth="1"/>
    <col min="153" max="154" width="8" customWidth="1"/>
    <col min="155" max="155" width="7" customWidth="1"/>
    <col min="156" max="156" width="6" customWidth="1"/>
    <col min="157" max="157" width="8" customWidth="1"/>
    <col min="158" max="162" width="7" customWidth="1"/>
    <col min="163" max="164" width="8" customWidth="1"/>
    <col min="165" max="165" width="5" customWidth="1"/>
    <col min="166" max="166" width="8" customWidth="1"/>
    <col min="167" max="167" width="7" customWidth="1"/>
    <col min="168" max="168" width="8" customWidth="1"/>
    <col min="169" max="170" width="7" customWidth="1"/>
    <col min="171" max="171" width="4" customWidth="1"/>
    <col min="172" max="174" width="7" customWidth="1"/>
    <col min="175" max="175" width="8" customWidth="1"/>
    <col min="176" max="176" width="4" customWidth="1"/>
    <col min="177" max="177" width="6" customWidth="1"/>
    <col min="178" max="179" width="7" customWidth="1"/>
    <col min="180" max="180" width="4" customWidth="1"/>
    <col min="181" max="183" width="7" customWidth="1"/>
    <col min="184" max="184" width="6" customWidth="1"/>
    <col min="185" max="185" width="5" customWidth="1"/>
    <col min="186" max="186" width="7" customWidth="1"/>
    <col min="187" max="187" width="4" customWidth="1"/>
    <col min="188" max="188" width="7" customWidth="1"/>
    <col min="189" max="189" width="5" customWidth="1"/>
    <col min="190" max="192" width="7" customWidth="1"/>
    <col min="193" max="193" width="11.28515625" bestFit="1" customWidth="1"/>
  </cols>
  <sheetData>
    <row r="3" spans="1:2" x14ac:dyDescent="0.25">
      <c r="A3" s="26" t="s">
        <v>50</v>
      </c>
      <c r="B3" t="s">
        <v>42</v>
      </c>
    </row>
    <row r="4" spans="1:2" x14ac:dyDescent="0.25">
      <c r="A4" s="27">
        <v>0.02</v>
      </c>
      <c r="B4" s="36">
        <v>16.8</v>
      </c>
    </row>
    <row r="5" spans="1:2" x14ac:dyDescent="0.25">
      <c r="A5" s="27">
        <v>0.04</v>
      </c>
      <c r="B5" s="36">
        <v>27.642857142857142</v>
      </c>
    </row>
    <row r="6" spans="1:2" x14ac:dyDescent="0.25">
      <c r="A6" s="27">
        <v>0.06</v>
      </c>
      <c r="B6" s="36">
        <v>40.533333333333331</v>
      </c>
    </row>
    <row r="7" spans="1:2" x14ac:dyDescent="0.25">
      <c r="A7" s="27">
        <v>0.08</v>
      </c>
      <c r="B7" s="36">
        <v>29.75</v>
      </c>
    </row>
    <row r="8" spans="1:2" x14ac:dyDescent="0.25">
      <c r="A8" s="27">
        <v>0.1</v>
      </c>
      <c r="B8" s="36">
        <v>39.34375</v>
      </c>
    </row>
    <row r="9" spans="1:2" x14ac:dyDescent="0.25">
      <c r="A9" s="27">
        <v>0.12</v>
      </c>
      <c r="B9" s="36">
        <v>47.81818181818182</v>
      </c>
    </row>
    <row r="10" spans="1:2" x14ac:dyDescent="0.25">
      <c r="A10" s="27">
        <v>0.14000000000000001</v>
      </c>
      <c r="B10" s="36">
        <v>48.707865168539328</v>
      </c>
    </row>
    <row r="11" spans="1:2" x14ac:dyDescent="0.25">
      <c r="A11" s="27">
        <v>0.16</v>
      </c>
      <c r="B11" s="36">
        <v>53.869230769230768</v>
      </c>
    </row>
    <row r="12" spans="1:2" x14ac:dyDescent="0.25">
      <c r="A12" s="27">
        <v>0.18</v>
      </c>
      <c r="B12" s="36">
        <v>51.202531645569621</v>
      </c>
    </row>
    <row r="13" spans="1:2" x14ac:dyDescent="0.25">
      <c r="A13" s="27">
        <v>0.2</v>
      </c>
      <c r="B13" s="36">
        <v>60.045454545454547</v>
      </c>
    </row>
    <row r="14" spans="1:2" x14ac:dyDescent="0.25">
      <c r="A14" s="27">
        <v>0.22</v>
      </c>
      <c r="B14" s="36">
        <v>53.029411764705884</v>
      </c>
    </row>
    <row r="15" spans="1:2" x14ac:dyDescent="0.25">
      <c r="A15" s="27">
        <v>0.24</v>
      </c>
      <c r="B15" s="36">
        <v>69.360465116279073</v>
      </c>
    </row>
    <row r="16" spans="1:2" x14ac:dyDescent="0.25">
      <c r="A16" s="27">
        <v>0.26</v>
      </c>
      <c r="B16" s="36">
        <v>56.375</v>
      </c>
    </row>
    <row r="17" spans="1:6" x14ac:dyDescent="0.25">
      <c r="A17" s="27">
        <v>0.28000000000000003</v>
      </c>
      <c r="B17" s="36">
        <v>72.518518518518519</v>
      </c>
    </row>
    <row r="18" spans="1:6" x14ac:dyDescent="0.25">
      <c r="A18" s="27">
        <v>0.3</v>
      </c>
      <c r="B18" s="36">
        <v>95.972972972972968</v>
      </c>
    </row>
    <row r="19" spans="1:6" x14ac:dyDescent="0.25">
      <c r="A19" s="27">
        <v>0.32</v>
      </c>
      <c r="B19" s="36">
        <v>81.916666666666671</v>
      </c>
      <c r="D19" t="s">
        <v>92</v>
      </c>
      <c r="F19" t="s">
        <v>93</v>
      </c>
    </row>
    <row r="20" spans="1:6" x14ac:dyDescent="0.25">
      <c r="A20" s="27">
        <v>0.34</v>
      </c>
      <c r="B20" s="36">
        <v>123.9</v>
      </c>
      <c r="D20" s="27">
        <v>0.42</v>
      </c>
      <c r="F20" s="36">
        <v>95.972972972972968</v>
      </c>
    </row>
    <row r="21" spans="1:6" x14ac:dyDescent="0.25">
      <c r="A21" s="27">
        <v>0.36</v>
      </c>
      <c r="B21" s="36">
        <v>89.4</v>
      </c>
      <c r="D21" s="27">
        <v>0.44</v>
      </c>
      <c r="F21" s="36">
        <v>123.9</v>
      </c>
    </row>
    <row r="22" spans="1:6" x14ac:dyDescent="0.25">
      <c r="A22" s="27">
        <v>0.38</v>
      </c>
      <c r="B22" s="36">
        <v>57.888888888888886</v>
      </c>
      <c r="D22" s="27">
        <v>0.46</v>
      </c>
      <c r="F22" s="36">
        <v>89.4</v>
      </c>
    </row>
    <row r="23" spans="1:6" x14ac:dyDescent="0.25">
      <c r="A23" s="27">
        <v>0.4</v>
      </c>
      <c r="B23" s="36">
        <v>61.5625</v>
      </c>
    </row>
    <row r="24" spans="1:6" x14ac:dyDescent="0.25">
      <c r="A24" s="27">
        <v>0.42</v>
      </c>
      <c r="B24" s="36">
        <v>64.875</v>
      </c>
    </row>
    <row r="25" spans="1:6" x14ac:dyDescent="0.25">
      <c r="A25" s="27">
        <v>0.44</v>
      </c>
      <c r="B25" s="36">
        <v>64.666666666666671</v>
      </c>
    </row>
    <row r="26" spans="1:6" x14ac:dyDescent="0.25">
      <c r="A26" s="27">
        <v>0.46</v>
      </c>
      <c r="B26" s="36">
        <v>44.166666666666664</v>
      </c>
    </row>
    <row r="27" spans="1:6" x14ac:dyDescent="0.25">
      <c r="A27" s="27" t="s">
        <v>35</v>
      </c>
      <c r="B27" s="36">
        <v>58.304000000000002</v>
      </c>
    </row>
  </sheetData>
  <conditionalFormatting sqref="A3:B3 A4:A26">
    <cfRule type="top10" dxfId="12" priority="7" rank="3"/>
  </conditionalFormatting>
  <conditionalFormatting sqref="A4:A26">
    <cfRule type="top10" dxfId="11" priority="6" rank="3"/>
  </conditionalFormatting>
  <conditionalFormatting sqref="D20:D22">
    <cfRule type="top10" dxfId="10" priority="5" rank="3"/>
  </conditionalFormatting>
  <conditionalFormatting sqref="D20:D22">
    <cfRule type="top10" dxfId="9" priority="4" rank="3"/>
  </conditionalFormatting>
  <conditionalFormatting sqref="F21:F22">
    <cfRule type="top10" dxfId="8" priority="3" rank="3"/>
  </conditionalFormatting>
  <conditionalFormatting sqref="F20">
    <cfRule type="top10" dxfId="7" priority="2" rank="3"/>
  </conditionalFormatting>
  <conditionalFormatting pivot="1" sqref="B4:B26">
    <cfRule type="dataBar" priority="1">
      <dataBar>
        <cfvo type="min"/>
        <cfvo type="max"/>
        <color rgb="FF638EC6"/>
      </dataBar>
      <extLst>
        <ext xmlns:x14="http://schemas.microsoft.com/office/spreadsheetml/2009/9/main" uri="{B025F937-C7B1-47D3-B67F-A62EFF666E3E}">
          <x14:id>{7177D807-E318-46DB-9BE0-E003D9F47374}</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7177D807-E318-46DB-9BE0-E003D9F47374}">
            <x14:dataBar minLength="0" maxLength="100" border="1" negativeBarBorderColorSameAsPositive="0">
              <x14:cfvo type="autoMin"/>
              <x14:cfvo type="autoMax"/>
              <x14:borderColor rgb="FF638EC6"/>
              <x14:negativeFillColor rgb="FFFF0000"/>
              <x14:negativeBorderColor rgb="FFFF0000"/>
              <x14:axisColor rgb="FF000000"/>
            </x14:dataBar>
          </x14:cfRule>
          <xm:sqref>B4:B26</xm:sqref>
        </x14:conditionalFormatting>
      </x14:conditionalFormattings>
    </ex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K28"/>
  <sheetViews>
    <sheetView workbookViewId="0">
      <selection activeCell="G24" sqref="G24"/>
    </sheetView>
  </sheetViews>
  <sheetFormatPr defaultRowHeight="15" x14ac:dyDescent="0.25"/>
  <cols>
    <col min="1" max="1" width="13.140625" bestFit="1" customWidth="1"/>
    <col min="2" max="2" width="10.28515625" customWidth="1"/>
    <col min="3" max="3" width="10.85546875" bestFit="1" customWidth="1"/>
    <col min="4" max="4" width="5" customWidth="1"/>
    <col min="5" max="5" width="10.140625" bestFit="1" customWidth="1"/>
    <col min="6" max="6" width="5" customWidth="1"/>
    <col min="7" max="7" width="9.42578125" customWidth="1"/>
    <col min="8" max="8" width="5" customWidth="1"/>
    <col min="9" max="9" width="11.28515625" bestFit="1" customWidth="1"/>
  </cols>
  <sheetData>
    <row r="3" spans="1:11" x14ac:dyDescent="0.25">
      <c r="A3" s="26" t="s">
        <v>50</v>
      </c>
      <c r="B3" t="s">
        <v>37</v>
      </c>
      <c r="E3" s="40" t="s">
        <v>88</v>
      </c>
      <c r="F3" s="38"/>
      <c r="G3" s="39">
        <v>42435</v>
      </c>
      <c r="I3" s="38" t="s">
        <v>96</v>
      </c>
      <c r="J3" s="38"/>
      <c r="K3" s="38">
        <v>6169</v>
      </c>
    </row>
    <row r="4" spans="1:11" x14ac:dyDescent="0.25">
      <c r="A4" s="27">
        <v>0</v>
      </c>
      <c r="B4" s="1">
        <v>703</v>
      </c>
      <c r="E4" s="40" t="s">
        <v>89</v>
      </c>
      <c r="F4" s="38"/>
      <c r="G4" s="39">
        <v>15869</v>
      </c>
      <c r="I4" s="38" t="s">
        <v>97</v>
      </c>
      <c r="J4" s="38"/>
      <c r="K4" s="38">
        <v>69</v>
      </c>
    </row>
    <row r="5" spans="1:11" x14ac:dyDescent="0.25">
      <c r="A5" s="27">
        <v>1</v>
      </c>
      <c r="B5" s="1">
        <v>460</v>
      </c>
    </row>
    <row r="6" spans="1:11" x14ac:dyDescent="0.25">
      <c r="A6" s="27">
        <v>2</v>
      </c>
      <c r="B6" s="1">
        <v>294</v>
      </c>
    </row>
    <row r="7" spans="1:11" x14ac:dyDescent="0.25">
      <c r="A7" s="27">
        <v>3</v>
      </c>
      <c r="B7" s="1">
        <v>151</v>
      </c>
    </row>
    <row r="8" spans="1:11" x14ac:dyDescent="0.25">
      <c r="A8" s="27">
        <v>4</v>
      </c>
      <c r="B8" s="1">
        <v>69</v>
      </c>
    </row>
    <row r="9" spans="1:11" x14ac:dyDescent="0.25">
      <c r="A9" s="27">
        <v>5</v>
      </c>
      <c r="B9" s="1">
        <v>164</v>
      </c>
    </row>
    <row r="10" spans="1:11" x14ac:dyDescent="0.25">
      <c r="A10" s="27">
        <v>6</v>
      </c>
      <c r="B10" s="1">
        <v>822</v>
      </c>
    </row>
    <row r="11" spans="1:11" x14ac:dyDescent="0.25">
      <c r="A11" s="27">
        <v>7</v>
      </c>
      <c r="B11" s="1">
        <v>2339</v>
      </c>
    </row>
    <row r="12" spans="1:11" x14ac:dyDescent="0.25">
      <c r="A12" s="27">
        <v>8</v>
      </c>
      <c r="B12" s="1">
        <v>5388</v>
      </c>
    </row>
    <row r="13" spans="1:11" x14ac:dyDescent="0.25">
      <c r="A13" s="27">
        <v>9</v>
      </c>
      <c r="B13" s="1">
        <v>3672</v>
      </c>
    </row>
    <row r="14" spans="1:11" x14ac:dyDescent="0.25">
      <c r="A14" s="27">
        <v>10</v>
      </c>
      <c r="B14" s="1">
        <v>2253</v>
      </c>
    </row>
    <row r="15" spans="1:11" x14ac:dyDescent="0.25">
      <c r="A15" s="27">
        <v>11</v>
      </c>
      <c r="B15" s="1">
        <v>2494</v>
      </c>
    </row>
    <row r="16" spans="1:11" x14ac:dyDescent="0.25">
      <c r="A16" s="27">
        <v>12</v>
      </c>
      <c r="B16" s="1">
        <v>3283</v>
      </c>
    </row>
    <row r="17" spans="1:2" x14ac:dyDescent="0.25">
      <c r="A17" s="27">
        <v>13</v>
      </c>
      <c r="B17" s="1">
        <v>3376</v>
      </c>
    </row>
    <row r="18" spans="1:2" x14ac:dyDescent="0.25">
      <c r="A18" s="27">
        <v>14</v>
      </c>
      <c r="B18" s="1">
        <v>3200</v>
      </c>
    </row>
    <row r="19" spans="1:2" x14ac:dyDescent="0.25">
      <c r="A19" s="27">
        <v>15</v>
      </c>
      <c r="B19" s="1">
        <v>3352</v>
      </c>
    </row>
    <row r="20" spans="1:2" x14ac:dyDescent="0.25">
      <c r="A20" s="27">
        <v>16</v>
      </c>
      <c r="B20" s="1">
        <v>3928</v>
      </c>
    </row>
    <row r="21" spans="1:2" x14ac:dyDescent="0.25">
      <c r="A21" s="27">
        <v>17</v>
      </c>
      <c r="B21" s="1">
        <v>6169</v>
      </c>
    </row>
    <row r="22" spans="1:2" x14ac:dyDescent="0.25">
      <c r="A22" s="27">
        <v>18</v>
      </c>
      <c r="B22" s="1">
        <v>5283</v>
      </c>
    </row>
    <row r="23" spans="1:2" x14ac:dyDescent="0.25">
      <c r="A23" s="27">
        <v>19</v>
      </c>
      <c r="B23" s="1">
        <v>3661</v>
      </c>
    </row>
    <row r="24" spans="1:2" x14ac:dyDescent="0.25">
      <c r="A24" s="27">
        <v>20</v>
      </c>
      <c r="B24" s="1">
        <v>2656</v>
      </c>
    </row>
    <row r="25" spans="1:2" x14ac:dyDescent="0.25">
      <c r="A25" s="27">
        <v>21</v>
      </c>
      <c r="B25" s="1">
        <v>1996</v>
      </c>
    </row>
    <row r="26" spans="1:2" x14ac:dyDescent="0.25">
      <c r="A26" s="27">
        <v>22</v>
      </c>
      <c r="B26" s="1">
        <v>1508</v>
      </c>
    </row>
    <row r="27" spans="1:2" x14ac:dyDescent="0.25">
      <c r="A27" s="27">
        <v>23</v>
      </c>
      <c r="B27" s="1">
        <v>1083</v>
      </c>
    </row>
    <row r="28" spans="1:2" x14ac:dyDescent="0.25">
      <c r="A28" s="27" t="s">
        <v>35</v>
      </c>
      <c r="B28" s="1">
        <v>58304</v>
      </c>
    </row>
  </sheetData>
  <conditionalFormatting sqref="F16">
    <cfRule type="aboveAverage" dxfId="0" priority="3" aboveAverage="0"/>
  </conditionalFormatting>
  <conditionalFormatting sqref="G30">
    <cfRule type="dataBar" priority="2">
      <dataBar>
        <cfvo type="min"/>
        <cfvo type="max"/>
        <color rgb="FF638EC6"/>
      </dataBar>
      <extLst>
        <ext xmlns:x14="http://schemas.microsoft.com/office/spreadsheetml/2009/9/main" uri="{B025F937-C7B1-47D3-B67F-A62EFF666E3E}">
          <x14:id>{E9554B65-262F-49DB-841F-D94947577228}</x14:id>
        </ext>
      </extLst>
    </cfRule>
  </conditionalFormatting>
  <conditionalFormatting pivot="1" sqref="B4:B27">
    <cfRule type="dataBar" priority="1">
      <dataBar>
        <cfvo type="min"/>
        <cfvo type="max"/>
        <color rgb="FFFFB628"/>
      </dataBar>
      <extLst>
        <ext xmlns:x14="http://schemas.microsoft.com/office/spreadsheetml/2009/9/main" uri="{B025F937-C7B1-47D3-B67F-A62EFF666E3E}">
          <x14:id>{8F1F5AB7-C3C8-41E2-8EBE-0F00A4B71F86}</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x14:cfRule type="dataBar" id="{E9554B65-262F-49DB-841F-D94947577228}">
            <x14:dataBar minLength="0" maxLength="100" border="1" negativeBarBorderColorSameAsPositive="0">
              <x14:cfvo type="autoMin"/>
              <x14:cfvo type="autoMax"/>
              <x14:borderColor rgb="FF638EC6"/>
              <x14:negativeFillColor rgb="FFFF0000"/>
              <x14:negativeBorderColor rgb="FFFF0000"/>
              <x14:axisColor rgb="FF000000"/>
            </x14:dataBar>
          </x14:cfRule>
          <xm:sqref>G30</xm:sqref>
        </x14:conditionalFormatting>
        <x14:conditionalFormatting xmlns:xm="http://schemas.microsoft.com/office/excel/2006/main" pivot="1">
          <x14:cfRule type="dataBar" id="{8F1F5AB7-C3C8-41E2-8EBE-0F00A4B71F86}">
            <x14:dataBar minLength="0" maxLength="100" border="1" negativeBarBorderColorSameAsPositive="0">
              <x14:cfvo type="autoMin"/>
              <x14:cfvo type="autoMax"/>
              <x14:borderColor rgb="FFFFB628"/>
              <x14:negativeFillColor rgb="FFFF0000"/>
              <x14:negativeBorderColor rgb="FFFF0000"/>
              <x14:axisColor rgb="FF000000"/>
            </x14:dataBar>
          </x14:cfRule>
          <xm:sqref>B4:B27</xm:sqref>
        </x14:conditionalFormatting>
      </x14:conditionalFormattings>
    </ex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10"/>
  <sheetViews>
    <sheetView workbookViewId="0">
      <selection activeCell="E9" sqref="E9"/>
    </sheetView>
  </sheetViews>
  <sheetFormatPr defaultRowHeight="15" x14ac:dyDescent="0.25"/>
  <cols>
    <col min="2" max="2" width="14.140625" customWidth="1"/>
    <col min="3" max="3" width="16.5703125" customWidth="1"/>
    <col min="4" max="4" width="25.42578125" customWidth="1"/>
    <col min="5" max="5" width="32.85546875" customWidth="1"/>
  </cols>
  <sheetData>
    <row r="1" spans="2:5" ht="15.75" thickBot="1" x14ac:dyDescent="0.3"/>
    <row r="2" spans="2:5" ht="15.75" thickBot="1" x14ac:dyDescent="0.3">
      <c r="B2" s="31" t="s">
        <v>53</v>
      </c>
      <c r="C2" s="31" t="s">
        <v>54</v>
      </c>
      <c r="D2" s="31" t="s">
        <v>55</v>
      </c>
      <c r="E2" s="32" t="s">
        <v>56</v>
      </c>
    </row>
    <row r="3" spans="2:5" ht="30.75" thickBot="1" x14ac:dyDescent="0.3">
      <c r="B3" s="31" t="s">
        <v>57</v>
      </c>
      <c r="C3" s="31" t="s">
        <v>58</v>
      </c>
      <c r="D3" s="33">
        <v>58304</v>
      </c>
      <c r="E3" s="34" t="s">
        <v>59</v>
      </c>
    </row>
    <row r="4" spans="2:5" ht="30.75" thickBot="1" x14ac:dyDescent="0.3">
      <c r="B4" s="31" t="s">
        <v>57</v>
      </c>
      <c r="C4" s="31" t="s">
        <v>60</v>
      </c>
      <c r="D4" s="31" t="s">
        <v>61</v>
      </c>
      <c r="E4" s="34" t="s">
        <v>62</v>
      </c>
    </row>
    <row r="5" spans="2:5" ht="30.75" thickBot="1" x14ac:dyDescent="0.3">
      <c r="B5" s="31" t="s">
        <v>63</v>
      </c>
      <c r="C5" s="31" t="s">
        <v>64</v>
      </c>
      <c r="D5" s="31" t="s">
        <v>65</v>
      </c>
      <c r="E5" s="34" t="s">
        <v>66</v>
      </c>
    </row>
    <row r="6" spans="2:5" ht="43.5" thickBot="1" x14ac:dyDescent="0.3">
      <c r="B6" s="31" t="s">
        <v>63</v>
      </c>
      <c r="C6" s="31" t="s">
        <v>67</v>
      </c>
      <c r="D6" s="31" t="s">
        <v>68</v>
      </c>
      <c r="E6" s="34" t="s">
        <v>82</v>
      </c>
    </row>
    <row r="7" spans="2:5" ht="30.75" thickBot="1" x14ac:dyDescent="0.3">
      <c r="B7" s="31" t="s">
        <v>69</v>
      </c>
      <c r="C7" s="31" t="s">
        <v>70</v>
      </c>
      <c r="D7" s="35">
        <v>0.91600000000000004</v>
      </c>
      <c r="E7" s="34" t="s">
        <v>71</v>
      </c>
    </row>
    <row r="8" spans="2:5" ht="45.75" thickBot="1" x14ac:dyDescent="0.3">
      <c r="B8" s="31" t="s">
        <v>69</v>
      </c>
      <c r="C8" s="31" t="s">
        <v>72</v>
      </c>
      <c r="D8" s="31" t="s">
        <v>73</v>
      </c>
      <c r="E8" s="34" t="s">
        <v>74</v>
      </c>
    </row>
    <row r="9" spans="2:5" ht="30.75" thickBot="1" x14ac:dyDescent="0.3">
      <c r="B9" s="31" t="s">
        <v>75</v>
      </c>
      <c r="C9" s="31" t="s">
        <v>76</v>
      </c>
      <c r="D9" s="31" t="s">
        <v>77</v>
      </c>
      <c r="E9" s="34" t="s">
        <v>78</v>
      </c>
    </row>
    <row r="10" spans="2:5" ht="30.75" thickBot="1" x14ac:dyDescent="0.3">
      <c r="B10" s="31" t="s">
        <v>75</v>
      </c>
      <c r="C10" s="31" t="s">
        <v>79</v>
      </c>
      <c r="D10" s="31" t="s">
        <v>80</v>
      </c>
      <c r="E10" s="34" t="s">
        <v>81</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75"/>
  <sheetViews>
    <sheetView showGridLines="0" showRowColHeaders="0" zoomScale="70" zoomScaleNormal="70" workbookViewId="0">
      <selection activeCell="P75" sqref="P75"/>
    </sheetView>
  </sheetViews>
  <sheetFormatPr defaultRowHeight="15" x14ac:dyDescent="0.25"/>
  <cols>
    <col min="1" max="16384" width="9.140625" style="41"/>
  </cols>
  <sheetData>
    <row r="1" spans="1:30" x14ac:dyDescent="0.25">
      <c r="A1" s="42"/>
      <c r="B1" s="42"/>
      <c r="C1" s="42"/>
      <c r="D1" s="42"/>
      <c r="E1" s="42"/>
      <c r="F1" s="42"/>
      <c r="G1" s="42"/>
      <c r="H1" s="42"/>
      <c r="I1" s="42"/>
      <c r="J1" s="42"/>
      <c r="K1" s="42"/>
      <c r="L1" s="42"/>
      <c r="M1" s="42"/>
      <c r="N1" s="42"/>
      <c r="O1" s="42"/>
      <c r="P1" s="42"/>
      <c r="Q1" s="42"/>
      <c r="R1" s="42"/>
      <c r="S1" s="42"/>
      <c r="T1" s="42"/>
      <c r="U1" s="42"/>
      <c r="V1" s="42"/>
      <c r="W1" s="42"/>
      <c r="X1" s="42"/>
      <c r="Y1" s="42"/>
      <c r="Z1" s="42"/>
      <c r="AA1" s="42"/>
      <c r="AB1" s="42"/>
      <c r="AC1" s="42"/>
      <c r="AD1" s="42"/>
    </row>
    <row r="2" spans="1:30" x14ac:dyDescent="0.25">
      <c r="A2" s="42"/>
      <c r="B2" s="42"/>
      <c r="C2" s="42"/>
      <c r="D2" s="42"/>
      <c r="E2" s="42"/>
      <c r="F2" s="42"/>
      <c r="G2" s="42"/>
      <c r="H2" s="42"/>
      <c r="I2" s="42"/>
      <c r="J2" s="42"/>
      <c r="K2" s="42"/>
      <c r="L2" s="42"/>
      <c r="M2" s="42"/>
      <c r="N2" s="42"/>
      <c r="O2" s="42"/>
      <c r="P2" s="42"/>
      <c r="Q2" s="42"/>
      <c r="R2" s="42"/>
      <c r="S2" s="42"/>
      <c r="T2" s="42"/>
      <c r="U2" s="42"/>
      <c r="V2" s="42"/>
      <c r="W2" s="42"/>
      <c r="X2" s="42"/>
      <c r="Y2" s="42"/>
      <c r="Z2" s="42"/>
      <c r="AA2" s="42"/>
      <c r="AB2" s="42"/>
      <c r="AC2" s="42"/>
      <c r="AD2" s="42"/>
    </row>
    <row r="3" spans="1:30" x14ac:dyDescent="0.25">
      <c r="A3" s="42"/>
      <c r="B3" s="42"/>
      <c r="C3" s="42"/>
      <c r="D3" s="42"/>
      <c r="E3" s="42"/>
      <c r="F3" s="42"/>
      <c r="G3" s="42"/>
      <c r="H3" s="42"/>
      <c r="I3" s="42"/>
      <c r="J3" s="42"/>
      <c r="K3" s="42"/>
      <c r="L3" s="42"/>
      <c r="M3" s="42"/>
      <c r="N3" s="42"/>
      <c r="O3" s="42"/>
      <c r="P3" s="42"/>
      <c r="Q3" s="42"/>
      <c r="R3" s="42"/>
      <c r="S3" s="42"/>
      <c r="T3" s="42"/>
      <c r="U3" s="42"/>
      <c r="V3" s="42"/>
      <c r="W3" s="42"/>
      <c r="X3" s="42"/>
      <c r="Y3" s="42"/>
      <c r="Z3" s="42"/>
      <c r="AA3" s="42"/>
      <c r="AB3" s="42"/>
      <c r="AC3" s="42"/>
      <c r="AD3" s="42"/>
    </row>
    <row r="75" spans="16:16" x14ac:dyDescent="0.25">
      <c r="P75" s="41" t="s">
        <v>91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6E23B8C-4CF1-4F37-8945-3EE7DCACBAE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dataset_a</vt:lpstr>
      <vt:lpstr>dataset_3</vt:lpstr>
      <vt:lpstr>final_data_set</vt:lpstr>
      <vt:lpstr>PIVOT TABLE1</vt:lpstr>
      <vt:lpstr>pivot table 2</vt:lpstr>
      <vt:lpstr>PIVOT TABLE 3</vt:lpstr>
      <vt:lpstr>PIVOT TABLE 4</vt:lpstr>
      <vt:lpstr>PIVOT TABLE 5</vt:lpstr>
      <vt:lpstr>Pivot table 6</vt:lpstr>
      <vt:lpstr>PIVOTE TABLE7</vt:lpstr>
      <vt:lpstr>KPI</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admin</cp:lastModifiedBy>
  <cp:revision/>
  <dcterms:created xsi:type="dcterms:W3CDTF">2026-03-15T12:09:32Z</dcterms:created>
  <dcterms:modified xsi:type="dcterms:W3CDTF">2026-03-24T13:40:21Z</dcterms:modified>
  <cp:category/>
  <cp:contentStatus/>
</cp:coreProperties>
</file>